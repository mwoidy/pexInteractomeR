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8b3d1ec65516a7e/UCR_Projects/Projekte/PEXInteraktom/Bestaetigungsexperimente/"/>
    </mc:Choice>
  </mc:AlternateContent>
  <xr:revisionPtr revIDLastSave="35" documentId="11_616858692D74E09225E491DB391CAA033C8F6E03" xr6:coauthVersionLast="47" xr6:coauthVersionMax="47" xr10:uidLastSave="{96541569-95C9-9E48-B8FB-F27549C75A45}"/>
  <bookViews>
    <workbookView xWindow="580" yWindow="880" windowWidth="26200" windowHeight="20420" tabRatio="500" activeTab="1" xr2:uid="{00000000-000D-0000-FFFF-FFFF00000000}"/>
  </bookViews>
  <sheets>
    <sheet name="All" sheetId="1" r:id="rId1"/>
    <sheet name="R_ana" sheetId="7" r:id="rId2"/>
    <sheet name="Controls-Split" sheetId="2" r:id="rId3"/>
    <sheet name="Blatt1" sheetId="3" r:id="rId4"/>
    <sheet name="GO BP" sheetId="4" r:id="rId5"/>
    <sheet name="GO MF" sheetId="5" r:id="rId6"/>
    <sheet name="summaryNetworkFiltered" sheetId="6" r:id="rId7"/>
  </sheets>
  <definedNames>
    <definedName name="_xlnm._FilterDatabase" localSheetId="1" hidden="1">R_ana!$A$1:$K$431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7" i="2" l="1"/>
  <c r="J27" i="2"/>
  <c r="G28" i="2"/>
  <c r="J28" i="2"/>
  <c r="G29" i="2"/>
  <c r="J29" i="2"/>
  <c r="G30" i="2"/>
  <c r="J30" i="2"/>
  <c r="G31" i="2"/>
  <c r="J31" i="2"/>
  <c r="G32" i="2"/>
  <c r="J32" i="2"/>
  <c r="G33" i="2"/>
  <c r="J33" i="2"/>
  <c r="G34" i="2"/>
  <c r="J34" i="2"/>
  <c r="G35" i="2"/>
  <c r="J35" i="2"/>
  <c r="G26" i="2"/>
  <c r="J26" i="2"/>
  <c r="Q355" i="1"/>
  <c r="R355" i="1"/>
  <c r="Q353" i="1"/>
  <c r="R353" i="1"/>
  <c r="Q333" i="1"/>
  <c r="R333" i="1"/>
  <c r="Q310" i="1"/>
  <c r="R310" i="1"/>
  <c r="Q241" i="1"/>
  <c r="R241" i="1"/>
  <c r="Q222" i="1"/>
  <c r="R222" i="1"/>
  <c r="Q193" i="1"/>
  <c r="R193" i="1"/>
  <c r="Q148" i="1"/>
  <c r="R148" i="1"/>
  <c r="Q3" i="1"/>
  <c r="R3" i="1"/>
  <c r="Q276" i="1"/>
  <c r="R276" i="1"/>
  <c r="Q52" i="1"/>
  <c r="R52" i="1"/>
  <c r="Q159" i="1"/>
  <c r="R159" i="1"/>
  <c r="Q50" i="1"/>
  <c r="R50" i="1"/>
  <c r="Q12" i="1"/>
  <c r="R12" i="1"/>
  <c r="Q71" i="1"/>
  <c r="R71" i="1"/>
  <c r="Q275" i="1"/>
  <c r="R275" i="1"/>
  <c r="Q396" i="1"/>
  <c r="R396" i="1"/>
  <c r="Q29" i="1"/>
  <c r="R29" i="1"/>
  <c r="Q408" i="1"/>
  <c r="R408" i="1"/>
  <c r="Q398" i="1"/>
  <c r="R398" i="1"/>
  <c r="Q394" i="1"/>
  <c r="R394" i="1"/>
  <c r="Q399" i="1"/>
  <c r="R399" i="1"/>
  <c r="Q393" i="1"/>
  <c r="R393" i="1"/>
  <c r="Q253" i="1"/>
  <c r="R253" i="1"/>
  <c r="Q80" i="1"/>
  <c r="R80" i="1"/>
  <c r="Q144" i="1"/>
  <c r="R144" i="1"/>
  <c r="Q48" i="1"/>
  <c r="R48" i="1"/>
  <c r="Q340" i="1"/>
  <c r="R340" i="1"/>
  <c r="Q81" i="1"/>
  <c r="R81" i="1"/>
  <c r="Q27" i="1"/>
  <c r="R27" i="1"/>
  <c r="Q311" i="1"/>
  <c r="R311" i="1"/>
  <c r="Q106" i="1"/>
  <c r="R106" i="1"/>
  <c r="Q306" i="1"/>
  <c r="R306" i="1"/>
  <c r="Q51" i="1"/>
  <c r="R51" i="1"/>
  <c r="Q47" i="1"/>
  <c r="R47" i="1"/>
  <c r="Q305" i="1"/>
  <c r="R305" i="1"/>
  <c r="Q40" i="1"/>
  <c r="R40" i="1"/>
  <c r="Q28" i="1"/>
  <c r="R28" i="1"/>
  <c r="Q172" i="1"/>
  <c r="R172" i="1"/>
  <c r="Q255" i="1"/>
  <c r="R255" i="1"/>
  <c r="Q299" i="1"/>
  <c r="R299" i="1"/>
  <c r="Q5" i="1"/>
  <c r="R5" i="1"/>
  <c r="Q34" i="1"/>
  <c r="R34" i="1"/>
  <c r="Q260" i="1"/>
  <c r="R260" i="1"/>
  <c r="Q72" i="1"/>
  <c r="R72" i="1"/>
  <c r="Q69" i="1"/>
  <c r="R69" i="1"/>
  <c r="Q424" i="1"/>
  <c r="R424" i="1"/>
  <c r="Q73" i="1"/>
  <c r="R73" i="1"/>
  <c r="Q11" i="1"/>
  <c r="R11" i="1"/>
  <c r="Q337" i="1"/>
  <c r="R337" i="1"/>
  <c r="Q425" i="1"/>
  <c r="R425" i="1"/>
  <c r="Q214" i="1"/>
  <c r="R214" i="1"/>
  <c r="Q248" i="1"/>
  <c r="R248" i="1"/>
  <c r="Q212" i="1"/>
  <c r="R212" i="1"/>
  <c r="Q79" i="1"/>
  <c r="R79" i="1"/>
  <c r="Q202" i="1"/>
  <c r="R202" i="1"/>
  <c r="Q139" i="1"/>
  <c r="R139" i="1"/>
  <c r="Q208" i="1"/>
  <c r="R208" i="1"/>
  <c r="Q13" i="1"/>
  <c r="R13" i="1"/>
  <c r="Q37" i="1"/>
  <c r="R37" i="1"/>
  <c r="Q209" i="1"/>
  <c r="R209" i="1"/>
  <c r="Q14" i="1"/>
  <c r="R14" i="1"/>
  <c r="Q219" i="1"/>
  <c r="R219" i="1"/>
  <c r="Q289" i="1"/>
  <c r="R289" i="1"/>
  <c r="Q15" i="1"/>
  <c r="R15" i="1"/>
  <c r="Q217" i="1"/>
  <c r="R217" i="1"/>
  <c r="Q249" i="1"/>
  <c r="R249" i="1"/>
  <c r="Q218" i="1"/>
  <c r="R218" i="1"/>
  <c r="Q245" i="1"/>
  <c r="R245" i="1"/>
  <c r="Q238" i="1"/>
  <c r="R238" i="1"/>
  <c r="Q379" i="1"/>
  <c r="R379" i="1"/>
  <c r="Q409" i="1"/>
  <c r="R409" i="1"/>
  <c r="Q211" i="1"/>
  <c r="R211" i="1"/>
  <c r="Q204" i="1"/>
  <c r="R204" i="1"/>
  <c r="Q338" i="1"/>
  <c r="R338" i="1"/>
  <c r="Q242" i="1"/>
  <c r="R242" i="1"/>
  <c r="Q334" i="1"/>
  <c r="R334" i="1"/>
  <c r="Q220" i="1"/>
  <c r="R220" i="1"/>
  <c r="Q207" i="1"/>
  <c r="R207" i="1"/>
  <c r="Q221" i="1"/>
  <c r="R221" i="1"/>
  <c r="Q216" i="1"/>
  <c r="R216" i="1"/>
  <c r="Q206" i="1"/>
  <c r="R206" i="1"/>
  <c r="Q247" i="1"/>
  <c r="R247" i="1"/>
  <c r="Q335" i="1"/>
  <c r="R335" i="1"/>
  <c r="Q205" i="1"/>
  <c r="R205" i="1"/>
  <c r="Q336" i="1"/>
  <c r="R336" i="1"/>
  <c r="Q239" i="1"/>
  <c r="R239" i="1"/>
  <c r="Q258" i="1"/>
  <c r="R258" i="1"/>
  <c r="Q244" i="1"/>
  <c r="R244" i="1"/>
  <c r="Q215" i="1"/>
  <c r="R215" i="1"/>
  <c r="Q262" i="1"/>
  <c r="R262" i="1"/>
  <c r="Q348" i="1"/>
  <c r="R348" i="1"/>
  <c r="Q259" i="1"/>
  <c r="R259" i="1"/>
  <c r="Q198" i="1"/>
  <c r="R198" i="1"/>
  <c r="Q292" i="1"/>
  <c r="R292" i="1"/>
  <c r="Q43" i="1"/>
  <c r="R43" i="1"/>
  <c r="Q254" i="1"/>
  <c r="R254" i="1"/>
  <c r="Q166" i="1"/>
  <c r="R166" i="1"/>
  <c r="Q251" i="1"/>
  <c r="R251" i="1"/>
  <c r="Q233" i="1"/>
  <c r="R233" i="1"/>
  <c r="Q252" i="1"/>
  <c r="R252" i="1"/>
  <c r="Q270" i="1"/>
  <c r="R270" i="1"/>
  <c r="Q16" i="1"/>
  <c r="R16" i="1"/>
  <c r="Q250" i="1"/>
  <c r="R250" i="1"/>
  <c r="Q82" i="1"/>
  <c r="R82" i="1"/>
  <c r="Q271" i="1"/>
  <c r="R271" i="1"/>
  <c r="Q187" i="1"/>
  <c r="R187" i="1"/>
  <c r="Q391" i="1"/>
  <c r="R391" i="1"/>
  <c r="Q261" i="1"/>
  <c r="R261" i="1"/>
  <c r="Q183" i="1"/>
  <c r="R183" i="1"/>
  <c r="Q186" i="1"/>
  <c r="R186" i="1"/>
  <c r="Q6" i="1"/>
  <c r="R6" i="1"/>
  <c r="Q256" i="1"/>
  <c r="R256" i="1"/>
  <c r="Q185" i="1"/>
  <c r="R185" i="1"/>
  <c r="Q328" i="1"/>
  <c r="R328" i="1"/>
  <c r="Q30" i="1"/>
  <c r="R30" i="1"/>
  <c r="Q184" i="1"/>
  <c r="R184" i="1"/>
  <c r="Q378" i="1"/>
  <c r="R378" i="1"/>
  <c r="Q374" i="1"/>
  <c r="R374" i="1"/>
  <c r="Q330" i="1"/>
  <c r="R330" i="1"/>
  <c r="Q182" i="1"/>
  <c r="R182" i="1"/>
  <c r="Q141" i="1"/>
  <c r="R141" i="1"/>
  <c r="Q423" i="1"/>
  <c r="R423" i="1"/>
  <c r="Q332" i="1"/>
  <c r="R332" i="1"/>
  <c r="Q175" i="1"/>
  <c r="R175" i="1"/>
  <c r="Q308" i="1"/>
  <c r="R308" i="1"/>
  <c r="Q376" i="1"/>
  <c r="R376" i="1"/>
  <c r="Q372" i="1"/>
  <c r="R372" i="1"/>
  <c r="Q307" i="1"/>
  <c r="R307" i="1"/>
  <c r="Q257" i="1"/>
  <c r="R257" i="1"/>
  <c r="Q176" i="1"/>
  <c r="R176" i="1"/>
  <c r="Q273" i="1"/>
  <c r="R273" i="1"/>
  <c r="Q18" i="1"/>
  <c r="R18" i="1"/>
  <c r="Q318" i="1"/>
  <c r="R318" i="1"/>
  <c r="Q17" i="1"/>
  <c r="R17" i="1"/>
  <c r="Q322" i="1"/>
  <c r="R322" i="1"/>
  <c r="Q41" i="1"/>
  <c r="R41" i="1"/>
  <c r="Q22" i="1"/>
  <c r="R22" i="1"/>
  <c r="Q361" i="1"/>
  <c r="R361" i="1"/>
  <c r="Q33" i="1"/>
  <c r="R33" i="1"/>
  <c r="Q167" i="1"/>
  <c r="R167" i="1"/>
  <c r="Q32" i="1"/>
  <c r="R32" i="1"/>
  <c r="Q309" i="1"/>
  <c r="R309" i="1"/>
  <c r="Q26" i="1"/>
  <c r="R26" i="1"/>
  <c r="Q31" i="1"/>
  <c r="R31" i="1"/>
  <c r="Q350" i="1"/>
  <c r="R350" i="1"/>
  <c r="Q390" i="1"/>
  <c r="R390" i="1"/>
  <c r="Q168" i="1"/>
  <c r="R168" i="1"/>
  <c r="Q331" i="1"/>
  <c r="R331" i="1"/>
  <c r="Q312" i="1"/>
  <c r="R312" i="1"/>
  <c r="Q354" i="1"/>
  <c r="R354" i="1"/>
  <c r="Q414" i="1"/>
  <c r="R414" i="1"/>
  <c r="Q56" i="1"/>
  <c r="R56" i="1"/>
  <c r="Q265" i="1"/>
  <c r="R265" i="1"/>
  <c r="Q194" i="1"/>
  <c r="R194" i="1"/>
  <c r="Q267" i="1"/>
  <c r="R267" i="1"/>
  <c r="Q264" i="1"/>
  <c r="R264" i="1"/>
  <c r="Q153" i="1"/>
  <c r="R153" i="1"/>
  <c r="Q152" i="1"/>
  <c r="R152" i="1"/>
  <c r="Q263" i="1"/>
  <c r="R263" i="1"/>
  <c r="Q164" i="1"/>
  <c r="R164" i="1"/>
  <c r="Q151" i="1"/>
  <c r="R151" i="1"/>
  <c r="Q342" i="1"/>
  <c r="R342" i="1"/>
  <c r="Q234" i="1"/>
  <c r="R234" i="1"/>
  <c r="Q150" i="1"/>
  <c r="R150" i="1"/>
  <c r="Q344" i="1"/>
  <c r="R344" i="1"/>
  <c r="Q429" i="1"/>
  <c r="R429" i="1"/>
  <c r="Q341" i="1"/>
  <c r="R341" i="1"/>
  <c r="Q386" i="1"/>
  <c r="R386" i="1"/>
  <c r="Q116" i="1"/>
  <c r="R116" i="1"/>
  <c r="Q200" i="1"/>
  <c r="R200" i="1"/>
  <c r="Q298" i="1"/>
  <c r="R298" i="1"/>
  <c r="Q418" i="1"/>
  <c r="R418" i="1"/>
  <c r="Q404" i="1"/>
  <c r="R404" i="1"/>
  <c r="Q347" i="1"/>
  <c r="R347" i="1"/>
  <c r="Q345" i="1"/>
  <c r="R345" i="1"/>
  <c r="Q117" i="1"/>
  <c r="R117" i="1"/>
  <c r="Q102" i="1"/>
  <c r="R102" i="1"/>
  <c r="Q266" i="1"/>
  <c r="R266" i="1"/>
  <c r="Q356" i="1"/>
  <c r="R356" i="1"/>
  <c r="Q412" i="1"/>
  <c r="R412" i="1"/>
  <c r="Q225" i="1"/>
  <c r="R225" i="1"/>
  <c r="Q285" i="1"/>
  <c r="R285" i="1"/>
  <c r="Q60" i="1"/>
  <c r="R60" i="1"/>
  <c r="Q210" i="1"/>
  <c r="R210" i="1"/>
  <c r="Q89" i="1"/>
  <c r="R89" i="1"/>
  <c r="Q125" i="1"/>
  <c r="R125" i="1"/>
  <c r="Q199" i="1"/>
  <c r="R199" i="1"/>
  <c r="Q10" i="1"/>
  <c r="R10" i="1"/>
  <c r="Q23" i="1"/>
  <c r="R23" i="1"/>
  <c r="Q178" i="1"/>
  <c r="R178" i="1"/>
  <c r="Q9" i="1"/>
  <c r="R9" i="1"/>
  <c r="Q188" i="1"/>
  <c r="R188" i="1"/>
  <c r="Q407" i="1"/>
  <c r="R407" i="1"/>
  <c r="Q397" i="1"/>
  <c r="R397" i="1"/>
  <c r="Q49" i="1"/>
  <c r="R49" i="1"/>
  <c r="Q142" i="1"/>
  <c r="R142" i="1"/>
  <c r="Q189" i="1"/>
  <c r="R189" i="1"/>
  <c r="Q19" i="1"/>
  <c r="R19" i="1"/>
  <c r="Q346" i="1"/>
  <c r="R346" i="1"/>
  <c r="Q196" i="1"/>
  <c r="R196" i="1"/>
  <c r="Q105" i="1"/>
  <c r="R105" i="1"/>
  <c r="Q156" i="1"/>
  <c r="R156" i="1"/>
  <c r="Q77" i="1"/>
  <c r="R77" i="1"/>
  <c r="Q76" i="1"/>
  <c r="R76" i="1"/>
  <c r="Q161" i="1"/>
  <c r="R161" i="1"/>
  <c r="Q100" i="1"/>
  <c r="R100" i="1"/>
  <c r="Q387" i="1"/>
  <c r="R387" i="1"/>
  <c r="Q160" i="1"/>
  <c r="R160" i="1"/>
  <c r="Q177" i="1"/>
  <c r="R177" i="1"/>
  <c r="Q388" i="1"/>
  <c r="R388" i="1"/>
  <c r="Q195" i="1"/>
  <c r="R195" i="1"/>
  <c r="Q384" i="1"/>
  <c r="R384" i="1"/>
  <c r="Q157" i="1"/>
  <c r="R157" i="1"/>
  <c r="Q231" i="1"/>
  <c r="R231" i="1"/>
  <c r="Q192" i="1"/>
  <c r="R192" i="1"/>
  <c r="Q78" i="1"/>
  <c r="R78" i="1"/>
  <c r="Q103" i="1"/>
  <c r="R103" i="1"/>
  <c r="Q75" i="1"/>
  <c r="R75" i="1"/>
  <c r="Q213" i="1"/>
  <c r="R213" i="1"/>
  <c r="Q428" i="1"/>
  <c r="R428" i="1"/>
  <c r="Q229" i="1"/>
  <c r="R229" i="1"/>
  <c r="Q203" i="1"/>
  <c r="R203" i="1"/>
  <c r="Q224" i="1"/>
  <c r="R224" i="1"/>
  <c r="Q191" i="1"/>
  <c r="R191" i="1"/>
  <c r="Q246" i="1"/>
  <c r="R246" i="1"/>
  <c r="Q223" i="1"/>
  <c r="R223" i="1"/>
  <c r="Q104" i="1"/>
  <c r="R104" i="1"/>
  <c r="Q240" i="1"/>
  <c r="R240" i="1"/>
  <c r="Q226" i="1"/>
  <c r="R226" i="1"/>
  <c r="Q158" i="1"/>
  <c r="R158" i="1"/>
  <c r="Q143" i="1"/>
  <c r="R143" i="1"/>
  <c r="Q269" i="1"/>
  <c r="R269" i="1"/>
  <c r="Q155" i="1"/>
  <c r="R155" i="1"/>
  <c r="Q162" i="1"/>
  <c r="R162" i="1"/>
  <c r="Q201" i="1"/>
  <c r="R201" i="1"/>
  <c r="Q402" i="1"/>
  <c r="R402" i="1"/>
  <c r="Q147" i="1"/>
  <c r="R147" i="1"/>
  <c r="Q383" i="1"/>
  <c r="R383" i="1"/>
  <c r="Q382" i="1"/>
  <c r="R382" i="1"/>
  <c r="Q181" i="1"/>
  <c r="R181" i="1"/>
  <c r="Q411" i="1"/>
  <c r="R411" i="1"/>
  <c r="Q268" i="1"/>
  <c r="R268" i="1"/>
  <c r="Q227" i="1"/>
  <c r="R227" i="1"/>
  <c r="F30" i="2"/>
  <c r="F31" i="2"/>
  <c r="F32" i="2"/>
  <c r="F33" i="2"/>
  <c r="F34" i="2"/>
  <c r="F35" i="2"/>
  <c r="C30" i="2"/>
  <c r="C31" i="2"/>
  <c r="C32" i="2"/>
  <c r="C33" i="2"/>
  <c r="C34" i="2"/>
  <c r="C35" i="2"/>
  <c r="J241" i="1"/>
  <c r="C10" i="2"/>
  <c r="K241" i="1"/>
  <c r="F10" i="2"/>
  <c r="I10" i="2"/>
  <c r="L241" i="1"/>
  <c r="J242" i="1"/>
  <c r="K242" i="1"/>
  <c r="L242" i="1"/>
  <c r="J243" i="1"/>
  <c r="K243" i="1"/>
  <c r="L243" i="1"/>
  <c r="Q243" i="1"/>
  <c r="R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C11" i="2"/>
  <c r="K272" i="1"/>
  <c r="F11" i="2"/>
  <c r="I11" i="2"/>
  <c r="L272" i="1"/>
  <c r="Q272" i="1"/>
  <c r="R272" i="1"/>
  <c r="J273" i="1"/>
  <c r="K273" i="1"/>
  <c r="L273" i="1"/>
  <c r="J274" i="1"/>
  <c r="K274" i="1"/>
  <c r="L274" i="1"/>
  <c r="Q274" i="1"/>
  <c r="R274" i="1"/>
  <c r="J275" i="1"/>
  <c r="K275" i="1"/>
  <c r="L275" i="1"/>
  <c r="J276" i="1"/>
  <c r="K276" i="1"/>
  <c r="L276" i="1"/>
  <c r="J277" i="1"/>
  <c r="K277" i="1"/>
  <c r="L277" i="1"/>
  <c r="Q277" i="1"/>
  <c r="R277" i="1"/>
  <c r="J278" i="1"/>
  <c r="K278" i="1"/>
  <c r="L278" i="1"/>
  <c r="Q278" i="1"/>
  <c r="R278" i="1"/>
  <c r="J279" i="1"/>
  <c r="K279" i="1"/>
  <c r="L279" i="1"/>
  <c r="Q279" i="1"/>
  <c r="R279" i="1"/>
  <c r="J280" i="1"/>
  <c r="K280" i="1"/>
  <c r="L280" i="1"/>
  <c r="Q280" i="1"/>
  <c r="R280" i="1"/>
  <c r="J281" i="1"/>
  <c r="K281" i="1"/>
  <c r="L281" i="1"/>
  <c r="J282" i="1"/>
  <c r="K282" i="1"/>
  <c r="L282" i="1"/>
  <c r="Q282" i="1"/>
  <c r="R282" i="1"/>
  <c r="J283" i="1"/>
  <c r="K283" i="1"/>
  <c r="L283" i="1"/>
  <c r="Q283" i="1"/>
  <c r="R283" i="1"/>
  <c r="J284" i="1"/>
  <c r="K284" i="1"/>
  <c r="L284" i="1"/>
  <c r="Q284" i="1"/>
  <c r="R284" i="1"/>
  <c r="J285" i="1"/>
  <c r="K285" i="1"/>
  <c r="L285" i="1"/>
  <c r="J286" i="1"/>
  <c r="K286" i="1"/>
  <c r="L286" i="1"/>
  <c r="Q286" i="1"/>
  <c r="R286" i="1"/>
  <c r="J287" i="1"/>
  <c r="K287" i="1"/>
  <c r="L287" i="1"/>
  <c r="Q287" i="1"/>
  <c r="R287" i="1"/>
  <c r="J288" i="1"/>
  <c r="K288" i="1"/>
  <c r="L288" i="1"/>
  <c r="Q288" i="1"/>
  <c r="R288" i="1"/>
  <c r="J289" i="1"/>
  <c r="K289" i="1"/>
  <c r="L289" i="1"/>
  <c r="J290" i="1"/>
  <c r="K290" i="1"/>
  <c r="L290" i="1"/>
  <c r="Q290" i="1"/>
  <c r="R290" i="1"/>
  <c r="J291" i="1"/>
  <c r="K291" i="1"/>
  <c r="L291" i="1"/>
  <c r="Q291" i="1"/>
  <c r="R291" i="1"/>
  <c r="J292" i="1"/>
  <c r="K292" i="1"/>
  <c r="L292" i="1"/>
  <c r="J293" i="1"/>
  <c r="K293" i="1"/>
  <c r="L293" i="1"/>
  <c r="Q293" i="1"/>
  <c r="R293" i="1"/>
  <c r="J294" i="1"/>
  <c r="K294" i="1"/>
  <c r="L294" i="1"/>
  <c r="Q294" i="1"/>
  <c r="R294" i="1"/>
  <c r="J295" i="1"/>
  <c r="K295" i="1"/>
  <c r="L295" i="1"/>
  <c r="Q295" i="1"/>
  <c r="R295" i="1"/>
  <c r="J296" i="1"/>
  <c r="K296" i="1"/>
  <c r="L296" i="1"/>
  <c r="Q296" i="1"/>
  <c r="R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Q300" i="1"/>
  <c r="R300" i="1"/>
  <c r="J301" i="1"/>
  <c r="K301" i="1"/>
  <c r="L301" i="1"/>
  <c r="Q301" i="1"/>
  <c r="R301" i="1"/>
  <c r="J302" i="1"/>
  <c r="K302" i="1"/>
  <c r="L302" i="1"/>
  <c r="Q302" i="1"/>
  <c r="R302" i="1"/>
  <c r="J303" i="1"/>
  <c r="K303" i="1"/>
  <c r="L303" i="1"/>
  <c r="Q303" i="1"/>
  <c r="R303" i="1"/>
  <c r="J304" i="1"/>
  <c r="K304" i="1"/>
  <c r="L304" i="1"/>
  <c r="Q304" i="1"/>
  <c r="R304" i="1"/>
  <c r="J305" i="1"/>
  <c r="K305" i="1"/>
  <c r="L305" i="1"/>
  <c r="J306" i="1"/>
  <c r="K306" i="1"/>
  <c r="L306" i="1"/>
  <c r="J307" i="1"/>
  <c r="C12" i="2"/>
  <c r="K307" i="1"/>
  <c r="F12" i="2"/>
  <c r="I12" i="2"/>
  <c r="L307" i="1"/>
  <c r="J308" i="1"/>
  <c r="K308" i="1"/>
  <c r="L308" i="1"/>
  <c r="J309" i="1"/>
  <c r="K309" i="1"/>
  <c r="L309" i="1"/>
  <c r="J310" i="1"/>
  <c r="K310" i="1"/>
  <c r="L310" i="1"/>
  <c r="J311" i="1"/>
  <c r="K311" i="1"/>
  <c r="L311" i="1"/>
  <c r="J312" i="1"/>
  <c r="K312" i="1"/>
  <c r="L312" i="1"/>
  <c r="J313" i="1"/>
  <c r="K313" i="1"/>
  <c r="L313" i="1"/>
  <c r="Q313" i="1"/>
  <c r="R313" i="1"/>
  <c r="J314" i="1"/>
  <c r="K314" i="1"/>
  <c r="L314" i="1"/>
  <c r="Q314" i="1"/>
  <c r="R314" i="1"/>
  <c r="J315" i="1"/>
  <c r="K315" i="1"/>
  <c r="L315" i="1"/>
  <c r="Q315" i="1"/>
  <c r="R315" i="1"/>
  <c r="J316" i="1"/>
  <c r="K316" i="1"/>
  <c r="L316" i="1"/>
  <c r="Q316" i="1"/>
  <c r="R316" i="1"/>
  <c r="J317" i="1"/>
  <c r="K317" i="1"/>
  <c r="L317" i="1"/>
  <c r="Q317" i="1"/>
  <c r="R317" i="1"/>
  <c r="J318" i="1"/>
  <c r="K318" i="1"/>
  <c r="L318" i="1"/>
  <c r="J319" i="1"/>
  <c r="K319" i="1"/>
  <c r="L319" i="1"/>
  <c r="Q319" i="1"/>
  <c r="R319" i="1"/>
  <c r="J320" i="1"/>
  <c r="K320" i="1"/>
  <c r="L320" i="1"/>
  <c r="Q320" i="1"/>
  <c r="R320" i="1"/>
  <c r="J321" i="1"/>
  <c r="K321" i="1"/>
  <c r="L321" i="1"/>
  <c r="Q321" i="1"/>
  <c r="R321" i="1"/>
  <c r="J322" i="1"/>
  <c r="K322" i="1"/>
  <c r="L322" i="1"/>
  <c r="J323" i="1"/>
  <c r="K323" i="1"/>
  <c r="L323" i="1"/>
  <c r="Q323" i="1"/>
  <c r="R323" i="1"/>
  <c r="J324" i="1"/>
  <c r="K324" i="1"/>
  <c r="L324" i="1"/>
  <c r="Q324" i="1"/>
  <c r="R324" i="1"/>
  <c r="J325" i="1"/>
  <c r="K325" i="1"/>
  <c r="L325" i="1"/>
  <c r="Q325" i="1"/>
  <c r="R325" i="1"/>
  <c r="J326" i="1"/>
  <c r="K326" i="1"/>
  <c r="L326" i="1"/>
  <c r="Q326" i="1"/>
  <c r="R326" i="1"/>
  <c r="J327" i="1"/>
  <c r="K327" i="1"/>
  <c r="L327" i="1"/>
  <c r="Q327" i="1"/>
  <c r="R327" i="1"/>
  <c r="J328" i="1"/>
  <c r="K328" i="1"/>
  <c r="L328" i="1"/>
  <c r="J329" i="1"/>
  <c r="K329" i="1"/>
  <c r="L329" i="1"/>
  <c r="Q329" i="1"/>
  <c r="R329" i="1"/>
  <c r="J330" i="1"/>
  <c r="K330" i="1"/>
  <c r="L330" i="1"/>
  <c r="J331" i="1"/>
  <c r="K331" i="1"/>
  <c r="L331" i="1"/>
  <c r="J332" i="1"/>
  <c r="K332" i="1"/>
  <c r="L332" i="1"/>
  <c r="J333" i="1"/>
  <c r="K333" i="1"/>
  <c r="L333" i="1"/>
  <c r="J334" i="1"/>
  <c r="K334" i="1"/>
  <c r="L334" i="1"/>
  <c r="J335" i="1"/>
  <c r="K335" i="1"/>
  <c r="L335" i="1"/>
  <c r="J336" i="1"/>
  <c r="K336" i="1"/>
  <c r="L336" i="1"/>
  <c r="J337" i="1"/>
  <c r="K337" i="1"/>
  <c r="L337" i="1"/>
  <c r="J338" i="1"/>
  <c r="K338" i="1"/>
  <c r="L338" i="1"/>
  <c r="J339" i="1"/>
  <c r="K339" i="1"/>
  <c r="L339" i="1"/>
  <c r="Q339" i="1"/>
  <c r="R339" i="1"/>
  <c r="J340" i="1"/>
  <c r="K340" i="1"/>
  <c r="L340" i="1"/>
  <c r="J341" i="1"/>
  <c r="K341" i="1"/>
  <c r="L341" i="1"/>
  <c r="J342" i="1"/>
  <c r="K342" i="1"/>
  <c r="L342" i="1"/>
  <c r="J343" i="1"/>
  <c r="K343" i="1"/>
  <c r="L343" i="1"/>
  <c r="J344" i="1"/>
  <c r="K344" i="1"/>
  <c r="L344" i="1"/>
  <c r="J345" i="1"/>
  <c r="K345" i="1"/>
  <c r="L345" i="1"/>
  <c r="J346" i="1"/>
  <c r="K346" i="1"/>
  <c r="L346" i="1"/>
  <c r="J347" i="1"/>
  <c r="K347" i="1"/>
  <c r="L347" i="1"/>
  <c r="J348" i="1"/>
  <c r="K348" i="1"/>
  <c r="L348" i="1"/>
  <c r="J349" i="1"/>
  <c r="K349" i="1"/>
  <c r="L349" i="1"/>
  <c r="Q349" i="1"/>
  <c r="R349" i="1"/>
  <c r="J350" i="1"/>
  <c r="C13" i="2"/>
  <c r="K350" i="1"/>
  <c r="F13" i="2"/>
  <c r="I13" i="2"/>
  <c r="L350" i="1"/>
  <c r="J351" i="1"/>
  <c r="K351" i="1"/>
  <c r="L351" i="1"/>
  <c r="J352" i="1"/>
  <c r="K352" i="1"/>
  <c r="L352" i="1"/>
  <c r="J353" i="1"/>
  <c r="K353" i="1"/>
  <c r="L353" i="1"/>
  <c r="J354" i="1"/>
  <c r="K354" i="1"/>
  <c r="L354" i="1"/>
  <c r="J355" i="1"/>
  <c r="K355" i="1"/>
  <c r="L355" i="1"/>
  <c r="J356" i="1"/>
  <c r="K356" i="1"/>
  <c r="L356" i="1"/>
  <c r="J357" i="1"/>
  <c r="K357" i="1"/>
  <c r="L357" i="1"/>
  <c r="Q357" i="1"/>
  <c r="R357" i="1"/>
  <c r="J358" i="1"/>
  <c r="K358" i="1"/>
  <c r="L358" i="1"/>
  <c r="Q358" i="1"/>
  <c r="R358" i="1"/>
  <c r="J359" i="1"/>
  <c r="K359" i="1"/>
  <c r="L359" i="1"/>
  <c r="Q359" i="1"/>
  <c r="R359" i="1"/>
  <c r="J360" i="1"/>
  <c r="K360" i="1"/>
  <c r="L360" i="1"/>
  <c r="Q360" i="1"/>
  <c r="R360" i="1"/>
  <c r="J361" i="1"/>
  <c r="K361" i="1"/>
  <c r="L361" i="1"/>
  <c r="J362" i="1"/>
  <c r="K362" i="1"/>
  <c r="L362" i="1"/>
  <c r="Q362" i="1"/>
  <c r="R362" i="1"/>
  <c r="J363" i="1"/>
  <c r="K363" i="1"/>
  <c r="L363" i="1"/>
  <c r="Q363" i="1"/>
  <c r="R363" i="1"/>
  <c r="J364" i="1"/>
  <c r="K364" i="1"/>
  <c r="L364" i="1"/>
  <c r="Q364" i="1"/>
  <c r="R364" i="1"/>
  <c r="J365" i="1"/>
  <c r="K365" i="1"/>
  <c r="L365" i="1"/>
  <c r="Q365" i="1"/>
  <c r="R365" i="1"/>
  <c r="J366" i="1"/>
  <c r="K366" i="1"/>
  <c r="L366" i="1"/>
  <c r="Q366" i="1"/>
  <c r="R366" i="1"/>
  <c r="J367" i="1"/>
  <c r="K367" i="1"/>
  <c r="L367" i="1"/>
  <c r="Q367" i="1"/>
  <c r="R367" i="1"/>
  <c r="J368" i="1"/>
  <c r="K368" i="1"/>
  <c r="L368" i="1"/>
  <c r="Q368" i="1"/>
  <c r="R368" i="1"/>
  <c r="J369" i="1"/>
  <c r="K369" i="1"/>
  <c r="L369" i="1"/>
  <c r="Q369" i="1"/>
  <c r="R369" i="1"/>
  <c r="J370" i="1"/>
  <c r="K370" i="1"/>
  <c r="L370" i="1"/>
  <c r="J371" i="1"/>
  <c r="K371" i="1"/>
  <c r="L371" i="1"/>
  <c r="Q371" i="1"/>
  <c r="R371" i="1"/>
  <c r="J372" i="1"/>
  <c r="K372" i="1"/>
  <c r="L372" i="1"/>
  <c r="J373" i="1"/>
  <c r="K373" i="1"/>
  <c r="L373" i="1"/>
  <c r="J374" i="1"/>
  <c r="K374" i="1"/>
  <c r="L374" i="1"/>
  <c r="J375" i="1"/>
  <c r="K375" i="1"/>
  <c r="L375" i="1"/>
  <c r="Q375" i="1"/>
  <c r="R375" i="1"/>
  <c r="J376" i="1"/>
  <c r="K376" i="1"/>
  <c r="F8" i="2"/>
  <c r="I8" i="2"/>
  <c r="L376" i="1"/>
  <c r="J377" i="1"/>
  <c r="K377" i="1"/>
  <c r="L377" i="1"/>
  <c r="Q377" i="1"/>
  <c r="R377" i="1"/>
  <c r="J378" i="1"/>
  <c r="K378" i="1"/>
  <c r="L378" i="1"/>
  <c r="J379" i="1"/>
  <c r="K379" i="1"/>
  <c r="L379" i="1"/>
  <c r="J380" i="1"/>
  <c r="K380" i="1"/>
  <c r="L380" i="1"/>
  <c r="Q380" i="1"/>
  <c r="R380" i="1"/>
  <c r="J381" i="1"/>
  <c r="K381" i="1"/>
  <c r="L381" i="1"/>
  <c r="Q381" i="1"/>
  <c r="R381" i="1"/>
  <c r="J382" i="1"/>
  <c r="K382" i="1"/>
  <c r="L382" i="1"/>
  <c r="J383" i="1"/>
  <c r="K383" i="1"/>
  <c r="L383" i="1"/>
  <c r="J384" i="1"/>
  <c r="K384" i="1"/>
  <c r="L384" i="1"/>
  <c r="J385" i="1"/>
  <c r="K385" i="1"/>
  <c r="L385" i="1"/>
  <c r="Q385" i="1"/>
  <c r="R385" i="1"/>
  <c r="J386" i="1"/>
  <c r="K386" i="1"/>
  <c r="L386" i="1"/>
  <c r="J387" i="1"/>
  <c r="K387" i="1"/>
  <c r="L387" i="1"/>
  <c r="J388" i="1"/>
  <c r="K388" i="1"/>
  <c r="L388" i="1"/>
  <c r="J389" i="1"/>
  <c r="K389" i="1"/>
  <c r="L389" i="1"/>
  <c r="Q389" i="1"/>
  <c r="R389" i="1"/>
  <c r="J390" i="1"/>
  <c r="K390" i="1"/>
  <c r="L390" i="1"/>
  <c r="J391" i="1"/>
  <c r="K391" i="1"/>
  <c r="L391" i="1"/>
  <c r="Q392" i="1"/>
  <c r="R392" i="1"/>
  <c r="J393" i="1"/>
  <c r="C14" i="2"/>
  <c r="K393" i="1"/>
  <c r="F14" i="2"/>
  <c r="I14" i="2"/>
  <c r="L393" i="1"/>
  <c r="J394" i="1"/>
  <c r="K394" i="1"/>
  <c r="L394" i="1"/>
  <c r="J395" i="1"/>
  <c r="K395" i="1"/>
  <c r="L395" i="1"/>
  <c r="Q395" i="1"/>
  <c r="R395" i="1"/>
  <c r="J396" i="1"/>
  <c r="K396" i="1"/>
  <c r="L396" i="1"/>
  <c r="J397" i="1"/>
  <c r="K397" i="1"/>
  <c r="L397" i="1"/>
  <c r="J398" i="1"/>
  <c r="K398" i="1"/>
  <c r="L398" i="1"/>
  <c r="J399" i="1"/>
  <c r="K399" i="1"/>
  <c r="L399" i="1"/>
  <c r="J400" i="1"/>
  <c r="K400" i="1"/>
  <c r="L400" i="1"/>
  <c r="Q400" i="1"/>
  <c r="R400" i="1"/>
  <c r="J401" i="1"/>
  <c r="K401" i="1"/>
  <c r="L401" i="1"/>
  <c r="Q401" i="1"/>
  <c r="R401" i="1"/>
  <c r="J402" i="1"/>
  <c r="K402" i="1"/>
  <c r="L402" i="1"/>
  <c r="J403" i="1"/>
  <c r="K403" i="1"/>
  <c r="L403" i="1"/>
  <c r="Q403" i="1"/>
  <c r="R403" i="1"/>
  <c r="J404" i="1"/>
  <c r="K404" i="1"/>
  <c r="L404" i="1"/>
  <c r="J405" i="1"/>
  <c r="K405" i="1"/>
  <c r="L405" i="1"/>
  <c r="J406" i="1"/>
  <c r="K406" i="1"/>
  <c r="L406" i="1"/>
  <c r="J407" i="1"/>
  <c r="K407" i="1"/>
  <c r="L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J412" i="1"/>
  <c r="K412" i="1"/>
  <c r="L412" i="1"/>
  <c r="J413" i="1"/>
  <c r="K413" i="1"/>
  <c r="L413" i="1"/>
  <c r="Q413" i="1"/>
  <c r="R413" i="1"/>
  <c r="J414" i="1"/>
  <c r="K414" i="1"/>
  <c r="L414" i="1"/>
  <c r="J415" i="1"/>
  <c r="K415" i="1"/>
  <c r="L415" i="1"/>
  <c r="Q415" i="1"/>
  <c r="R415" i="1"/>
  <c r="J416" i="1"/>
  <c r="K416" i="1"/>
  <c r="L416" i="1"/>
  <c r="Q416" i="1"/>
  <c r="R416" i="1"/>
  <c r="J417" i="1"/>
  <c r="K417" i="1"/>
  <c r="L417" i="1"/>
  <c r="Q417" i="1"/>
  <c r="R417" i="1"/>
  <c r="J418" i="1"/>
  <c r="K418" i="1"/>
  <c r="L418" i="1"/>
  <c r="J419" i="1"/>
  <c r="K419" i="1"/>
  <c r="L419" i="1"/>
  <c r="Q419" i="1"/>
  <c r="R419" i="1"/>
  <c r="J420" i="1"/>
  <c r="K420" i="1"/>
  <c r="L420" i="1"/>
  <c r="Q420" i="1"/>
  <c r="R420" i="1"/>
  <c r="J421" i="1"/>
  <c r="K421" i="1"/>
  <c r="L421" i="1"/>
  <c r="Q421" i="1"/>
  <c r="R421" i="1"/>
  <c r="J422" i="1"/>
  <c r="K422" i="1"/>
  <c r="L422" i="1"/>
  <c r="Q422" i="1"/>
  <c r="R422" i="1"/>
  <c r="J423" i="1"/>
  <c r="C16" i="2"/>
  <c r="K423" i="1"/>
  <c r="L423" i="1"/>
  <c r="J425" i="1"/>
  <c r="K425" i="1"/>
  <c r="L425" i="1"/>
  <c r="Q426" i="1"/>
  <c r="R426" i="1"/>
  <c r="Q427" i="1"/>
  <c r="R427" i="1"/>
  <c r="J72" i="1"/>
  <c r="C5" i="2"/>
  <c r="K72" i="1"/>
  <c r="F5" i="2"/>
  <c r="I5" i="2"/>
  <c r="L72" i="1"/>
  <c r="J73" i="1"/>
  <c r="K73" i="1"/>
  <c r="L73" i="1"/>
  <c r="J74" i="1"/>
  <c r="K74" i="1"/>
  <c r="L74" i="1"/>
  <c r="Q74" i="1"/>
  <c r="R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C6" i="2"/>
  <c r="K83" i="1"/>
  <c r="F6" i="2"/>
  <c r="I6" i="2"/>
  <c r="L83" i="1"/>
  <c r="Q83" i="1"/>
  <c r="R83" i="1"/>
  <c r="J84" i="1"/>
  <c r="K84" i="1"/>
  <c r="L84" i="1"/>
  <c r="Q84" i="1"/>
  <c r="R84" i="1"/>
  <c r="J85" i="1"/>
  <c r="K85" i="1"/>
  <c r="L85" i="1"/>
  <c r="Q85" i="1"/>
  <c r="R85" i="1"/>
  <c r="J86" i="1"/>
  <c r="K86" i="1"/>
  <c r="L86" i="1"/>
  <c r="Q86" i="1"/>
  <c r="R86" i="1"/>
  <c r="J87" i="1"/>
  <c r="K87" i="1"/>
  <c r="L87" i="1"/>
  <c r="Q87" i="1"/>
  <c r="R87" i="1"/>
  <c r="J88" i="1"/>
  <c r="K88" i="1"/>
  <c r="L88" i="1"/>
  <c r="Q88" i="1"/>
  <c r="R88" i="1"/>
  <c r="J89" i="1"/>
  <c r="K89" i="1"/>
  <c r="L89" i="1"/>
  <c r="J90" i="1"/>
  <c r="K90" i="1"/>
  <c r="L90" i="1"/>
  <c r="Q90" i="1"/>
  <c r="R90" i="1"/>
  <c r="J91" i="1"/>
  <c r="K91" i="1"/>
  <c r="L91" i="1"/>
  <c r="Q91" i="1"/>
  <c r="R91" i="1"/>
  <c r="J92" i="1"/>
  <c r="K92" i="1"/>
  <c r="L92" i="1"/>
  <c r="Q92" i="1"/>
  <c r="R92" i="1"/>
  <c r="J93" i="1"/>
  <c r="K93" i="1"/>
  <c r="L93" i="1"/>
  <c r="Q93" i="1"/>
  <c r="R93" i="1"/>
  <c r="J94" i="1"/>
  <c r="K94" i="1"/>
  <c r="L94" i="1"/>
  <c r="Q94" i="1"/>
  <c r="R94" i="1"/>
  <c r="J95" i="1"/>
  <c r="K95" i="1"/>
  <c r="L95" i="1"/>
  <c r="Q95" i="1"/>
  <c r="R95" i="1"/>
  <c r="J96" i="1"/>
  <c r="K96" i="1"/>
  <c r="L96" i="1"/>
  <c r="J97" i="1"/>
  <c r="K97" i="1"/>
  <c r="L97" i="1"/>
  <c r="Q97" i="1"/>
  <c r="R97" i="1"/>
  <c r="J98" i="1"/>
  <c r="K98" i="1"/>
  <c r="L98" i="1"/>
  <c r="Q98" i="1"/>
  <c r="R98" i="1"/>
  <c r="J99" i="1"/>
  <c r="K99" i="1"/>
  <c r="L99" i="1"/>
  <c r="Q99" i="1"/>
  <c r="R99" i="1"/>
  <c r="J100" i="1"/>
  <c r="K100" i="1"/>
  <c r="L100" i="1"/>
  <c r="J101" i="1"/>
  <c r="K101" i="1"/>
  <c r="L101" i="1"/>
  <c r="Q101" i="1"/>
  <c r="R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Q107" i="1"/>
  <c r="R107" i="1"/>
  <c r="J108" i="1"/>
  <c r="K108" i="1"/>
  <c r="L108" i="1"/>
  <c r="Q108" i="1"/>
  <c r="R108" i="1"/>
  <c r="J109" i="1"/>
  <c r="K109" i="1"/>
  <c r="L109" i="1"/>
  <c r="Q109" i="1"/>
  <c r="R109" i="1"/>
  <c r="J110" i="1"/>
  <c r="K110" i="1"/>
  <c r="L110" i="1"/>
  <c r="Q110" i="1"/>
  <c r="R110" i="1"/>
  <c r="J111" i="1"/>
  <c r="K111" i="1"/>
  <c r="L111" i="1"/>
  <c r="Q111" i="1"/>
  <c r="R111" i="1"/>
  <c r="J112" i="1"/>
  <c r="K112" i="1"/>
  <c r="L112" i="1"/>
  <c r="J113" i="1"/>
  <c r="K113" i="1"/>
  <c r="L113" i="1"/>
  <c r="Q113" i="1"/>
  <c r="R113" i="1"/>
  <c r="J114" i="1"/>
  <c r="K114" i="1"/>
  <c r="L114" i="1"/>
  <c r="Q114" i="1"/>
  <c r="R114" i="1"/>
  <c r="J115" i="1"/>
  <c r="K115" i="1"/>
  <c r="L115" i="1"/>
  <c r="Q115" i="1"/>
  <c r="R115" i="1"/>
  <c r="J116" i="1"/>
  <c r="K116" i="1"/>
  <c r="L116" i="1"/>
  <c r="J117" i="1"/>
  <c r="K117" i="1"/>
  <c r="L117" i="1"/>
  <c r="J118" i="1"/>
  <c r="K118" i="1"/>
  <c r="L118" i="1"/>
  <c r="Q118" i="1"/>
  <c r="R118" i="1"/>
  <c r="J119" i="1"/>
  <c r="K119" i="1"/>
  <c r="L119" i="1"/>
  <c r="Q119" i="1"/>
  <c r="R119" i="1"/>
  <c r="J120" i="1"/>
  <c r="K120" i="1"/>
  <c r="L120" i="1"/>
  <c r="Q120" i="1"/>
  <c r="R120" i="1"/>
  <c r="J121" i="1"/>
  <c r="K121" i="1"/>
  <c r="L121" i="1"/>
  <c r="Q121" i="1"/>
  <c r="R121" i="1"/>
  <c r="J122" i="1"/>
  <c r="K122" i="1"/>
  <c r="L122" i="1"/>
  <c r="Q122" i="1"/>
  <c r="R122" i="1"/>
  <c r="J123" i="1"/>
  <c r="K123" i="1"/>
  <c r="L123" i="1"/>
  <c r="Q123" i="1"/>
  <c r="R123" i="1"/>
  <c r="J124" i="1"/>
  <c r="K124" i="1"/>
  <c r="L124" i="1"/>
  <c r="Q124" i="1"/>
  <c r="R124" i="1"/>
  <c r="J125" i="1"/>
  <c r="C7" i="2"/>
  <c r="K125" i="1"/>
  <c r="F7" i="2"/>
  <c r="I7" i="2"/>
  <c r="L125" i="1"/>
  <c r="J126" i="1"/>
  <c r="K126" i="1"/>
  <c r="L126" i="1"/>
  <c r="Q126" i="1"/>
  <c r="R126" i="1"/>
  <c r="J127" i="1"/>
  <c r="K127" i="1"/>
  <c r="L127" i="1"/>
  <c r="Q127" i="1"/>
  <c r="R127" i="1"/>
  <c r="J128" i="1"/>
  <c r="K128" i="1"/>
  <c r="L128" i="1"/>
  <c r="Q128" i="1"/>
  <c r="R128" i="1"/>
  <c r="J129" i="1"/>
  <c r="K129" i="1"/>
  <c r="L129" i="1"/>
  <c r="Q129" i="1"/>
  <c r="R129" i="1"/>
  <c r="J130" i="1"/>
  <c r="K130" i="1"/>
  <c r="L130" i="1"/>
  <c r="Q130" i="1"/>
  <c r="R130" i="1"/>
  <c r="J131" i="1"/>
  <c r="K131" i="1"/>
  <c r="L131" i="1"/>
  <c r="Q131" i="1"/>
  <c r="R131" i="1"/>
  <c r="J132" i="1"/>
  <c r="K132" i="1"/>
  <c r="L132" i="1"/>
  <c r="Q132" i="1"/>
  <c r="R132" i="1"/>
  <c r="J133" i="1"/>
  <c r="K133" i="1"/>
  <c r="L133" i="1"/>
  <c r="Q133" i="1"/>
  <c r="R133" i="1"/>
  <c r="J134" i="1"/>
  <c r="K134" i="1"/>
  <c r="L134" i="1"/>
  <c r="Q134" i="1"/>
  <c r="R134" i="1"/>
  <c r="J135" i="1"/>
  <c r="K135" i="1"/>
  <c r="L135" i="1"/>
  <c r="Q135" i="1"/>
  <c r="R135" i="1"/>
  <c r="J136" i="1"/>
  <c r="K136" i="1"/>
  <c r="L136" i="1"/>
  <c r="Q136" i="1"/>
  <c r="R136" i="1"/>
  <c r="J137" i="1"/>
  <c r="K137" i="1"/>
  <c r="L137" i="1"/>
  <c r="Q137" i="1"/>
  <c r="R137" i="1"/>
  <c r="J138" i="1"/>
  <c r="K138" i="1"/>
  <c r="L138" i="1"/>
  <c r="Q138" i="1"/>
  <c r="R138" i="1"/>
  <c r="J139" i="1"/>
  <c r="K139" i="1"/>
  <c r="L139" i="1"/>
  <c r="J140" i="1"/>
  <c r="K140" i="1"/>
  <c r="L140" i="1"/>
  <c r="Q140" i="1"/>
  <c r="R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Q145" i="1"/>
  <c r="R145" i="1"/>
  <c r="J146" i="1"/>
  <c r="K146" i="1"/>
  <c r="L146" i="1"/>
  <c r="Q146" i="1"/>
  <c r="R146" i="1"/>
  <c r="J147" i="1"/>
  <c r="K147" i="1"/>
  <c r="L147" i="1"/>
  <c r="J148" i="1"/>
  <c r="K148" i="1"/>
  <c r="L148" i="1"/>
  <c r="J149" i="1"/>
  <c r="K149" i="1"/>
  <c r="L149" i="1"/>
  <c r="Q149" i="1"/>
  <c r="R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C8" i="2"/>
  <c r="K162" i="1"/>
  <c r="L162" i="1"/>
  <c r="J163" i="1"/>
  <c r="K163" i="1"/>
  <c r="L163" i="1"/>
  <c r="Q163" i="1"/>
  <c r="R163" i="1"/>
  <c r="J164" i="1"/>
  <c r="K164" i="1"/>
  <c r="L164" i="1"/>
  <c r="J165" i="1"/>
  <c r="K165" i="1"/>
  <c r="L165" i="1"/>
  <c r="Q165" i="1"/>
  <c r="R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Q169" i="1"/>
  <c r="R169" i="1"/>
  <c r="J170" i="1"/>
  <c r="K170" i="1"/>
  <c r="L170" i="1"/>
  <c r="Q170" i="1"/>
  <c r="R170" i="1"/>
  <c r="J171" i="1"/>
  <c r="K171" i="1"/>
  <c r="L171" i="1"/>
  <c r="Q171" i="1"/>
  <c r="R171" i="1"/>
  <c r="J172" i="1"/>
  <c r="K172" i="1"/>
  <c r="L172" i="1"/>
  <c r="J173" i="1"/>
  <c r="K173" i="1"/>
  <c r="L173" i="1"/>
  <c r="Q173" i="1"/>
  <c r="R173" i="1"/>
  <c r="J174" i="1"/>
  <c r="K174" i="1"/>
  <c r="L174" i="1"/>
  <c r="Q174" i="1"/>
  <c r="R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Q179" i="1"/>
  <c r="R179" i="1"/>
  <c r="J180" i="1"/>
  <c r="K180" i="1"/>
  <c r="L180" i="1"/>
  <c r="Q180" i="1"/>
  <c r="R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Q190" i="1"/>
  <c r="R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Q197" i="1"/>
  <c r="R197" i="1"/>
  <c r="J198" i="1"/>
  <c r="C9" i="2"/>
  <c r="K198" i="1"/>
  <c r="F9" i="2"/>
  <c r="I9" i="2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Q228" i="1"/>
  <c r="R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Q232" i="1"/>
  <c r="R232" i="1"/>
  <c r="J233" i="1"/>
  <c r="K233" i="1"/>
  <c r="L233" i="1"/>
  <c r="J234" i="1"/>
  <c r="K234" i="1"/>
  <c r="L234" i="1"/>
  <c r="J235" i="1"/>
  <c r="K235" i="1"/>
  <c r="L235" i="1"/>
  <c r="Q235" i="1"/>
  <c r="R235" i="1"/>
  <c r="J236" i="1"/>
  <c r="K236" i="1"/>
  <c r="L236" i="1"/>
  <c r="Q236" i="1"/>
  <c r="R236" i="1"/>
  <c r="J237" i="1"/>
  <c r="K237" i="1"/>
  <c r="L237" i="1"/>
  <c r="Q237" i="1"/>
  <c r="R237" i="1"/>
  <c r="J238" i="1"/>
  <c r="K238" i="1"/>
  <c r="L238" i="1"/>
  <c r="J239" i="1"/>
  <c r="K239" i="1"/>
  <c r="L239" i="1"/>
  <c r="J240" i="1"/>
  <c r="K240" i="1"/>
  <c r="L240" i="1"/>
  <c r="J31" i="1"/>
  <c r="C4" i="2"/>
  <c r="K31" i="1"/>
  <c r="F4" i="2"/>
  <c r="I4" i="2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Q35" i="1"/>
  <c r="R35" i="1"/>
  <c r="J36" i="1"/>
  <c r="K36" i="1"/>
  <c r="L36" i="1"/>
  <c r="Q36" i="1"/>
  <c r="R36" i="1"/>
  <c r="J37" i="1"/>
  <c r="K37" i="1"/>
  <c r="L37" i="1"/>
  <c r="J38" i="1"/>
  <c r="K38" i="1"/>
  <c r="L38" i="1"/>
  <c r="Q38" i="1"/>
  <c r="R38" i="1"/>
  <c r="J39" i="1"/>
  <c r="K39" i="1"/>
  <c r="L39" i="1"/>
  <c r="Q39" i="1"/>
  <c r="R39" i="1"/>
  <c r="J40" i="1"/>
  <c r="K40" i="1"/>
  <c r="L40" i="1"/>
  <c r="J41" i="1"/>
  <c r="K41" i="1"/>
  <c r="L41" i="1"/>
  <c r="J42" i="1"/>
  <c r="K42" i="1"/>
  <c r="L42" i="1"/>
  <c r="Q42" i="1"/>
  <c r="R42" i="1"/>
  <c r="J43" i="1"/>
  <c r="K43" i="1"/>
  <c r="L43" i="1"/>
  <c r="J44" i="1"/>
  <c r="K44" i="1"/>
  <c r="L44" i="1"/>
  <c r="Q44" i="1"/>
  <c r="R44" i="1"/>
  <c r="J45" i="1"/>
  <c r="K45" i="1"/>
  <c r="L45" i="1"/>
  <c r="Q45" i="1"/>
  <c r="R45" i="1"/>
  <c r="J46" i="1"/>
  <c r="K46" i="1"/>
  <c r="L46" i="1"/>
  <c r="Q46" i="1"/>
  <c r="R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Q53" i="1"/>
  <c r="R53" i="1"/>
  <c r="J54" i="1"/>
  <c r="K54" i="1"/>
  <c r="L54" i="1"/>
  <c r="Q54" i="1"/>
  <c r="R54" i="1"/>
  <c r="J55" i="1"/>
  <c r="K55" i="1"/>
  <c r="L55" i="1"/>
  <c r="Q55" i="1"/>
  <c r="R55" i="1"/>
  <c r="J56" i="1"/>
  <c r="K56" i="1"/>
  <c r="L56" i="1"/>
  <c r="J57" i="1"/>
  <c r="K57" i="1"/>
  <c r="L57" i="1"/>
  <c r="Q57" i="1"/>
  <c r="R57" i="1"/>
  <c r="J58" i="1"/>
  <c r="K58" i="1"/>
  <c r="L58" i="1"/>
  <c r="Q58" i="1"/>
  <c r="R58" i="1"/>
  <c r="J59" i="1"/>
  <c r="K59" i="1"/>
  <c r="L59" i="1"/>
  <c r="J60" i="1"/>
  <c r="K60" i="1"/>
  <c r="L60" i="1"/>
  <c r="J61" i="1"/>
  <c r="K61" i="1"/>
  <c r="L61" i="1"/>
  <c r="J62" i="1"/>
  <c r="K62" i="1"/>
  <c r="L62" i="1"/>
  <c r="Q62" i="1"/>
  <c r="R62" i="1"/>
  <c r="J63" i="1"/>
  <c r="K63" i="1"/>
  <c r="L63" i="1"/>
  <c r="Q63" i="1"/>
  <c r="R63" i="1"/>
  <c r="J64" i="1"/>
  <c r="K64" i="1"/>
  <c r="L64" i="1"/>
  <c r="Q64" i="1"/>
  <c r="R64" i="1"/>
  <c r="J65" i="1"/>
  <c r="K65" i="1"/>
  <c r="L65" i="1"/>
  <c r="Q65" i="1"/>
  <c r="R65" i="1"/>
  <c r="J66" i="1"/>
  <c r="K66" i="1"/>
  <c r="L66" i="1"/>
  <c r="Q66" i="1"/>
  <c r="R66" i="1"/>
  <c r="J67" i="1"/>
  <c r="K67" i="1"/>
  <c r="L67" i="1"/>
  <c r="J68" i="1"/>
  <c r="K68" i="1"/>
  <c r="L68" i="1"/>
  <c r="Q68" i="1"/>
  <c r="R68" i="1"/>
  <c r="J69" i="1"/>
  <c r="K69" i="1"/>
  <c r="L69" i="1"/>
  <c r="J70" i="1"/>
  <c r="K70" i="1"/>
  <c r="L70" i="1"/>
  <c r="Q70" i="1"/>
  <c r="R70" i="1"/>
  <c r="J71" i="1"/>
  <c r="K71" i="1"/>
  <c r="L71" i="1"/>
  <c r="J4" i="1"/>
  <c r="K4" i="1"/>
  <c r="L4" i="1"/>
  <c r="Q4" i="1"/>
  <c r="R4" i="1"/>
  <c r="J5" i="1"/>
  <c r="K5" i="1"/>
  <c r="L5" i="1"/>
  <c r="J6" i="1"/>
  <c r="K6" i="1"/>
  <c r="L6" i="1"/>
  <c r="J7" i="1"/>
  <c r="K7" i="1"/>
  <c r="L7" i="1"/>
  <c r="J8" i="1"/>
  <c r="K8" i="1"/>
  <c r="L8" i="1"/>
  <c r="Q8" i="1"/>
  <c r="R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Q20" i="1"/>
  <c r="R20" i="1"/>
  <c r="J21" i="1"/>
  <c r="K21" i="1"/>
  <c r="L21" i="1"/>
  <c r="J22" i="1"/>
  <c r="K22" i="1"/>
  <c r="L22" i="1"/>
  <c r="J23" i="1"/>
  <c r="K23" i="1"/>
  <c r="L23" i="1"/>
  <c r="J24" i="1"/>
  <c r="K24" i="1"/>
  <c r="L24" i="1"/>
  <c r="Q24" i="1"/>
  <c r="R24" i="1"/>
  <c r="J25" i="1"/>
  <c r="K25" i="1"/>
  <c r="L25" i="1"/>
  <c r="Q25" i="1"/>
  <c r="R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" i="1"/>
  <c r="K3" i="1"/>
  <c r="L3" i="1"/>
  <c r="Q281" i="1"/>
  <c r="Q96" i="1"/>
  <c r="C29" i="2"/>
  <c r="F29" i="2"/>
  <c r="C28" i="2"/>
  <c r="F28" i="2"/>
  <c r="M10" i="2"/>
  <c r="M4" i="2"/>
  <c r="M9" i="2"/>
  <c r="M12" i="2"/>
  <c r="N10" i="2"/>
  <c r="N9" i="2"/>
  <c r="C27" i="2"/>
  <c r="F27" i="2"/>
  <c r="Q112" i="1"/>
  <c r="Q370" i="1"/>
  <c r="Q430" i="1"/>
  <c r="F26" i="2"/>
  <c r="C26" i="2"/>
  <c r="G12" i="2"/>
  <c r="J12" i="2"/>
  <c r="G13" i="2"/>
  <c r="J13" i="2"/>
  <c r="G14" i="2"/>
  <c r="J14" i="2"/>
  <c r="G15" i="2"/>
  <c r="J15" i="2"/>
  <c r="F15" i="2"/>
  <c r="I15" i="2"/>
  <c r="H12" i="2"/>
  <c r="H13" i="2"/>
  <c r="H14" i="2"/>
  <c r="H15" i="2"/>
  <c r="C24" i="2"/>
  <c r="H11" i="2"/>
  <c r="G11" i="2"/>
  <c r="J11" i="2"/>
  <c r="J424" i="1"/>
  <c r="K424" i="1"/>
  <c r="M3" i="2"/>
  <c r="M6" i="2"/>
  <c r="N4" i="2"/>
  <c r="N3" i="2"/>
  <c r="G16" i="2"/>
  <c r="J16" i="2"/>
  <c r="F16" i="2"/>
  <c r="I16" i="2"/>
  <c r="H16" i="2"/>
  <c r="H10" i="2"/>
  <c r="G10" i="2"/>
  <c r="J10" i="2"/>
  <c r="C18" i="2"/>
  <c r="H9" i="2"/>
  <c r="G9" i="2"/>
  <c r="J9" i="2"/>
  <c r="G5" i="2"/>
  <c r="J5" i="2"/>
  <c r="H5" i="2"/>
  <c r="G4" i="2"/>
  <c r="J4" i="2"/>
  <c r="G6" i="2"/>
  <c r="J6" i="2"/>
  <c r="G7" i="2"/>
  <c r="J7" i="2"/>
  <c r="G8" i="2"/>
  <c r="J8" i="2"/>
  <c r="H6" i="2"/>
  <c r="H7" i="2"/>
  <c r="H8" i="2"/>
  <c r="H4" i="2"/>
  <c r="E18" i="2"/>
  <c r="D18" i="2"/>
  <c r="B18" i="2"/>
</calcChain>
</file>

<file path=xl/sharedStrings.xml><?xml version="1.0" encoding="utf-8"?>
<sst xmlns="http://schemas.openxmlformats.org/spreadsheetml/2006/main" count="17764" uniqueCount="321">
  <si>
    <t>BRET</t>
  </si>
  <si>
    <t>Split-YFP</t>
  </si>
  <si>
    <t>LUMIER</t>
  </si>
  <si>
    <t>Protein1</t>
  </si>
  <si>
    <t>Protein2</t>
  </si>
  <si>
    <t>Tag1</t>
  </si>
  <si>
    <t>Tag2</t>
  </si>
  <si>
    <t>Mean BRET</t>
  </si>
  <si>
    <t>Count</t>
  </si>
  <si>
    <t>Mean YFP</t>
  </si>
  <si>
    <t>Mean-nodna</t>
  </si>
  <si>
    <t>normalized YFP</t>
  </si>
  <si>
    <t>Pos_Neg</t>
  </si>
  <si>
    <t>Platte</t>
  </si>
  <si>
    <t>Mean</t>
  </si>
  <si>
    <t>Mean/nodna</t>
  </si>
  <si>
    <t>Plattte</t>
  </si>
  <si>
    <t>ABCD1</t>
  </si>
  <si>
    <t>ALDH3A2</t>
  </si>
  <si>
    <t>C-hRluc</t>
  </si>
  <si>
    <t>N-Venus</t>
  </si>
  <si>
    <t>YFP1</t>
  </si>
  <si>
    <t>YFP2</t>
  </si>
  <si>
    <t>N-hRluc</t>
  </si>
  <si>
    <t>V5</t>
  </si>
  <si>
    <t>EHHADH</t>
  </si>
  <si>
    <t>C-Venus</t>
  </si>
  <si>
    <t>FAR1</t>
  </si>
  <si>
    <t>PEX13</t>
  </si>
  <si>
    <t>PEX5d</t>
  </si>
  <si>
    <t>PXT1</t>
  </si>
  <si>
    <t>ABCD3b</t>
  </si>
  <si>
    <t>FIS1</t>
  </si>
  <si>
    <t>FNDC5</t>
  </si>
  <si>
    <t>ABCD4</t>
  </si>
  <si>
    <t>ACOX2</t>
  </si>
  <si>
    <t>PRDX1</t>
  </si>
  <si>
    <t>SLC22A5</t>
  </si>
  <si>
    <t>SOD1</t>
  </si>
  <si>
    <t>ACAA1a</t>
  </si>
  <si>
    <t>GSTK1a</t>
  </si>
  <si>
    <t>PMVK</t>
  </si>
  <si>
    <t>TYSND1</t>
  </si>
  <si>
    <t>ACAA1b</t>
  </si>
  <si>
    <t>ACOT1</t>
  </si>
  <si>
    <t>DAO</t>
  </si>
  <si>
    <t>YPF1</t>
  </si>
  <si>
    <t>SLC27A2</t>
  </si>
  <si>
    <t>ACAD11</t>
  </si>
  <si>
    <t>ACOT2v1</t>
  </si>
  <si>
    <t>AGXT</t>
  </si>
  <si>
    <t>ACOT2v2</t>
  </si>
  <si>
    <t>DHRS4</t>
  </si>
  <si>
    <t>ACOT8</t>
  </si>
  <si>
    <t>HAO1</t>
  </si>
  <si>
    <t>ACOX1</t>
  </si>
  <si>
    <t>GSTK1b</t>
  </si>
  <si>
    <t>IDH1</t>
  </si>
  <si>
    <t>PEX19</t>
  </si>
  <si>
    <t>DNAJC10</t>
  </si>
  <si>
    <t>SLC25A17</t>
  </si>
  <si>
    <t>PXMP2</t>
  </si>
  <si>
    <t>IDE</t>
  </si>
  <si>
    <t>ACSF3</t>
  </si>
  <si>
    <t>SERHL</t>
  </si>
  <si>
    <t>ACSL6</t>
  </si>
  <si>
    <t>BAAT</t>
  </si>
  <si>
    <t>DDO</t>
  </si>
  <si>
    <t>CRAT</t>
  </si>
  <si>
    <t>ACOT4</t>
  </si>
  <si>
    <t>CROT</t>
  </si>
  <si>
    <t>Neg</t>
  </si>
  <si>
    <t>DECR2</t>
  </si>
  <si>
    <t>DNM1L</t>
  </si>
  <si>
    <t>ECH1</t>
  </si>
  <si>
    <t>AMACR</t>
  </si>
  <si>
    <t>EPHX2</t>
  </si>
  <si>
    <t>SCP2v1</t>
  </si>
  <si>
    <t>SOD2vX</t>
  </si>
  <si>
    <t>PEX6</t>
  </si>
  <si>
    <t>SOD2v2</t>
  </si>
  <si>
    <t>ZADH2</t>
  </si>
  <si>
    <t>SCP2v2</t>
  </si>
  <si>
    <t>NOS2</t>
  </si>
  <si>
    <t>MARC2</t>
  </si>
  <si>
    <t>PECR</t>
  </si>
  <si>
    <t>HAO2</t>
  </si>
  <si>
    <t>MLYCD</t>
  </si>
  <si>
    <t>MPV17L2</t>
  </si>
  <si>
    <t>MVK</t>
  </si>
  <si>
    <t>PEX16</t>
  </si>
  <si>
    <t>PIPOX</t>
  </si>
  <si>
    <t>PXMP4</t>
  </si>
  <si>
    <t>PEX7</t>
  </si>
  <si>
    <t>AGPS</t>
  </si>
  <si>
    <t>PHYH</t>
  </si>
  <si>
    <t>TMEM135</t>
  </si>
  <si>
    <t>PRDX5</t>
  </si>
  <si>
    <t>ECI2</t>
  </si>
  <si>
    <t>IDI1</t>
  </si>
  <si>
    <t>NUDT12</t>
  </si>
  <si>
    <t>MFF</t>
  </si>
  <si>
    <t>PEX1</t>
  </si>
  <si>
    <t>PEX10v1</t>
  </si>
  <si>
    <t>PEX12</t>
  </si>
  <si>
    <t>PEX10v2</t>
  </si>
  <si>
    <t>PEX11A</t>
  </si>
  <si>
    <t>PEX11B</t>
  </si>
  <si>
    <t>PEX11G</t>
  </si>
  <si>
    <t>PEX5b</t>
  </si>
  <si>
    <t>ACOX3</t>
  </si>
  <si>
    <t>PEX26</t>
  </si>
  <si>
    <t>FAR2</t>
  </si>
  <si>
    <t>SCL27A2</t>
  </si>
  <si>
    <t>PEX14</t>
  </si>
  <si>
    <t xml:space="preserve">ABCD2 </t>
  </si>
  <si>
    <t>ACSL4</t>
  </si>
  <si>
    <t>ACSL5</t>
  </si>
  <si>
    <t>HMGCL</t>
  </si>
  <si>
    <t>HSD17B4</t>
  </si>
  <si>
    <t>HACL1</t>
  </si>
  <si>
    <t>IDI2</t>
  </si>
  <si>
    <t>ACBD5</t>
  </si>
  <si>
    <t>RHOC</t>
  </si>
  <si>
    <t>PEX2</t>
  </si>
  <si>
    <t>PEX3</t>
  </si>
  <si>
    <t>TRIM37</t>
  </si>
  <si>
    <t>GNPAT</t>
  </si>
  <si>
    <t>MPV17</t>
  </si>
  <si>
    <t>CAT</t>
  </si>
  <si>
    <t>HMGCR</t>
  </si>
  <si>
    <t>Pos</t>
  </si>
  <si>
    <t>ATAD1</t>
  </si>
  <si>
    <t>Split YFP Kontrollen</t>
  </si>
  <si>
    <t>stab</t>
  </si>
  <si>
    <t>proz</t>
  </si>
  <si>
    <t>Hits Split</t>
  </si>
  <si>
    <t>Proz</t>
  </si>
  <si>
    <t>Positiv</t>
  </si>
  <si>
    <t>P-nodna</t>
  </si>
  <si>
    <t>nodna</t>
  </si>
  <si>
    <t>3-fach</t>
  </si>
  <si>
    <t>9-fach</t>
  </si>
  <si>
    <t>Summe</t>
  </si>
  <si>
    <t>Hits LUMIER</t>
  </si>
  <si>
    <t>LUMIER Kontrollen</t>
  </si>
  <si>
    <t>WT-N-hRluc</t>
  </si>
  <si>
    <t>positiv, wenn signal &gt; größer 9-fach Stab nodna</t>
  </si>
  <si>
    <t>P/nodna</t>
  </si>
  <si>
    <t>CutOff</t>
  </si>
  <si>
    <t>cave, keine WT-N-hRluc Kontrolle auf Platte, daher hier 2 als Ratio</t>
  </si>
  <si>
    <t>3-fach Stab &gt; WT-N-hRluc</t>
  </si>
  <si>
    <t>Nicht gefunden</t>
  </si>
  <si>
    <t>Mit Split YFP gefunden</t>
  </si>
  <si>
    <t>neg</t>
  </si>
  <si>
    <t>pos</t>
  </si>
  <si>
    <t>mean bret ratio</t>
  </si>
  <si>
    <t>n overl terms</t>
  </si>
  <si>
    <t>z-score</t>
  </si>
  <si>
    <t>sim score</t>
  </si>
  <si>
    <t>best overlapping term</t>
  </si>
  <si>
    <t>methyl-branched fatty acid metabolic process</t>
  </si>
  <si>
    <t>microtubule-based peroxisome localization</t>
  </si>
  <si>
    <t>PEX5</t>
  </si>
  <si>
    <t>negative regulation of protein homotetramerization</t>
  </si>
  <si>
    <t>phytol metabolic process</t>
  </si>
  <si>
    <t>dimethylallyl diphosphate biosynthetic process</t>
  </si>
  <si>
    <t>isopentenyl diphosphate biosynthetic process, mevalonate pathway</t>
  </si>
  <si>
    <t>protein import into peroxisome matrix, translocation</t>
  </si>
  <si>
    <t>regulation of peroxisome size</t>
  </si>
  <si>
    <t>peroxisome membrane biogenesis</t>
  </si>
  <si>
    <t>ether lipid biosynthetic process</t>
  </si>
  <si>
    <t>protein import into peroxisome matrix, docking</t>
  </si>
  <si>
    <t>glyoxylate metabolic process</t>
  </si>
  <si>
    <t>fatty acid alpha-oxidation</t>
  </si>
  <si>
    <t>ABCD2</t>
  </si>
  <si>
    <t>very long-chain fatty acid catabolic process</t>
  </si>
  <si>
    <t>ABCD3</t>
  </si>
  <si>
    <t>SOD2</t>
  </si>
  <si>
    <t>response to superoxide</t>
  </si>
  <si>
    <t>protein import into peroxisome membrane</t>
  </si>
  <si>
    <t>protein targeting to peroxisome</t>
  </si>
  <si>
    <t>glycine metabolic process</t>
  </si>
  <si>
    <t>mitochondrial fragmentation involved in apoptotic process</t>
  </si>
  <si>
    <t>peroxisome fission</t>
  </si>
  <si>
    <t>acyl-CoA metabolic process</t>
  </si>
  <si>
    <t>ACOT2</t>
  </si>
  <si>
    <t>SCP2</t>
  </si>
  <si>
    <t>unsaturated fatty acid metabolic process</t>
  </si>
  <si>
    <t>ACAA1</t>
  </si>
  <si>
    <t>alpha-linolenic acid metabolic process</t>
  </si>
  <si>
    <t>fatty acid beta-oxidation using acyl-CoA oxidase</t>
  </si>
  <si>
    <t>protein import into peroxisome matrix</t>
  </si>
  <si>
    <t>PEX10</t>
  </si>
  <si>
    <t>isoprenoid biosynthetic process</t>
  </si>
  <si>
    <t>very long-chain fatty acid metabolic process</t>
  </si>
  <si>
    <t>removal of superoxide radicals</t>
  </si>
  <si>
    <t>lipid biosynthetic process</t>
  </si>
  <si>
    <t>fatty acid transport</t>
  </si>
  <si>
    <t>response to steroid hormone</t>
  </si>
  <si>
    <t>response to hyperoxia</t>
  </si>
  <si>
    <t>response to fatty acid</t>
  </si>
  <si>
    <t>long-chain fatty acid metabolic process</t>
  </si>
  <si>
    <t>superoxide metabolic process</t>
  </si>
  <si>
    <t>bile acid biosynthetic process</t>
  </si>
  <si>
    <t>peroxisome organization</t>
  </si>
  <si>
    <t>hydrogen peroxide catabolic process</t>
  </si>
  <si>
    <t>release of cytochrome c from mitochondria</t>
  </si>
  <si>
    <t>protein tetramerization</t>
  </si>
  <si>
    <t>negative regulation of fibroblast proliferation</t>
  </si>
  <si>
    <t>positive regulation of vasodilation</t>
  </si>
  <si>
    <t>bile acid metabolic process</t>
  </si>
  <si>
    <t>GSTK1</t>
  </si>
  <si>
    <t>glutathione metabolic process</t>
  </si>
  <si>
    <t>reactive oxygen species metabolic process</t>
  </si>
  <si>
    <t>neuron development</t>
  </si>
  <si>
    <t>response to reactive oxygen species</t>
  </si>
  <si>
    <t>cholesterol biosynthetic process</t>
  </si>
  <si>
    <t>fatty acid beta-oxidation</t>
  </si>
  <si>
    <t>fatty acid biosynthetic process</t>
  </si>
  <si>
    <t>fatty acid metabolic process</t>
  </si>
  <si>
    <t>protein homotetramerization</t>
  </si>
  <si>
    <t>negative regulation of protein phosphorylation</t>
  </si>
  <si>
    <t>cholesterol homeostasis</t>
  </si>
  <si>
    <t>regulation of blood pressure</t>
  </si>
  <si>
    <t>negative regulation of NF-kappaB transcription factor activity</t>
  </si>
  <si>
    <t>response to toxic substance</t>
  </si>
  <si>
    <t>locomotory behavior</t>
  </si>
  <si>
    <t>response to nutrient</t>
  </si>
  <si>
    <t>liver development</t>
  </si>
  <si>
    <t>osteoblast differentiation</t>
  </si>
  <si>
    <t>positive regulation of defense response to virus by host</t>
  </si>
  <si>
    <t>neuron migration</t>
  </si>
  <si>
    <t>response to oxidative stress</t>
  </si>
  <si>
    <t>lipid metabolic process</t>
  </si>
  <si>
    <t>cellular lipid metabolic process</t>
  </si>
  <si>
    <t>response to hypoxia</t>
  </si>
  <si>
    <t>protein homooligomerization</t>
  </si>
  <si>
    <t>spermatogenesis</t>
  </si>
  <si>
    <t>positive regulation of apoptotic process</t>
  </si>
  <si>
    <t>response to drug</t>
  </si>
  <si>
    <t>inflammatory response</t>
  </si>
  <si>
    <t>biological_process</t>
  </si>
  <si>
    <t>transmembrane transport</t>
  </si>
  <si>
    <t>negative regulation of apoptotic process</t>
  </si>
  <si>
    <t>oxidation-reduction process</t>
  </si>
  <si>
    <t>viral process</t>
  </si>
  <si>
    <t>apoptotic process</t>
  </si>
  <si>
    <t>negative regulation of transcription from RNA polymerase II promoter</t>
  </si>
  <si>
    <t>metabolic process</t>
  </si>
  <si>
    <t>small molecule metabolic process</t>
  </si>
  <si>
    <t>isopentenyl-diphosphate delta-isomerase activity</t>
  </si>
  <si>
    <t>medium-chain acyl-CoA hydrolase activity</t>
  </si>
  <si>
    <t>acyl-CoA oxidase activity</t>
  </si>
  <si>
    <t>palmitoyl-CoA oxidase activity</t>
  </si>
  <si>
    <t>pristanoyl-CoA oxidase activity</t>
  </si>
  <si>
    <t>dodecenoyl-CoA delta-isomerase activity</t>
  </si>
  <si>
    <t>acyl-CoA hydrolase activity</t>
  </si>
  <si>
    <t>oxidoreductase activity, acting on the CH-NH2 group of donors, oxygen as acceptor</t>
  </si>
  <si>
    <t>superoxide dismutase activity</t>
  </si>
  <si>
    <t>transferase activity, transferring acyl groups other than amino-acyl groups</t>
  </si>
  <si>
    <t>peroxiredoxin activity</t>
  </si>
  <si>
    <t>very long-chain fatty acid-CoA ligase activity</t>
  </si>
  <si>
    <t>3-hydroxyacyl-CoA dehydrogenase activity</t>
  </si>
  <si>
    <t>palmitoyl-CoA hydrolase activity</t>
  </si>
  <si>
    <t>long-chain fatty acid-CoA ligase activity</t>
  </si>
  <si>
    <t>FAD binding</t>
  </si>
  <si>
    <t>ATPase activity, coupled</t>
  </si>
  <si>
    <t>isomerase activity</t>
  </si>
  <si>
    <t>acyl-CoA dehydrogenase activity</t>
  </si>
  <si>
    <t>oxidoreductase activity, acting on the CH-CH group of donors</t>
  </si>
  <si>
    <t>cofactor binding</t>
  </si>
  <si>
    <t>fatty-acyl-CoA binding</t>
  </si>
  <si>
    <t>antioxidant activity</t>
  </si>
  <si>
    <t>protein disulfide oxidoreductase activity</t>
  </si>
  <si>
    <t>ATPase activity, coupled to transmembrane movement of substances</t>
  </si>
  <si>
    <t>NADP binding</t>
  </si>
  <si>
    <t>transferase activity, transferring acyl groups</t>
  </si>
  <si>
    <t>manganese ion binding</t>
  </si>
  <si>
    <t>ATPase binding</t>
  </si>
  <si>
    <t>flavin adenine dinucleotide binding</t>
  </si>
  <si>
    <t>chaperone binding</t>
  </si>
  <si>
    <t>hydrolase activity</t>
  </si>
  <si>
    <t>PDZ domain binding</t>
  </si>
  <si>
    <t>heme binding</t>
  </si>
  <si>
    <t>protein N-terminus binding</t>
  </si>
  <si>
    <t>oxidoreductase activity</t>
  </si>
  <si>
    <t>transporter activity</t>
  </si>
  <si>
    <t>lipid binding</t>
  </si>
  <si>
    <t>catalytic activity</t>
  </si>
  <si>
    <t>ATPase activity</t>
  </si>
  <si>
    <t>protein dimerization activity</t>
  </si>
  <si>
    <t>magnesium ion binding</t>
  </si>
  <si>
    <t>protein C-terminus binding</t>
  </si>
  <si>
    <t>ubiquitin protein ligase binding</t>
  </si>
  <si>
    <t>ubiquitin-protein transferase activity</t>
  </si>
  <si>
    <t>receptor binding</t>
  </si>
  <si>
    <t>GTP binding</t>
  </si>
  <si>
    <t>enzyme binding</t>
  </si>
  <si>
    <t>molecular_function</t>
  </si>
  <si>
    <t>identical protein binding</t>
  </si>
  <si>
    <t>protein homodimerization activity</t>
  </si>
  <si>
    <t>zinc ion binding</t>
  </si>
  <si>
    <t>ATP binding</t>
  </si>
  <si>
    <t>DNA binding</t>
  </si>
  <si>
    <t>metal ion binding</t>
  </si>
  <si>
    <t>protein binding</t>
  </si>
  <si>
    <t>int</t>
  </si>
  <si>
    <t>go</t>
  </si>
  <si>
    <t>hpo</t>
  </si>
  <si>
    <t>PXMP5</t>
  </si>
  <si>
    <t>ACBD6</t>
  </si>
  <si>
    <t>YFP_Mean</t>
  </si>
  <si>
    <t>YFP_Mean_Nodna</t>
  </si>
  <si>
    <t>YFP_normalized</t>
  </si>
  <si>
    <t>YFP_result</t>
  </si>
  <si>
    <t>BRET_Mean</t>
  </si>
  <si>
    <t>BRET_Count</t>
  </si>
  <si>
    <t>LUMIER_Mean</t>
  </si>
  <si>
    <t>LUMIER_normalized</t>
  </si>
  <si>
    <t>LUMIER_result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</si>
</sst>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</font>
    <font>
      <sz val="12"/>
      <color theme="5" tint="-0.249977111117893"/>
      <name val="Calibri"/>
      <scheme val="minor"/>
    </font>
    <font>
      <sz val="12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36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164" fontId="0" fillId="0" borderId="0" xfId="0" applyNumberFormat="1"/>
    <xf numFmtId="1" fontId="0" fillId="0" borderId="0" xfId="0" applyNumberFormat="1"/>
    <xf numFmtId="1" fontId="5" fillId="0" borderId="0" xfId="0" applyNumberFormat="1" applyFont="1"/>
    <xf numFmtId="1" fontId="6" fillId="0" borderId="0" xfId="0" applyNumberFormat="1" applyFont="1"/>
    <xf numFmtId="164" fontId="6" fillId="0" borderId="0" xfId="0" applyNumberFormat="1" applyFont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64" fontId="0" fillId="0" borderId="1" xfId="0" applyNumberFormat="1" applyBorder="1"/>
    <xf numFmtId="1" fontId="0" fillId="0" borderId="2" xfId="0" applyNumberFormat="1" applyBorder="1"/>
    <xf numFmtId="164" fontId="4" fillId="0" borderId="0" xfId="0" applyNumberFormat="1" applyFont="1"/>
    <xf numFmtId="2" fontId="0" fillId="0" borderId="0" xfId="0" applyNumberFormat="1"/>
    <xf numFmtId="164" fontId="4" fillId="0" borderId="1" xfId="0" applyNumberFormat="1" applyFont="1" applyBorder="1"/>
    <xf numFmtId="1" fontId="4" fillId="0" borderId="0" xfId="0" applyNumberFormat="1" applyFont="1"/>
    <xf numFmtId="1" fontId="4" fillId="0" borderId="2" xfId="0" applyNumberFormat="1" applyFont="1" applyBorder="1"/>
    <xf numFmtId="0" fontId="4" fillId="0" borderId="0" xfId="0" applyFont="1"/>
    <xf numFmtId="0" fontId="1" fillId="0" borderId="0" xfId="0" applyFont="1"/>
    <xf numFmtId="2" fontId="1" fillId="0" borderId="3" xfId="0" applyNumberFormat="1" applyFont="1" applyBorder="1" applyAlignment="1">
      <alignment horizontal="center"/>
    </xf>
    <xf numFmtId="2" fontId="4" fillId="0" borderId="0" xfId="0" applyNumberFormat="1" applyFont="1"/>
    <xf numFmtId="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64" fontId="8" fillId="2" borderId="3" xfId="0" applyNumberFormat="1" applyFont="1" applyFill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4" fillId="0" borderId="2" xfId="0" applyFont="1" applyBorder="1"/>
    <xf numFmtId="164" fontId="7" fillId="2" borderId="0" xfId="0" applyNumberFormat="1" applyFont="1" applyFill="1"/>
  </cellXfs>
  <cellStyles count="1361">
    <cellStyle name="Besuchter Hyperlink" xfId="56" builtinId="9" hidden="1"/>
    <cellStyle name="Besuchter Hyperlink" xfId="60" builtinId="9" hidden="1"/>
    <cellStyle name="Besuchter Hyperlink" xfId="64" builtinId="9" hidden="1"/>
    <cellStyle name="Besuchter Hyperlink" xfId="68" builtinId="9" hidden="1"/>
    <cellStyle name="Besuchter Hyperlink" xfId="72" builtinId="9" hidden="1"/>
    <cellStyle name="Besuchter Hyperlink" xfId="76" builtinId="9" hidden="1"/>
    <cellStyle name="Besuchter Hyperlink" xfId="80" builtinId="9" hidden="1"/>
    <cellStyle name="Besuchter Hyperlink" xfId="84" builtinId="9" hidden="1"/>
    <cellStyle name="Besuchter Hyperlink" xfId="88" builtinId="9" hidden="1"/>
    <cellStyle name="Besuchter Hyperlink" xfId="92" builtinId="9" hidden="1"/>
    <cellStyle name="Besuchter Hyperlink" xfId="96" builtinId="9" hidden="1"/>
    <cellStyle name="Besuchter Hyperlink" xfId="100" builtinId="9" hidden="1"/>
    <cellStyle name="Besuchter Hyperlink" xfId="104" builtinId="9" hidden="1"/>
    <cellStyle name="Besuchter Hyperlink" xfId="108" builtinId="9" hidden="1"/>
    <cellStyle name="Besuchter Hyperlink" xfId="112" builtinId="9" hidden="1"/>
    <cellStyle name="Besuchter Hyperlink" xfId="116" builtinId="9" hidden="1"/>
    <cellStyle name="Besuchter Hyperlink" xfId="120" builtinId="9" hidden="1"/>
    <cellStyle name="Besuchter Hyperlink" xfId="124" builtinId="9" hidden="1"/>
    <cellStyle name="Besuchter Hyperlink" xfId="128" builtinId="9" hidden="1"/>
    <cellStyle name="Besuchter Hyperlink" xfId="132" builtinId="9" hidden="1"/>
    <cellStyle name="Besuchter Hyperlink" xfId="136" builtinId="9" hidden="1"/>
    <cellStyle name="Besuchter Hyperlink" xfId="140" builtinId="9" hidden="1"/>
    <cellStyle name="Besuchter Hyperlink" xfId="144" builtinId="9" hidden="1"/>
    <cellStyle name="Besuchter Hyperlink" xfId="148" builtinId="9" hidden="1"/>
    <cellStyle name="Besuchter Hyperlink" xfId="152" builtinId="9" hidden="1"/>
    <cellStyle name="Besuchter Hyperlink" xfId="156" builtinId="9" hidden="1"/>
    <cellStyle name="Besuchter Hyperlink" xfId="160" builtinId="9" hidden="1"/>
    <cellStyle name="Besuchter Hyperlink" xfId="164" builtinId="9" hidden="1"/>
    <cellStyle name="Besuchter Hyperlink" xfId="168" builtinId="9" hidden="1"/>
    <cellStyle name="Besuchter Hyperlink" xfId="172" builtinId="9" hidden="1"/>
    <cellStyle name="Besuchter Hyperlink" xfId="176" builtinId="9" hidden="1"/>
    <cellStyle name="Besuchter Hyperlink" xfId="180" builtinId="9" hidden="1"/>
    <cellStyle name="Besuchter Hyperlink" xfId="184" builtinId="9" hidden="1"/>
    <cellStyle name="Besuchter Hyperlink" xfId="188" builtinId="9" hidden="1"/>
    <cellStyle name="Besuchter Hyperlink" xfId="192" builtinId="9" hidden="1"/>
    <cellStyle name="Besuchter Hyperlink" xfId="196" builtinId="9" hidden="1"/>
    <cellStyle name="Besuchter Hyperlink" xfId="200" builtinId="9" hidden="1"/>
    <cellStyle name="Besuchter Hyperlink" xfId="204" builtinId="9" hidden="1"/>
    <cellStyle name="Besuchter Hyperlink" xfId="208" builtinId="9" hidden="1"/>
    <cellStyle name="Besuchter Hyperlink" xfId="212" builtinId="9" hidden="1"/>
    <cellStyle name="Besuchter Hyperlink" xfId="216" builtinId="9" hidden="1"/>
    <cellStyle name="Besuchter Hyperlink" xfId="220" builtinId="9" hidden="1"/>
    <cellStyle name="Besuchter Hyperlink" xfId="224" builtinId="9" hidden="1"/>
    <cellStyle name="Besuchter Hyperlink" xfId="228" builtinId="9" hidden="1"/>
    <cellStyle name="Besuchter Hyperlink" xfId="232" builtinId="9" hidden="1"/>
    <cellStyle name="Besuchter Hyperlink" xfId="236" builtinId="9" hidden="1"/>
    <cellStyle name="Besuchter Hyperlink" xfId="240" builtinId="9" hidden="1"/>
    <cellStyle name="Besuchter Hyperlink" xfId="244" builtinId="9" hidden="1"/>
    <cellStyle name="Besuchter Hyperlink" xfId="248" builtinId="9" hidden="1"/>
    <cellStyle name="Besuchter Hyperlink" xfId="252" builtinId="9" hidden="1"/>
    <cellStyle name="Besuchter Hyperlink" xfId="256" builtinId="9" hidden="1"/>
    <cellStyle name="Besuchter Hyperlink" xfId="260" builtinId="9" hidden="1"/>
    <cellStyle name="Besuchter Hyperlink" xfId="264" builtinId="9" hidden="1"/>
    <cellStyle name="Besuchter Hyperlink" xfId="268" builtinId="9" hidden="1"/>
    <cellStyle name="Besuchter Hyperlink" xfId="272" builtinId="9" hidden="1"/>
    <cellStyle name="Besuchter Hyperlink" xfId="276" builtinId="9" hidden="1"/>
    <cellStyle name="Besuchter Hyperlink" xfId="280" builtinId="9" hidden="1"/>
    <cellStyle name="Besuchter Hyperlink" xfId="284" builtinId="9" hidden="1"/>
    <cellStyle name="Besuchter Hyperlink" xfId="288" builtinId="9" hidden="1"/>
    <cellStyle name="Besuchter Hyperlink" xfId="292" builtinId="9" hidden="1"/>
    <cellStyle name="Besuchter Hyperlink" xfId="296" builtinId="9" hidden="1"/>
    <cellStyle name="Besuchter Hyperlink" xfId="300" builtinId="9" hidden="1"/>
    <cellStyle name="Besuchter Hyperlink" xfId="304" builtinId="9" hidden="1"/>
    <cellStyle name="Besuchter Hyperlink" xfId="308" builtinId="9" hidden="1"/>
    <cellStyle name="Besuchter Hyperlink" xfId="312" builtinId="9" hidden="1"/>
    <cellStyle name="Besuchter Hyperlink" xfId="316" builtinId="9" hidden="1"/>
    <cellStyle name="Besuchter Hyperlink" xfId="320" builtinId="9" hidden="1"/>
    <cellStyle name="Besuchter Hyperlink" xfId="324" builtinId="9" hidden="1"/>
    <cellStyle name="Besuchter Hyperlink" xfId="328" builtinId="9" hidden="1"/>
    <cellStyle name="Besuchter Hyperlink" xfId="332" builtinId="9" hidden="1"/>
    <cellStyle name="Besuchter Hyperlink" xfId="336" builtinId="9" hidden="1"/>
    <cellStyle name="Besuchter Hyperlink" xfId="340" builtinId="9" hidden="1"/>
    <cellStyle name="Besuchter Hyperlink" xfId="344" builtinId="9" hidden="1"/>
    <cellStyle name="Besuchter Hyperlink" xfId="348" builtinId="9" hidden="1"/>
    <cellStyle name="Besuchter Hyperlink" xfId="352" builtinId="9" hidden="1"/>
    <cellStyle name="Besuchter Hyperlink" xfId="356" builtinId="9" hidden="1"/>
    <cellStyle name="Besuchter Hyperlink" xfId="360" builtinId="9" hidden="1"/>
    <cellStyle name="Besuchter Hyperlink" xfId="364" builtinId="9" hidden="1"/>
    <cellStyle name="Besuchter Hyperlink" xfId="368" builtinId="9" hidden="1"/>
    <cellStyle name="Besuchter Hyperlink" xfId="372" builtinId="9" hidden="1"/>
    <cellStyle name="Besuchter Hyperlink" xfId="376" builtinId="9" hidden="1"/>
    <cellStyle name="Besuchter Hyperlink" xfId="380" builtinId="9" hidden="1"/>
    <cellStyle name="Besuchter Hyperlink" xfId="384" builtinId="9" hidden="1"/>
    <cellStyle name="Besuchter Hyperlink" xfId="388" builtinId="9" hidden="1"/>
    <cellStyle name="Besuchter Hyperlink" xfId="392" builtinId="9" hidden="1"/>
    <cellStyle name="Besuchter Hyperlink" xfId="396" builtinId="9" hidden="1"/>
    <cellStyle name="Besuchter Hyperlink" xfId="400" builtinId="9" hidden="1"/>
    <cellStyle name="Besuchter Hyperlink" xfId="404" builtinId="9" hidden="1"/>
    <cellStyle name="Besuchter Hyperlink" xfId="408" builtinId="9" hidden="1"/>
    <cellStyle name="Besuchter Hyperlink" xfId="412" builtinId="9" hidden="1"/>
    <cellStyle name="Besuchter Hyperlink" xfId="416" builtinId="9" hidden="1"/>
    <cellStyle name="Besuchter Hyperlink" xfId="420" builtinId="9" hidden="1"/>
    <cellStyle name="Besuchter Hyperlink" xfId="424" builtinId="9" hidden="1"/>
    <cellStyle name="Besuchter Hyperlink" xfId="428" builtinId="9" hidden="1"/>
    <cellStyle name="Besuchter Hyperlink" xfId="432" builtinId="9" hidden="1"/>
    <cellStyle name="Besuchter Hyperlink" xfId="436" builtinId="9" hidden="1"/>
    <cellStyle name="Besuchter Hyperlink" xfId="440" builtinId="9" hidden="1"/>
    <cellStyle name="Besuchter Hyperlink" xfId="444" builtinId="9" hidden="1"/>
    <cellStyle name="Besuchter Hyperlink" xfId="448" builtinId="9" hidden="1"/>
    <cellStyle name="Besuchter Hyperlink" xfId="452" builtinId="9" hidden="1"/>
    <cellStyle name="Besuchter Hyperlink" xfId="456" builtinId="9" hidden="1"/>
    <cellStyle name="Besuchter Hyperlink" xfId="460" builtinId="9" hidden="1"/>
    <cellStyle name="Besuchter Hyperlink" xfId="464" builtinId="9" hidden="1"/>
    <cellStyle name="Besuchter Hyperlink" xfId="468" builtinId="9" hidden="1"/>
    <cellStyle name="Besuchter Hyperlink" xfId="472" builtinId="9" hidden="1"/>
    <cellStyle name="Besuchter Hyperlink" xfId="476" builtinId="9" hidden="1"/>
    <cellStyle name="Besuchter Hyperlink" xfId="480" builtinId="9" hidden="1"/>
    <cellStyle name="Besuchter Hyperlink" xfId="484" builtinId="9" hidden="1"/>
    <cellStyle name="Besuchter Hyperlink" xfId="488" builtinId="9" hidden="1"/>
    <cellStyle name="Besuchter Hyperlink" xfId="492" builtinId="9" hidden="1"/>
    <cellStyle name="Besuchter Hyperlink" xfId="496" builtinId="9" hidden="1"/>
    <cellStyle name="Besuchter Hyperlink" xfId="500" builtinId="9" hidden="1"/>
    <cellStyle name="Besuchter Hyperlink" xfId="504" builtinId="9" hidden="1"/>
    <cellStyle name="Besuchter Hyperlink" xfId="508" builtinId="9" hidden="1"/>
    <cellStyle name="Besuchter Hyperlink" xfId="512" builtinId="9" hidden="1"/>
    <cellStyle name="Besuchter Hyperlink" xfId="516" builtinId="9" hidden="1"/>
    <cellStyle name="Besuchter Hyperlink" xfId="520" builtinId="9" hidden="1"/>
    <cellStyle name="Besuchter Hyperlink" xfId="524" builtinId="9" hidden="1"/>
    <cellStyle name="Besuchter Hyperlink" xfId="528" builtinId="9" hidden="1"/>
    <cellStyle name="Besuchter Hyperlink" xfId="532" builtinId="9" hidden="1"/>
    <cellStyle name="Besuchter Hyperlink" xfId="536" builtinId="9" hidden="1"/>
    <cellStyle name="Besuchter Hyperlink" xfId="540" builtinId="9" hidden="1"/>
    <cellStyle name="Besuchter Hyperlink" xfId="544" builtinId="9" hidden="1"/>
    <cellStyle name="Besuchter Hyperlink" xfId="548" builtinId="9" hidden="1"/>
    <cellStyle name="Besuchter Hyperlink" xfId="552" builtinId="9" hidden="1"/>
    <cellStyle name="Besuchter Hyperlink" xfId="556" builtinId="9" hidden="1"/>
    <cellStyle name="Besuchter Hyperlink" xfId="560" builtinId="9" hidden="1"/>
    <cellStyle name="Besuchter Hyperlink" xfId="564" builtinId="9" hidden="1"/>
    <cellStyle name="Besuchter Hyperlink" xfId="568" builtinId="9" hidden="1"/>
    <cellStyle name="Besuchter Hyperlink" xfId="572" builtinId="9" hidden="1"/>
    <cellStyle name="Besuchter Hyperlink" xfId="576" builtinId="9" hidden="1"/>
    <cellStyle name="Besuchter Hyperlink" xfId="580" builtinId="9" hidden="1"/>
    <cellStyle name="Besuchter Hyperlink" xfId="584" builtinId="9" hidden="1"/>
    <cellStyle name="Besuchter Hyperlink" xfId="588" builtinId="9" hidden="1"/>
    <cellStyle name="Besuchter Hyperlink" xfId="592" builtinId="9" hidden="1"/>
    <cellStyle name="Besuchter Hyperlink" xfId="596" builtinId="9" hidden="1"/>
    <cellStyle name="Besuchter Hyperlink" xfId="600" builtinId="9" hidden="1"/>
    <cellStyle name="Besuchter Hyperlink" xfId="604" builtinId="9" hidden="1"/>
    <cellStyle name="Besuchter Hyperlink" xfId="608" builtinId="9" hidden="1"/>
    <cellStyle name="Besuchter Hyperlink" xfId="612" builtinId="9" hidden="1"/>
    <cellStyle name="Besuchter Hyperlink" xfId="616" builtinId="9" hidden="1"/>
    <cellStyle name="Besuchter Hyperlink" xfId="620" builtinId="9" hidden="1"/>
    <cellStyle name="Besuchter Hyperlink" xfId="624" builtinId="9" hidden="1"/>
    <cellStyle name="Besuchter Hyperlink" xfId="628" builtinId="9" hidden="1"/>
    <cellStyle name="Besuchter Hyperlink" xfId="632" builtinId="9" hidden="1"/>
    <cellStyle name="Besuchter Hyperlink" xfId="636" builtinId="9" hidden="1"/>
    <cellStyle name="Besuchter Hyperlink" xfId="640" builtinId="9" hidden="1"/>
    <cellStyle name="Besuchter Hyperlink" xfId="644" builtinId="9" hidden="1"/>
    <cellStyle name="Besuchter Hyperlink" xfId="648" builtinId="9" hidden="1"/>
    <cellStyle name="Besuchter Hyperlink" xfId="652" builtinId="9" hidden="1"/>
    <cellStyle name="Besuchter Hyperlink" xfId="656" builtinId="9" hidden="1"/>
    <cellStyle name="Besuchter Hyperlink" xfId="660" builtinId="9" hidden="1"/>
    <cellStyle name="Besuchter Hyperlink" xfId="664" builtinId="9" hidden="1"/>
    <cellStyle name="Besuchter Hyperlink" xfId="668" builtinId="9" hidden="1"/>
    <cellStyle name="Besuchter Hyperlink" xfId="672" builtinId="9" hidden="1"/>
    <cellStyle name="Besuchter Hyperlink" xfId="676" builtinId="9" hidden="1"/>
    <cellStyle name="Besuchter Hyperlink" xfId="680" builtinId="9" hidden="1"/>
    <cellStyle name="Besuchter Hyperlink" xfId="684" builtinId="9" hidden="1"/>
    <cellStyle name="Besuchter Hyperlink" xfId="688" builtinId="9" hidden="1"/>
    <cellStyle name="Besuchter Hyperlink" xfId="692" builtinId="9" hidden="1"/>
    <cellStyle name="Besuchter Hyperlink" xfId="696" builtinId="9" hidden="1"/>
    <cellStyle name="Besuchter Hyperlink" xfId="700" builtinId="9" hidden="1"/>
    <cellStyle name="Besuchter Hyperlink" xfId="704" builtinId="9" hidden="1"/>
    <cellStyle name="Besuchter Hyperlink" xfId="708" builtinId="9" hidden="1"/>
    <cellStyle name="Besuchter Hyperlink" xfId="712" builtinId="9" hidden="1"/>
    <cellStyle name="Besuchter Hyperlink" xfId="716" builtinId="9" hidden="1"/>
    <cellStyle name="Besuchter Hyperlink" xfId="720" builtinId="9" hidden="1"/>
    <cellStyle name="Besuchter Hyperlink" xfId="724" builtinId="9" hidden="1"/>
    <cellStyle name="Besuchter Hyperlink" xfId="728" builtinId="9" hidden="1"/>
    <cellStyle name="Besuchter Hyperlink" xfId="732" builtinId="9" hidden="1"/>
    <cellStyle name="Besuchter Hyperlink" xfId="736" builtinId="9" hidden="1"/>
    <cellStyle name="Besuchter Hyperlink" xfId="740" builtinId="9" hidden="1"/>
    <cellStyle name="Besuchter Hyperlink" xfId="744" builtinId="9" hidden="1"/>
    <cellStyle name="Besuchter Hyperlink" xfId="748" builtinId="9" hidden="1"/>
    <cellStyle name="Besuchter Hyperlink" xfId="752" builtinId="9" hidden="1"/>
    <cellStyle name="Besuchter Hyperlink" xfId="756" builtinId="9" hidden="1"/>
    <cellStyle name="Besuchter Hyperlink" xfId="760" builtinId="9" hidden="1"/>
    <cellStyle name="Besuchter Hyperlink" xfId="764" builtinId="9" hidden="1"/>
    <cellStyle name="Besuchter Hyperlink" xfId="768" builtinId="9" hidden="1"/>
    <cellStyle name="Besuchter Hyperlink" xfId="772" builtinId="9" hidden="1"/>
    <cellStyle name="Besuchter Hyperlink" xfId="776" builtinId="9" hidden="1"/>
    <cellStyle name="Besuchter Hyperlink" xfId="780" builtinId="9" hidden="1"/>
    <cellStyle name="Besuchter Hyperlink" xfId="784" builtinId="9" hidden="1"/>
    <cellStyle name="Besuchter Hyperlink" xfId="788" builtinId="9" hidden="1"/>
    <cellStyle name="Besuchter Hyperlink" xfId="792" builtinId="9" hidden="1"/>
    <cellStyle name="Besuchter Hyperlink" xfId="796" builtinId="9" hidden="1"/>
    <cellStyle name="Besuchter Hyperlink" xfId="800" builtinId="9" hidden="1"/>
    <cellStyle name="Besuchter Hyperlink" xfId="804" builtinId="9" hidden="1"/>
    <cellStyle name="Besuchter Hyperlink" xfId="808" builtinId="9" hidden="1"/>
    <cellStyle name="Besuchter Hyperlink" xfId="812" builtinId="9" hidden="1"/>
    <cellStyle name="Besuchter Hyperlink" xfId="816" builtinId="9" hidden="1"/>
    <cellStyle name="Besuchter Hyperlink" xfId="820" builtinId="9" hidden="1"/>
    <cellStyle name="Besuchter Hyperlink" xfId="824" builtinId="9" hidden="1"/>
    <cellStyle name="Besuchter Hyperlink" xfId="828" builtinId="9" hidden="1"/>
    <cellStyle name="Besuchter Hyperlink" xfId="832" builtinId="9" hidden="1"/>
    <cellStyle name="Besuchter Hyperlink" xfId="836" builtinId="9" hidden="1"/>
    <cellStyle name="Besuchter Hyperlink" xfId="840" builtinId="9" hidden="1"/>
    <cellStyle name="Besuchter Hyperlink" xfId="844" builtinId="9" hidden="1"/>
    <cellStyle name="Besuchter Hyperlink" xfId="848" builtinId="9" hidden="1"/>
    <cellStyle name="Besuchter Hyperlink" xfId="852" builtinId="9" hidden="1"/>
    <cellStyle name="Besuchter Hyperlink" xfId="856" builtinId="9" hidden="1"/>
    <cellStyle name="Besuchter Hyperlink" xfId="860" builtinId="9" hidden="1"/>
    <cellStyle name="Besuchter Hyperlink" xfId="864" builtinId="9" hidden="1"/>
    <cellStyle name="Besuchter Hyperlink" xfId="868" builtinId="9" hidden="1"/>
    <cellStyle name="Besuchter Hyperlink" xfId="872" builtinId="9" hidden="1"/>
    <cellStyle name="Besuchter Hyperlink" xfId="876" builtinId="9" hidden="1"/>
    <cellStyle name="Besuchter Hyperlink" xfId="880" builtinId="9" hidden="1"/>
    <cellStyle name="Besuchter Hyperlink" xfId="884" builtinId="9" hidden="1"/>
    <cellStyle name="Besuchter Hyperlink" xfId="888" builtinId="9" hidden="1"/>
    <cellStyle name="Besuchter Hyperlink" xfId="892" builtinId="9" hidden="1"/>
    <cellStyle name="Besuchter Hyperlink" xfId="896" builtinId="9" hidden="1"/>
    <cellStyle name="Besuchter Hyperlink" xfId="900" builtinId="9" hidden="1"/>
    <cellStyle name="Besuchter Hyperlink" xfId="904" builtinId="9" hidden="1"/>
    <cellStyle name="Besuchter Hyperlink" xfId="908" builtinId="9" hidden="1"/>
    <cellStyle name="Besuchter Hyperlink" xfId="912" builtinId="9" hidden="1"/>
    <cellStyle name="Besuchter Hyperlink" xfId="916" builtinId="9" hidden="1"/>
    <cellStyle name="Besuchter Hyperlink" xfId="920" builtinId="9" hidden="1"/>
    <cellStyle name="Besuchter Hyperlink" xfId="924" builtinId="9" hidden="1"/>
    <cellStyle name="Besuchter Hyperlink" xfId="928" builtinId="9" hidden="1"/>
    <cellStyle name="Besuchter Hyperlink" xfId="932" builtinId="9" hidden="1"/>
    <cellStyle name="Besuchter Hyperlink" xfId="936" builtinId="9" hidden="1"/>
    <cellStyle name="Besuchter Hyperlink" xfId="940" builtinId="9" hidden="1"/>
    <cellStyle name="Besuchter Hyperlink" xfId="944" builtinId="9" hidden="1"/>
    <cellStyle name="Besuchter Hyperlink" xfId="948" builtinId="9" hidden="1"/>
    <cellStyle name="Besuchter Hyperlink" xfId="952" builtinId="9" hidden="1"/>
    <cellStyle name="Besuchter Hyperlink" xfId="956" builtinId="9" hidden="1"/>
    <cellStyle name="Besuchter Hyperlink" xfId="960" builtinId="9" hidden="1"/>
    <cellStyle name="Besuchter Hyperlink" xfId="964" builtinId="9" hidden="1"/>
    <cellStyle name="Besuchter Hyperlink" xfId="968" builtinId="9" hidden="1"/>
    <cellStyle name="Besuchter Hyperlink" xfId="972" builtinId="9" hidden="1"/>
    <cellStyle name="Besuchter Hyperlink" xfId="976" builtinId="9" hidden="1"/>
    <cellStyle name="Besuchter Hyperlink" xfId="980" builtinId="9" hidden="1"/>
    <cellStyle name="Besuchter Hyperlink" xfId="984" builtinId="9" hidden="1"/>
    <cellStyle name="Besuchter Hyperlink" xfId="988" builtinId="9" hidden="1"/>
    <cellStyle name="Besuchter Hyperlink" xfId="992" builtinId="9" hidden="1"/>
    <cellStyle name="Besuchter Hyperlink" xfId="996" builtinId="9" hidden="1"/>
    <cellStyle name="Besuchter Hyperlink" xfId="1000" builtinId="9" hidden="1"/>
    <cellStyle name="Besuchter Hyperlink" xfId="1004" builtinId="9" hidden="1"/>
    <cellStyle name="Besuchter Hyperlink" xfId="1008" builtinId="9" hidden="1"/>
    <cellStyle name="Besuchter Hyperlink" xfId="1012" builtinId="9" hidden="1"/>
    <cellStyle name="Besuchter Hyperlink" xfId="1016" builtinId="9" hidden="1"/>
    <cellStyle name="Besuchter Hyperlink" xfId="1020" builtinId="9" hidden="1"/>
    <cellStyle name="Besuchter Hyperlink" xfId="1024" builtinId="9" hidden="1"/>
    <cellStyle name="Besuchter Hyperlink" xfId="1028" builtinId="9" hidden="1"/>
    <cellStyle name="Besuchter Hyperlink" xfId="1032" builtinId="9" hidden="1"/>
    <cellStyle name="Besuchter Hyperlink" xfId="1036" builtinId="9" hidden="1"/>
    <cellStyle name="Besuchter Hyperlink" xfId="1040" builtinId="9" hidden="1"/>
    <cellStyle name="Besuchter Hyperlink" xfId="1044" builtinId="9" hidden="1"/>
    <cellStyle name="Besuchter Hyperlink" xfId="1048" builtinId="9" hidden="1"/>
    <cellStyle name="Besuchter Hyperlink" xfId="1052" builtinId="9" hidden="1"/>
    <cellStyle name="Besuchter Hyperlink" xfId="1056" builtinId="9" hidden="1"/>
    <cellStyle name="Besuchter Hyperlink" xfId="1060" builtinId="9" hidden="1"/>
    <cellStyle name="Besuchter Hyperlink" xfId="1064" builtinId="9" hidden="1"/>
    <cellStyle name="Besuchter Hyperlink" xfId="1068" builtinId="9" hidden="1"/>
    <cellStyle name="Besuchter Hyperlink" xfId="1072" builtinId="9" hidden="1"/>
    <cellStyle name="Besuchter Hyperlink" xfId="1076" builtinId="9" hidden="1"/>
    <cellStyle name="Besuchter Hyperlink" xfId="1080" builtinId="9" hidden="1"/>
    <cellStyle name="Besuchter Hyperlink" xfId="1084" builtinId="9" hidden="1"/>
    <cellStyle name="Besuchter Hyperlink" xfId="1088" builtinId="9" hidden="1"/>
    <cellStyle name="Besuchter Hyperlink" xfId="1092" builtinId="9" hidden="1"/>
    <cellStyle name="Besuchter Hyperlink" xfId="1096" builtinId="9" hidden="1"/>
    <cellStyle name="Besuchter Hyperlink" xfId="1100" builtinId="9" hidden="1"/>
    <cellStyle name="Besuchter Hyperlink" xfId="1104" builtinId="9" hidden="1"/>
    <cellStyle name="Besuchter Hyperlink" xfId="1108" builtinId="9" hidden="1"/>
    <cellStyle name="Besuchter Hyperlink" xfId="1112" builtinId="9" hidden="1"/>
    <cellStyle name="Besuchter Hyperlink" xfId="1116" builtinId="9" hidden="1"/>
    <cellStyle name="Besuchter Hyperlink" xfId="1120" builtinId="9" hidden="1"/>
    <cellStyle name="Besuchter Hyperlink" xfId="1124" builtinId="9" hidden="1"/>
    <cellStyle name="Besuchter Hyperlink" xfId="1128" builtinId="9" hidden="1"/>
    <cellStyle name="Besuchter Hyperlink" xfId="1132" builtinId="9" hidden="1"/>
    <cellStyle name="Besuchter Hyperlink" xfId="1136" builtinId="9" hidden="1"/>
    <cellStyle name="Besuchter Hyperlink" xfId="1140" builtinId="9" hidden="1"/>
    <cellStyle name="Besuchter Hyperlink" xfId="1144" builtinId="9" hidden="1"/>
    <cellStyle name="Besuchter Hyperlink" xfId="1148" builtinId="9" hidden="1"/>
    <cellStyle name="Besuchter Hyperlink" xfId="1152" builtinId="9" hidden="1"/>
    <cellStyle name="Besuchter Hyperlink" xfId="1156" builtinId="9" hidden="1"/>
    <cellStyle name="Besuchter Hyperlink" xfId="1160" builtinId="9" hidden="1"/>
    <cellStyle name="Besuchter Hyperlink" xfId="1164" builtinId="9" hidden="1"/>
    <cellStyle name="Besuchter Hyperlink" xfId="1168" builtinId="9" hidden="1"/>
    <cellStyle name="Besuchter Hyperlink" xfId="1172" builtinId="9" hidden="1"/>
    <cellStyle name="Besuchter Hyperlink" xfId="1176" builtinId="9" hidden="1"/>
    <cellStyle name="Besuchter Hyperlink" xfId="1180" builtinId="9" hidden="1"/>
    <cellStyle name="Besuchter Hyperlink" xfId="1184" builtinId="9" hidden="1"/>
    <cellStyle name="Besuchter Hyperlink" xfId="1188" builtinId="9" hidden="1"/>
    <cellStyle name="Besuchter Hyperlink" xfId="1192" builtinId="9" hidden="1"/>
    <cellStyle name="Besuchter Hyperlink" xfId="1196" builtinId="9" hidden="1"/>
    <cellStyle name="Besuchter Hyperlink" xfId="1200" builtinId="9" hidden="1"/>
    <cellStyle name="Besuchter Hyperlink" xfId="1204" builtinId="9" hidden="1"/>
    <cellStyle name="Besuchter Hyperlink" xfId="1208" builtinId="9" hidden="1"/>
    <cellStyle name="Besuchter Hyperlink" xfId="1212" builtinId="9" hidden="1"/>
    <cellStyle name="Besuchter Hyperlink" xfId="1216" builtinId="9" hidden="1"/>
    <cellStyle name="Besuchter Hyperlink" xfId="1220" builtinId="9" hidden="1"/>
    <cellStyle name="Besuchter Hyperlink" xfId="1224" builtinId="9" hidden="1"/>
    <cellStyle name="Besuchter Hyperlink" xfId="1228" builtinId="9" hidden="1"/>
    <cellStyle name="Besuchter Hyperlink" xfId="1232" builtinId="9" hidden="1"/>
    <cellStyle name="Besuchter Hyperlink" xfId="1236" builtinId="9" hidden="1"/>
    <cellStyle name="Besuchter Hyperlink" xfId="1240" builtinId="9" hidden="1"/>
    <cellStyle name="Besuchter Hyperlink" xfId="1244" builtinId="9" hidden="1"/>
    <cellStyle name="Besuchter Hyperlink" xfId="1248" builtinId="9" hidden="1"/>
    <cellStyle name="Besuchter Hyperlink" xfId="1252" builtinId="9" hidden="1"/>
    <cellStyle name="Besuchter Hyperlink" xfId="1256" builtinId="9" hidden="1"/>
    <cellStyle name="Besuchter Hyperlink" xfId="1260" builtinId="9" hidden="1"/>
    <cellStyle name="Besuchter Hyperlink" xfId="1264" builtinId="9" hidden="1"/>
    <cellStyle name="Besuchter Hyperlink" xfId="1268" builtinId="9" hidden="1"/>
    <cellStyle name="Besuchter Hyperlink" xfId="1272" builtinId="9" hidden="1"/>
    <cellStyle name="Besuchter Hyperlink" xfId="1276" builtinId="9" hidden="1"/>
    <cellStyle name="Besuchter Hyperlink" xfId="1280" builtinId="9" hidden="1"/>
    <cellStyle name="Besuchter Hyperlink" xfId="1284" builtinId="9" hidden="1"/>
    <cellStyle name="Besuchter Hyperlink" xfId="1288" builtinId="9" hidden="1"/>
    <cellStyle name="Besuchter Hyperlink" xfId="1292" builtinId="9" hidden="1"/>
    <cellStyle name="Besuchter Hyperlink" xfId="1296" builtinId="9" hidden="1"/>
    <cellStyle name="Besuchter Hyperlink" xfId="1300" builtinId="9" hidden="1"/>
    <cellStyle name="Besuchter Hyperlink" xfId="1304" builtinId="9" hidden="1"/>
    <cellStyle name="Besuchter Hyperlink" xfId="1308" builtinId="9" hidden="1"/>
    <cellStyle name="Besuchter Hyperlink" xfId="1312" builtinId="9" hidden="1"/>
    <cellStyle name="Besuchter Hyperlink" xfId="1316" builtinId="9" hidden="1"/>
    <cellStyle name="Besuchter Hyperlink" xfId="1320" builtinId="9" hidden="1"/>
    <cellStyle name="Besuchter Hyperlink" xfId="1324" builtinId="9" hidden="1"/>
    <cellStyle name="Besuchter Hyperlink" xfId="1328" builtinId="9" hidden="1"/>
    <cellStyle name="Besuchter Hyperlink" xfId="1332" builtinId="9" hidden="1"/>
    <cellStyle name="Besuchter Hyperlink" xfId="1336" builtinId="9" hidden="1"/>
    <cellStyle name="Besuchter Hyperlink" xfId="1340" builtinId="9" hidden="1"/>
    <cellStyle name="Besuchter Hyperlink" xfId="1344" builtinId="9" hidden="1"/>
    <cellStyle name="Besuchter Hyperlink" xfId="1348" builtinId="9" hidden="1"/>
    <cellStyle name="Besuchter Hyperlink" xfId="1352" builtinId="9" hidden="1"/>
    <cellStyle name="Besuchter Hyperlink" xfId="1356" builtinId="9" hidden="1"/>
    <cellStyle name="Besuchter Hyperlink" xfId="1360" builtinId="9" hidden="1"/>
    <cellStyle name="Besuchter Hyperlink" xfId="1358" builtinId="9" hidden="1"/>
    <cellStyle name="Besuchter Hyperlink" xfId="1354" builtinId="9" hidden="1"/>
    <cellStyle name="Besuchter Hyperlink" xfId="1350" builtinId="9" hidden="1"/>
    <cellStyle name="Besuchter Hyperlink" xfId="1346" builtinId="9" hidden="1"/>
    <cellStyle name="Besuchter Hyperlink" xfId="1342" builtinId="9" hidden="1"/>
    <cellStyle name="Besuchter Hyperlink" xfId="1338" builtinId="9" hidden="1"/>
    <cellStyle name="Besuchter Hyperlink" xfId="1334" builtinId="9" hidden="1"/>
    <cellStyle name="Besuchter Hyperlink" xfId="1330" builtinId="9" hidden="1"/>
    <cellStyle name="Besuchter Hyperlink" xfId="1326" builtinId="9" hidden="1"/>
    <cellStyle name="Besuchter Hyperlink" xfId="1322" builtinId="9" hidden="1"/>
    <cellStyle name="Besuchter Hyperlink" xfId="1318" builtinId="9" hidden="1"/>
    <cellStyle name="Besuchter Hyperlink" xfId="1314" builtinId="9" hidden="1"/>
    <cellStyle name="Besuchter Hyperlink" xfId="1310" builtinId="9" hidden="1"/>
    <cellStyle name="Besuchter Hyperlink" xfId="1306" builtinId="9" hidden="1"/>
    <cellStyle name="Besuchter Hyperlink" xfId="1302" builtinId="9" hidden="1"/>
    <cellStyle name="Besuchter Hyperlink" xfId="1298" builtinId="9" hidden="1"/>
    <cellStyle name="Besuchter Hyperlink" xfId="1294" builtinId="9" hidden="1"/>
    <cellStyle name="Besuchter Hyperlink" xfId="1290" builtinId="9" hidden="1"/>
    <cellStyle name="Besuchter Hyperlink" xfId="1286" builtinId="9" hidden="1"/>
    <cellStyle name="Besuchter Hyperlink" xfId="1282" builtinId="9" hidden="1"/>
    <cellStyle name="Besuchter Hyperlink" xfId="1278" builtinId="9" hidden="1"/>
    <cellStyle name="Besuchter Hyperlink" xfId="1274" builtinId="9" hidden="1"/>
    <cellStyle name="Besuchter Hyperlink" xfId="1270" builtinId="9" hidden="1"/>
    <cellStyle name="Besuchter Hyperlink" xfId="1266" builtinId="9" hidden="1"/>
    <cellStyle name="Besuchter Hyperlink" xfId="1262" builtinId="9" hidden="1"/>
    <cellStyle name="Besuchter Hyperlink" xfId="1258" builtinId="9" hidden="1"/>
    <cellStyle name="Besuchter Hyperlink" xfId="1254" builtinId="9" hidden="1"/>
    <cellStyle name="Besuchter Hyperlink" xfId="1250" builtinId="9" hidden="1"/>
    <cellStyle name="Besuchter Hyperlink" xfId="1246" builtinId="9" hidden="1"/>
    <cellStyle name="Besuchter Hyperlink" xfId="1242" builtinId="9" hidden="1"/>
    <cellStyle name="Besuchter Hyperlink" xfId="1238" builtinId="9" hidden="1"/>
    <cellStyle name="Besuchter Hyperlink" xfId="1234" builtinId="9" hidden="1"/>
    <cellStyle name="Besuchter Hyperlink" xfId="1230" builtinId="9" hidden="1"/>
    <cellStyle name="Besuchter Hyperlink" xfId="1226" builtinId="9" hidden="1"/>
    <cellStyle name="Besuchter Hyperlink" xfId="1222" builtinId="9" hidden="1"/>
    <cellStyle name="Besuchter Hyperlink" xfId="1218" builtinId="9" hidden="1"/>
    <cellStyle name="Besuchter Hyperlink" xfId="1214" builtinId="9" hidden="1"/>
    <cellStyle name="Besuchter Hyperlink" xfId="1210" builtinId="9" hidden="1"/>
    <cellStyle name="Besuchter Hyperlink" xfId="1206" builtinId="9" hidden="1"/>
    <cellStyle name="Besuchter Hyperlink" xfId="1202" builtinId="9" hidden="1"/>
    <cellStyle name="Besuchter Hyperlink" xfId="1198" builtinId="9" hidden="1"/>
    <cellStyle name="Besuchter Hyperlink" xfId="1194" builtinId="9" hidden="1"/>
    <cellStyle name="Besuchter Hyperlink" xfId="1190" builtinId="9" hidden="1"/>
    <cellStyle name="Besuchter Hyperlink" xfId="1186" builtinId="9" hidden="1"/>
    <cellStyle name="Besuchter Hyperlink" xfId="1182" builtinId="9" hidden="1"/>
    <cellStyle name="Besuchter Hyperlink" xfId="1178" builtinId="9" hidden="1"/>
    <cellStyle name="Besuchter Hyperlink" xfId="1174" builtinId="9" hidden="1"/>
    <cellStyle name="Besuchter Hyperlink" xfId="1170" builtinId="9" hidden="1"/>
    <cellStyle name="Besuchter Hyperlink" xfId="1166" builtinId="9" hidden="1"/>
    <cellStyle name="Besuchter Hyperlink" xfId="1162" builtinId="9" hidden="1"/>
    <cellStyle name="Besuchter Hyperlink" xfId="1158" builtinId="9" hidden="1"/>
    <cellStyle name="Besuchter Hyperlink" xfId="1154" builtinId="9" hidden="1"/>
    <cellStyle name="Besuchter Hyperlink" xfId="1150" builtinId="9" hidden="1"/>
    <cellStyle name="Besuchter Hyperlink" xfId="1146" builtinId="9" hidden="1"/>
    <cellStyle name="Besuchter Hyperlink" xfId="1142" builtinId="9" hidden="1"/>
    <cellStyle name="Besuchter Hyperlink" xfId="1138" builtinId="9" hidden="1"/>
    <cellStyle name="Besuchter Hyperlink" xfId="1134" builtinId="9" hidden="1"/>
    <cellStyle name="Besuchter Hyperlink" xfId="1130" builtinId="9" hidden="1"/>
    <cellStyle name="Besuchter Hyperlink" xfId="1126" builtinId="9" hidden="1"/>
    <cellStyle name="Besuchter Hyperlink" xfId="1122" builtinId="9" hidden="1"/>
    <cellStyle name="Besuchter Hyperlink" xfId="1118" builtinId="9" hidden="1"/>
    <cellStyle name="Besuchter Hyperlink" xfId="1114" builtinId="9" hidden="1"/>
    <cellStyle name="Besuchter Hyperlink" xfId="1110" builtinId="9" hidden="1"/>
    <cellStyle name="Besuchter Hyperlink" xfId="1106" builtinId="9" hidden="1"/>
    <cellStyle name="Besuchter Hyperlink" xfId="1102" builtinId="9" hidden="1"/>
    <cellStyle name="Besuchter Hyperlink" xfId="1098" builtinId="9" hidden="1"/>
    <cellStyle name="Besuchter Hyperlink" xfId="1094" builtinId="9" hidden="1"/>
    <cellStyle name="Besuchter Hyperlink" xfId="1090" builtinId="9" hidden="1"/>
    <cellStyle name="Besuchter Hyperlink" xfId="1086" builtinId="9" hidden="1"/>
    <cellStyle name="Besuchter Hyperlink" xfId="1082" builtinId="9" hidden="1"/>
    <cellStyle name="Besuchter Hyperlink" xfId="1078" builtinId="9" hidden="1"/>
    <cellStyle name="Besuchter Hyperlink" xfId="1074" builtinId="9" hidden="1"/>
    <cellStyle name="Besuchter Hyperlink" xfId="1070" builtinId="9" hidden="1"/>
    <cellStyle name="Besuchter Hyperlink" xfId="1066" builtinId="9" hidden="1"/>
    <cellStyle name="Besuchter Hyperlink" xfId="1062" builtinId="9" hidden="1"/>
    <cellStyle name="Besuchter Hyperlink" xfId="1058" builtinId="9" hidden="1"/>
    <cellStyle name="Besuchter Hyperlink" xfId="1054" builtinId="9" hidden="1"/>
    <cellStyle name="Besuchter Hyperlink" xfId="1050" builtinId="9" hidden="1"/>
    <cellStyle name="Besuchter Hyperlink" xfId="1046" builtinId="9" hidden="1"/>
    <cellStyle name="Besuchter Hyperlink" xfId="1042" builtinId="9" hidden="1"/>
    <cellStyle name="Besuchter Hyperlink" xfId="1038" builtinId="9" hidden="1"/>
    <cellStyle name="Besuchter Hyperlink" xfId="1034" builtinId="9" hidden="1"/>
    <cellStyle name="Besuchter Hyperlink" xfId="1030" builtinId="9" hidden="1"/>
    <cellStyle name="Besuchter Hyperlink" xfId="1026" builtinId="9" hidden="1"/>
    <cellStyle name="Besuchter Hyperlink" xfId="1022" builtinId="9" hidden="1"/>
    <cellStyle name="Besuchter Hyperlink" xfId="1018" builtinId="9" hidden="1"/>
    <cellStyle name="Besuchter Hyperlink" xfId="1014" builtinId="9" hidden="1"/>
    <cellStyle name="Besuchter Hyperlink" xfId="1010" builtinId="9" hidden="1"/>
    <cellStyle name="Besuchter Hyperlink" xfId="1006" builtinId="9" hidden="1"/>
    <cellStyle name="Besuchter Hyperlink" xfId="1002" builtinId="9" hidden="1"/>
    <cellStyle name="Besuchter Hyperlink" xfId="998" builtinId="9" hidden="1"/>
    <cellStyle name="Besuchter Hyperlink" xfId="994" builtinId="9" hidden="1"/>
    <cellStyle name="Besuchter Hyperlink" xfId="990" builtinId="9" hidden="1"/>
    <cellStyle name="Besuchter Hyperlink" xfId="986" builtinId="9" hidden="1"/>
    <cellStyle name="Besuchter Hyperlink" xfId="982" builtinId="9" hidden="1"/>
    <cellStyle name="Besuchter Hyperlink" xfId="978" builtinId="9" hidden="1"/>
    <cellStyle name="Besuchter Hyperlink" xfId="974" builtinId="9" hidden="1"/>
    <cellStyle name="Besuchter Hyperlink" xfId="970" builtinId="9" hidden="1"/>
    <cellStyle name="Besuchter Hyperlink" xfId="966" builtinId="9" hidden="1"/>
    <cellStyle name="Besuchter Hyperlink" xfId="962" builtinId="9" hidden="1"/>
    <cellStyle name="Besuchter Hyperlink" xfId="958" builtinId="9" hidden="1"/>
    <cellStyle name="Besuchter Hyperlink" xfId="954" builtinId="9" hidden="1"/>
    <cellStyle name="Besuchter Hyperlink" xfId="950" builtinId="9" hidden="1"/>
    <cellStyle name="Besuchter Hyperlink" xfId="946" builtinId="9" hidden="1"/>
    <cellStyle name="Besuchter Hyperlink" xfId="942" builtinId="9" hidden="1"/>
    <cellStyle name="Besuchter Hyperlink" xfId="938" builtinId="9" hidden="1"/>
    <cellStyle name="Besuchter Hyperlink" xfId="934" builtinId="9" hidden="1"/>
    <cellStyle name="Besuchter Hyperlink" xfId="930" builtinId="9" hidden="1"/>
    <cellStyle name="Besuchter Hyperlink" xfId="926" builtinId="9" hidden="1"/>
    <cellStyle name="Besuchter Hyperlink" xfId="922" builtinId="9" hidden="1"/>
    <cellStyle name="Besuchter Hyperlink" xfId="918" builtinId="9" hidden="1"/>
    <cellStyle name="Besuchter Hyperlink" xfId="914" builtinId="9" hidden="1"/>
    <cellStyle name="Besuchter Hyperlink" xfId="910" builtinId="9" hidden="1"/>
    <cellStyle name="Besuchter Hyperlink" xfId="906" builtinId="9" hidden="1"/>
    <cellStyle name="Besuchter Hyperlink" xfId="902" builtinId="9" hidden="1"/>
    <cellStyle name="Besuchter Hyperlink" xfId="898" builtinId="9" hidden="1"/>
    <cellStyle name="Besuchter Hyperlink" xfId="894" builtinId="9" hidden="1"/>
    <cellStyle name="Besuchter Hyperlink" xfId="890" builtinId="9" hidden="1"/>
    <cellStyle name="Besuchter Hyperlink" xfId="886" builtinId="9" hidden="1"/>
    <cellStyle name="Besuchter Hyperlink" xfId="882" builtinId="9" hidden="1"/>
    <cellStyle name="Besuchter Hyperlink" xfId="878" builtinId="9" hidden="1"/>
    <cellStyle name="Besuchter Hyperlink" xfId="874" builtinId="9" hidden="1"/>
    <cellStyle name="Besuchter Hyperlink" xfId="870" builtinId="9" hidden="1"/>
    <cellStyle name="Besuchter Hyperlink" xfId="866" builtinId="9" hidden="1"/>
    <cellStyle name="Besuchter Hyperlink" xfId="862" builtinId="9" hidden="1"/>
    <cellStyle name="Besuchter Hyperlink" xfId="858" builtinId="9" hidden="1"/>
    <cellStyle name="Besuchter Hyperlink" xfId="854" builtinId="9" hidden="1"/>
    <cellStyle name="Besuchter Hyperlink" xfId="850" builtinId="9" hidden="1"/>
    <cellStyle name="Besuchter Hyperlink" xfId="846" builtinId="9" hidden="1"/>
    <cellStyle name="Besuchter Hyperlink" xfId="842" builtinId="9" hidden="1"/>
    <cellStyle name="Besuchter Hyperlink" xfId="838" builtinId="9" hidden="1"/>
    <cellStyle name="Besuchter Hyperlink" xfId="834" builtinId="9" hidden="1"/>
    <cellStyle name="Besuchter Hyperlink" xfId="830" builtinId="9" hidden="1"/>
    <cellStyle name="Besuchter Hyperlink" xfId="826" builtinId="9" hidden="1"/>
    <cellStyle name="Besuchter Hyperlink" xfId="822" builtinId="9" hidden="1"/>
    <cellStyle name="Besuchter Hyperlink" xfId="818" builtinId="9" hidden="1"/>
    <cellStyle name="Besuchter Hyperlink" xfId="814" builtinId="9" hidden="1"/>
    <cellStyle name="Besuchter Hyperlink" xfId="810" builtinId="9" hidden="1"/>
    <cellStyle name="Besuchter Hyperlink" xfId="806" builtinId="9" hidden="1"/>
    <cellStyle name="Besuchter Hyperlink" xfId="802" builtinId="9" hidden="1"/>
    <cellStyle name="Besuchter Hyperlink" xfId="798" builtinId="9" hidden="1"/>
    <cellStyle name="Besuchter Hyperlink" xfId="794" builtinId="9" hidden="1"/>
    <cellStyle name="Besuchter Hyperlink" xfId="790" builtinId="9" hidden="1"/>
    <cellStyle name="Besuchter Hyperlink" xfId="786" builtinId="9" hidden="1"/>
    <cellStyle name="Besuchter Hyperlink" xfId="782" builtinId="9" hidden="1"/>
    <cellStyle name="Besuchter Hyperlink" xfId="778" builtinId="9" hidden="1"/>
    <cellStyle name="Besuchter Hyperlink" xfId="774" builtinId="9" hidden="1"/>
    <cellStyle name="Besuchter Hyperlink" xfId="770" builtinId="9" hidden="1"/>
    <cellStyle name="Besuchter Hyperlink" xfId="766" builtinId="9" hidden="1"/>
    <cellStyle name="Besuchter Hyperlink" xfId="762" builtinId="9" hidden="1"/>
    <cellStyle name="Besuchter Hyperlink" xfId="758" builtinId="9" hidden="1"/>
    <cellStyle name="Besuchter Hyperlink" xfId="754" builtinId="9" hidden="1"/>
    <cellStyle name="Besuchter Hyperlink" xfId="750" builtinId="9" hidden="1"/>
    <cellStyle name="Besuchter Hyperlink" xfId="746" builtinId="9" hidden="1"/>
    <cellStyle name="Besuchter Hyperlink" xfId="742" builtinId="9" hidden="1"/>
    <cellStyle name="Besuchter Hyperlink" xfId="738" builtinId="9" hidden="1"/>
    <cellStyle name="Besuchter Hyperlink" xfId="734" builtinId="9" hidden="1"/>
    <cellStyle name="Besuchter Hyperlink" xfId="730" builtinId="9" hidden="1"/>
    <cellStyle name="Besuchter Hyperlink" xfId="726" builtinId="9" hidden="1"/>
    <cellStyle name="Besuchter Hyperlink" xfId="722" builtinId="9" hidden="1"/>
    <cellStyle name="Besuchter Hyperlink" xfId="718" builtinId="9" hidden="1"/>
    <cellStyle name="Besuchter Hyperlink" xfId="714" builtinId="9" hidden="1"/>
    <cellStyle name="Besuchter Hyperlink" xfId="710" builtinId="9" hidden="1"/>
    <cellStyle name="Besuchter Hyperlink" xfId="706" builtinId="9" hidden="1"/>
    <cellStyle name="Besuchter Hyperlink" xfId="702" builtinId="9" hidden="1"/>
    <cellStyle name="Besuchter Hyperlink" xfId="698" builtinId="9" hidden="1"/>
    <cellStyle name="Besuchter Hyperlink" xfId="694" builtinId="9" hidden="1"/>
    <cellStyle name="Besuchter Hyperlink" xfId="690" builtinId="9" hidden="1"/>
    <cellStyle name="Besuchter Hyperlink" xfId="686" builtinId="9" hidden="1"/>
    <cellStyle name="Besuchter Hyperlink" xfId="682" builtinId="9" hidden="1"/>
    <cellStyle name="Besuchter Hyperlink" xfId="678" builtinId="9" hidden="1"/>
    <cellStyle name="Besuchter Hyperlink" xfId="674" builtinId="9" hidden="1"/>
    <cellStyle name="Besuchter Hyperlink" xfId="670" builtinId="9" hidden="1"/>
    <cellStyle name="Besuchter Hyperlink" xfId="666" builtinId="9" hidden="1"/>
    <cellStyle name="Besuchter Hyperlink" xfId="662" builtinId="9" hidden="1"/>
    <cellStyle name="Besuchter Hyperlink" xfId="658" builtinId="9" hidden="1"/>
    <cellStyle name="Besuchter Hyperlink" xfId="654" builtinId="9" hidden="1"/>
    <cellStyle name="Besuchter Hyperlink" xfId="650" builtinId="9" hidden="1"/>
    <cellStyle name="Besuchter Hyperlink" xfId="646" builtinId="9" hidden="1"/>
    <cellStyle name="Besuchter Hyperlink" xfId="642" builtinId="9" hidden="1"/>
    <cellStyle name="Besuchter Hyperlink" xfId="638" builtinId="9" hidden="1"/>
    <cellStyle name="Besuchter Hyperlink" xfId="634" builtinId="9" hidden="1"/>
    <cellStyle name="Besuchter Hyperlink" xfId="630" builtinId="9" hidden="1"/>
    <cellStyle name="Besuchter Hyperlink" xfId="626" builtinId="9" hidden="1"/>
    <cellStyle name="Besuchter Hyperlink" xfId="622" builtinId="9" hidden="1"/>
    <cellStyle name="Besuchter Hyperlink" xfId="618" builtinId="9" hidden="1"/>
    <cellStyle name="Besuchter Hyperlink" xfId="614" builtinId="9" hidden="1"/>
    <cellStyle name="Besuchter Hyperlink" xfId="610" builtinId="9" hidden="1"/>
    <cellStyle name="Besuchter Hyperlink" xfId="606" builtinId="9" hidden="1"/>
    <cellStyle name="Besuchter Hyperlink" xfId="602" builtinId="9" hidden="1"/>
    <cellStyle name="Besuchter Hyperlink" xfId="598" builtinId="9" hidden="1"/>
    <cellStyle name="Besuchter Hyperlink" xfId="594" builtinId="9" hidden="1"/>
    <cellStyle name="Besuchter Hyperlink" xfId="590" builtinId="9" hidden="1"/>
    <cellStyle name="Besuchter Hyperlink" xfId="586" builtinId="9" hidden="1"/>
    <cellStyle name="Besuchter Hyperlink" xfId="582" builtinId="9" hidden="1"/>
    <cellStyle name="Besuchter Hyperlink" xfId="578" builtinId="9" hidden="1"/>
    <cellStyle name="Besuchter Hyperlink" xfId="574" builtinId="9" hidden="1"/>
    <cellStyle name="Besuchter Hyperlink" xfId="570" builtinId="9" hidden="1"/>
    <cellStyle name="Besuchter Hyperlink" xfId="566" builtinId="9" hidden="1"/>
    <cellStyle name="Besuchter Hyperlink" xfId="562" builtinId="9" hidden="1"/>
    <cellStyle name="Besuchter Hyperlink" xfId="558" builtinId="9" hidden="1"/>
    <cellStyle name="Besuchter Hyperlink" xfId="554" builtinId="9" hidden="1"/>
    <cellStyle name="Besuchter Hyperlink" xfId="550" builtinId="9" hidden="1"/>
    <cellStyle name="Besuchter Hyperlink" xfId="546" builtinId="9" hidden="1"/>
    <cellStyle name="Besuchter Hyperlink" xfId="542" builtinId="9" hidden="1"/>
    <cellStyle name="Besuchter Hyperlink" xfId="538" builtinId="9" hidden="1"/>
    <cellStyle name="Besuchter Hyperlink" xfId="534" builtinId="9" hidden="1"/>
    <cellStyle name="Besuchter Hyperlink" xfId="530" builtinId="9" hidden="1"/>
    <cellStyle name="Besuchter Hyperlink" xfId="526" builtinId="9" hidden="1"/>
    <cellStyle name="Besuchter Hyperlink" xfId="522" builtinId="9" hidden="1"/>
    <cellStyle name="Besuchter Hyperlink" xfId="518" builtinId="9" hidden="1"/>
    <cellStyle name="Besuchter Hyperlink" xfId="514" builtinId="9" hidden="1"/>
    <cellStyle name="Besuchter Hyperlink" xfId="510" builtinId="9" hidden="1"/>
    <cellStyle name="Besuchter Hyperlink" xfId="506" builtinId="9" hidden="1"/>
    <cellStyle name="Besuchter Hyperlink" xfId="502" builtinId="9" hidden="1"/>
    <cellStyle name="Besuchter Hyperlink" xfId="498" builtinId="9" hidden="1"/>
    <cellStyle name="Besuchter Hyperlink" xfId="494" builtinId="9" hidden="1"/>
    <cellStyle name="Besuchter Hyperlink" xfId="490" builtinId="9" hidden="1"/>
    <cellStyle name="Besuchter Hyperlink" xfId="486" builtinId="9" hidden="1"/>
    <cellStyle name="Besuchter Hyperlink" xfId="482" builtinId="9" hidden="1"/>
    <cellStyle name="Besuchter Hyperlink" xfId="478" builtinId="9" hidden="1"/>
    <cellStyle name="Besuchter Hyperlink" xfId="474" builtinId="9" hidden="1"/>
    <cellStyle name="Besuchter Hyperlink" xfId="470" builtinId="9" hidden="1"/>
    <cellStyle name="Besuchter Hyperlink" xfId="466" builtinId="9" hidden="1"/>
    <cellStyle name="Besuchter Hyperlink" xfId="462" builtinId="9" hidden="1"/>
    <cellStyle name="Besuchter Hyperlink" xfId="458" builtinId="9" hidden="1"/>
    <cellStyle name="Besuchter Hyperlink" xfId="454" builtinId="9" hidden="1"/>
    <cellStyle name="Besuchter Hyperlink" xfId="450" builtinId="9" hidden="1"/>
    <cellStyle name="Besuchter Hyperlink" xfId="446" builtinId="9" hidden="1"/>
    <cellStyle name="Besuchter Hyperlink" xfId="442" builtinId="9" hidden="1"/>
    <cellStyle name="Besuchter Hyperlink" xfId="438" builtinId="9" hidden="1"/>
    <cellStyle name="Besuchter Hyperlink" xfId="434" builtinId="9" hidden="1"/>
    <cellStyle name="Besuchter Hyperlink" xfId="430" builtinId="9" hidden="1"/>
    <cellStyle name="Besuchter Hyperlink" xfId="426" builtinId="9" hidden="1"/>
    <cellStyle name="Besuchter Hyperlink" xfId="422" builtinId="9" hidden="1"/>
    <cellStyle name="Besuchter Hyperlink" xfId="418" builtinId="9" hidden="1"/>
    <cellStyle name="Besuchter Hyperlink" xfId="414" builtinId="9" hidden="1"/>
    <cellStyle name="Besuchter Hyperlink" xfId="410" builtinId="9" hidden="1"/>
    <cellStyle name="Besuchter Hyperlink" xfId="406" builtinId="9" hidden="1"/>
    <cellStyle name="Besuchter Hyperlink" xfId="402" builtinId="9" hidden="1"/>
    <cellStyle name="Besuchter Hyperlink" xfId="398" builtinId="9" hidden="1"/>
    <cellStyle name="Besuchter Hyperlink" xfId="394" builtinId="9" hidden="1"/>
    <cellStyle name="Besuchter Hyperlink" xfId="390" builtinId="9" hidden="1"/>
    <cellStyle name="Besuchter Hyperlink" xfId="386" builtinId="9" hidden="1"/>
    <cellStyle name="Besuchter Hyperlink" xfId="382" builtinId="9" hidden="1"/>
    <cellStyle name="Besuchter Hyperlink" xfId="378" builtinId="9" hidden="1"/>
    <cellStyle name="Besuchter Hyperlink" xfId="374" builtinId="9" hidden="1"/>
    <cellStyle name="Besuchter Hyperlink" xfId="370" builtinId="9" hidden="1"/>
    <cellStyle name="Besuchter Hyperlink" xfId="366" builtinId="9" hidden="1"/>
    <cellStyle name="Besuchter Hyperlink" xfId="362" builtinId="9" hidden="1"/>
    <cellStyle name="Besuchter Hyperlink" xfId="358" builtinId="9" hidden="1"/>
    <cellStyle name="Besuchter Hyperlink" xfId="354" builtinId="9" hidden="1"/>
    <cellStyle name="Besuchter Hyperlink" xfId="350" builtinId="9" hidden="1"/>
    <cellStyle name="Besuchter Hyperlink" xfId="346" builtinId="9" hidden="1"/>
    <cellStyle name="Besuchter Hyperlink" xfId="342" builtinId="9" hidden="1"/>
    <cellStyle name="Besuchter Hyperlink" xfId="338" builtinId="9" hidden="1"/>
    <cellStyle name="Besuchter Hyperlink" xfId="334" builtinId="9" hidden="1"/>
    <cellStyle name="Besuchter Hyperlink" xfId="330" builtinId="9" hidden="1"/>
    <cellStyle name="Besuchter Hyperlink" xfId="326" builtinId="9" hidden="1"/>
    <cellStyle name="Besuchter Hyperlink" xfId="322" builtinId="9" hidden="1"/>
    <cellStyle name="Besuchter Hyperlink" xfId="318" builtinId="9" hidden="1"/>
    <cellStyle name="Besuchter Hyperlink" xfId="314" builtinId="9" hidden="1"/>
    <cellStyle name="Besuchter Hyperlink" xfId="310" builtinId="9" hidden="1"/>
    <cellStyle name="Besuchter Hyperlink" xfId="306" builtinId="9" hidden="1"/>
    <cellStyle name="Besuchter Hyperlink" xfId="302" builtinId="9" hidden="1"/>
    <cellStyle name="Besuchter Hyperlink" xfId="298" builtinId="9" hidden="1"/>
    <cellStyle name="Besuchter Hyperlink" xfId="294" builtinId="9" hidden="1"/>
    <cellStyle name="Besuchter Hyperlink" xfId="290" builtinId="9" hidden="1"/>
    <cellStyle name="Besuchter Hyperlink" xfId="286" builtinId="9" hidden="1"/>
    <cellStyle name="Besuchter Hyperlink" xfId="282" builtinId="9" hidden="1"/>
    <cellStyle name="Besuchter Hyperlink" xfId="278" builtinId="9" hidden="1"/>
    <cellStyle name="Besuchter Hyperlink" xfId="274" builtinId="9" hidden="1"/>
    <cellStyle name="Besuchter Hyperlink" xfId="270" builtinId="9" hidden="1"/>
    <cellStyle name="Besuchter Hyperlink" xfId="266" builtinId="9" hidden="1"/>
    <cellStyle name="Besuchter Hyperlink" xfId="262" builtinId="9" hidden="1"/>
    <cellStyle name="Besuchter Hyperlink" xfId="258" builtinId="9" hidden="1"/>
    <cellStyle name="Besuchter Hyperlink" xfId="254" builtinId="9" hidden="1"/>
    <cellStyle name="Besuchter Hyperlink" xfId="250" builtinId="9" hidden="1"/>
    <cellStyle name="Besuchter Hyperlink" xfId="246" builtinId="9" hidden="1"/>
    <cellStyle name="Besuchter Hyperlink" xfId="242" builtinId="9" hidden="1"/>
    <cellStyle name="Besuchter Hyperlink" xfId="238" builtinId="9" hidden="1"/>
    <cellStyle name="Besuchter Hyperlink" xfId="234" builtinId="9" hidden="1"/>
    <cellStyle name="Besuchter Hyperlink" xfId="230" builtinId="9" hidden="1"/>
    <cellStyle name="Besuchter Hyperlink" xfId="226" builtinId="9" hidden="1"/>
    <cellStyle name="Besuchter Hyperlink" xfId="222" builtinId="9" hidden="1"/>
    <cellStyle name="Besuchter Hyperlink" xfId="218" builtinId="9" hidden="1"/>
    <cellStyle name="Besuchter Hyperlink" xfId="214" builtinId="9" hidden="1"/>
    <cellStyle name="Besuchter Hyperlink" xfId="210" builtinId="9" hidden="1"/>
    <cellStyle name="Besuchter Hyperlink" xfId="206" builtinId="9" hidden="1"/>
    <cellStyle name="Besuchter Hyperlink" xfId="202" builtinId="9" hidden="1"/>
    <cellStyle name="Besuchter Hyperlink" xfId="198" builtinId="9" hidden="1"/>
    <cellStyle name="Besuchter Hyperlink" xfId="194" builtinId="9" hidden="1"/>
    <cellStyle name="Besuchter Hyperlink" xfId="190" builtinId="9" hidden="1"/>
    <cellStyle name="Besuchter Hyperlink" xfId="186" builtinId="9" hidden="1"/>
    <cellStyle name="Besuchter Hyperlink" xfId="182" builtinId="9" hidden="1"/>
    <cellStyle name="Besuchter Hyperlink" xfId="178" builtinId="9" hidden="1"/>
    <cellStyle name="Besuchter Hyperlink" xfId="174" builtinId="9" hidden="1"/>
    <cellStyle name="Besuchter Hyperlink" xfId="170" builtinId="9" hidden="1"/>
    <cellStyle name="Besuchter Hyperlink" xfId="166" builtinId="9" hidden="1"/>
    <cellStyle name="Besuchter Hyperlink" xfId="162" builtinId="9" hidden="1"/>
    <cellStyle name="Besuchter Hyperlink" xfId="158" builtinId="9" hidden="1"/>
    <cellStyle name="Besuchter Hyperlink" xfId="154" builtinId="9" hidden="1"/>
    <cellStyle name="Besuchter Hyperlink" xfId="150" builtinId="9" hidden="1"/>
    <cellStyle name="Besuchter Hyperlink" xfId="146" builtinId="9" hidden="1"/>
    <cellStyle name="Besuchter Hyperlink" xfId="142" builtinId="9" hidden="1"/>
    <cellStyle name="Besuchter Hyperlink" xfId="138" builtinId="9" hidden="1"/>
    <cellStyle name="Besuchter Hyperlink" xfId="134" builtinId="9" hidden="1"/>
    <cellStyle name="Besuchter Hyperlink" xfId="130" builtinId="9" hidden="1"/>
    <cellStyle name="Besuchter Hyperlink" xfId="126" builtinId="9" hidden="1"/>
    <cellStyle name="Besuchter Hyperlink" xfId="122" builtinId="9" hidden="1"/>
    <cellStyle name="Besuchter Hyperlink" xfId="118" builtinId="9" hidden="1"/>
    <cellStyle name="Besuchter Hyperlink" xfId="114" builtinId="9" hidden="1"/>
    <cellStyle name="Besuchter Hyperlink" xfId="110" builtinId="9" hidden="1"/>
    <cellStyle name="Besuchter Hyperlink" xfId="106" builtinId="9" hidden="1"/>
    <cellStyle name="Besuchter Hyperlink" xfId="102" builtinId="9" hidden="1"/>
    <cellStyle name="Besuchter Hyperlink" xfId="98" builtinId="9" hidden="1"/>
    <cellStyle name="Besuchter Hyperlink" xfId="94" builtinId="9" hidden="1"/>
    <cellStyle name="Besuchter Hyperlink" xfId="90" builtinId="9" hidden="1"/>
    <cellStyle name="Besuchter Hyperlink" xfId="86" builtinId="9" hidden="1"/>
    <cellStyle name="Besuchter Hyperlink" xfId="82" builtinId="9" hidden="1"/>
    <cellStyle name="Besuchter Hyperlink" xfId="78" builtinId="9" hidden="1"/>
    <cellStyle name="Besuchter Hyperlink" xfId="74" builtinId="9" hidden="1"/>
    <cellStyle name="Besuchter Hyperlink" xfId="70" builtinId="9" hidden="1"/>
    <cellStyle name="Besuchter Hyperlink" xfId="66" builtinId="9" hidden="1"/>
    <cellStyle name="Besuchter Hyperlink" xfId="62" builtinId="9" hidden="1"/>
    <cellStyle name="Besuchter Hyperlink" xfId="58" builtinId="9" hidden="1"/>
    <cellStyle name="Besuchter Hyperlink" xfId="54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2" builtinId="9" hidden="1"/>
    <cellStyle name="Besuchter Hyperlink" xfId="50" builtinId="9" hidden="1"/>
    <cellStyle name="Besuchter Hyperlink" xfId="42" builtinId="9" hidden="1"/>
    <cellStyle name="Besuchter Hyperlink" xfId="34" builtinId="9" hidden="1"/>
    <cellStyle name="Besuchter Hyperlink" xfId="26" builtinId="9" hidden="1"/>
    <cellStyle name="Besuchter Hyperlink" xfId="18" builtinId="9" hidden="1"/>
    <cellStyle name="Besuchter Hyperlink" xfId="8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0" builtinId="9" hidden="1"/>
    <cellStyle name="Besuchter Hyperlink" xfId="4" builtinId="9" hidden="1"/>
    <cellStyle name="Besuchter Hyperlink" xfId="6" builtinId="9" hidden="1"/>
    <cellStyle name="Besuchter Hyperlink" xfId="2" builtinId="9" hidden="1"/>
    <cellStyle name="Link" xfId="477" builtinId="8" hidden="1"/>
    <cellStyle name="Link" xfId="479" builtinId="8" hidden="1"/>
    <cellStyle name="Link" xfId="483" builtinId="8" hidden="1"/>
    <cellStyle name="Link" xfId="485" builtinId="8" hidden="1"/>
    <cellStyle name="Link" xfId="487" builtinId="8" hidden="1"/>
    <cellStyle name="Link" xfId="491" builtinId="8" hidden="1"/>
    <cellStyle name="Link" xfId="493" builtinId="8" hidden="1"/>
    <cellStyle name="Link" xfId="495" builtinId="8" hidden="1"/>
    <cellStyle name="Link" xfId="499" builtinId="8" hidden="1"/>
    <cellStyle name="Link" xfId="501" builtinId="8" hidden="1"/>
    <cellStyle name="Link" xfId="503" builtinId="8" hidden="1"/>
    <cellStyle name="Link" xfId="507" builtinId="8" hidden="1"/>
    <cellStyle name="Link" xfId="509" builtinId="8" hidden="1"/>
    <cellStyle name="Link" xfId="511" builtinId="8" hidden="1"/>
    <cellStyle name="Link" xfId="515" builtinId="8" hidden="1"/>
    <cellStyle name="Link" xfId="517" builtinId="8" hidden="1"/>
    <cellStyle name="Link" xfId="519" builtinId="8" hidden="1"/>
    <cellStyle name="Link" xfId="523" builtinId="8" hidden="1"/>
    <cellStyle name="Link" xfId="525" builtinId="8" hidden="1"/>
    <cellStyle name="Link" xfId="527" builtinId="8" hidden="1"/>
    <cellStyle name="Link" xfId="531" builtinId="8" hidden="1"/>
    <cellStyle name="Link" xfId="533" builtinId="8" hidden="1"/>
    <cellStyle name="Link" xfId="535" builtinId="8" hidden="1"/>
    <cellStyle name="Link" xfId="539" builtinId="8" hidden="1"/>
    <cellStyle name="Link" xfId="541" builtinId="8" hidden="1"/>
    <cellStyle name="Link" xfId="543" builtinId="8" hidden="1"/>
    <cellStyle name="Link" xfId="547" builtinId="8" hidden="1"/>
    <cellStyle name="Link" xfId="549" builtinId="8" hidden="1"/>
    <cellStyle name="Link" xfId="551" builtinId="8" hidden="1"/>
    <cellStyle name="Link" xfId="555" builtinId="8" hidden="1"/>
    <cellStyle name="Link" xfId="557" builtinId="8" hidden="1"/>
    <cellStyle name="Link" xfId="559" builtinId="8" hidden="1"/>
    <cellStyle name="Link" xfId="563" builtinId="8" hidden="1"/>
    <cellStyle name="Link" xfId="565" builtinId="8" hidden="1"/>
    <cellStyle name="Link" xfId="567" builtinId="8" hidden="1"/>
    <cellStyle name="Link" xfId="571" builtinId="8" hidden="1"/>
    <cellStyle name="Link" xfId="573" builtinId="8" hidden="1"/>
    <cellStyle name="Link" xfId="575" builtinId="8" hidden="1"/>
    <cellStyle name="Link" xfId="579" builtinId="8" hidden="1"/>
    <cellStyle name="Link" xfId="581" builtinId="8" hidden="1"/>
    <cellStyle name="Link" xfId="583" builtinId="8" hidden="1"/>
    <cellStyle name="Link" xfId="587" builtinId="8" hidden="1"/>
    <cellStyle name="Link" xfId="589" builtinId="8" hidden="1"/>
    <cellStyle name="Link" xfId="591" builtinId="8" hidden="1"/>
    <cellStyle name="Link" xfId="595" builtinId="8" hidden="1"/>
    <cellStyle name="Link" xfId="597" builtinId="8" hidden="1"/>
    <cellStyle name="Link" xfId="599" builtinId="8" hidden="1"/>
    <cellStyle name="Link" xfId="603" builtinId="8" hidden="1"/>
    <cellStyle name="Link" xfId="605" builtinId="8" hidden="1"/>
    <cellStyle name="Link" xfId="607" builtinId="8" hidden="1"/>
    <cellStyle name="Link" xfId="611" builtinId="8" hidden="1"/>
    <cellStyle name="Link" xfId="613" builtinId="8" hidden="1"/>
    <cellStyle name="Link" xfId="615" builtinId="8" hidden="1"/>
    <cellStyle name="Link" xfId="619" builtinId="8" hidden="1"/>
    <cellStyle name="Link" xfId="621" builtinId="8" hidden="1"/>
    <cellStyle name="Link" xfId="623" builtinId="8" hidden="1"/>
    <cellStyle name="Link" xfId="627" builtinId="8" hidden="1"/>
    <cellStyle name="Link" xfId="629" builtinId="8" hidden="1"/>
    <cellStyle name="Link" xfId="631" builtinId="8" hidden="1"/>
    <cellStyle name="Link" xfId="635" builtinId="8" hidden="1"/>
    <cellStyle name="Link" xfId="637" builtinId="8" hidden="1"/>
    <cellStyle name="Link" xfId="639" builtinId="8" hidden="1"/>
    <cellStyle name="Link" xfId="643" builtinId="8" hidden="1"/>
    <cellStyle name="Link" xfId="645" builtinId="8" hidden="1"/>
    <cellStyle name="Link" xfId="647" builtinId="8" hidden="1"/>
    <cellStyle name="Link" xfId="651" builtinId="8" hidden="1"/>
    <cellStyle name="Link" xfId="653" builtinId="8" hidden="1"/>
    <cellStyle name="Link" xfId="655" builtinId="8" hidden="1"/>
    <cellStyle name="Link" xfId="659" builtinId="8" hidden="1"/>
    <cellStyle name="Link" xfId="661" builtinId="8" hidden="1"/>
    <cellStyle name="Link" xfId="663" builtinId="8" hidden="1"/>
    <cellStyle name="Link" xfId="667" builtinId="8" hidden="1"/>
    <cellStyle name="Link" xfId="669" builtinId="8" hidden="1"/>
    <cellStyle name="Link" xfId="671" builtinId="8" hidden="1"/>
    <cellStyle name="Link" xfId="675" builtinId="8" hidden="1"/>
    <cellStyle name="Link" xfId="677" builtinId="8" hidden="1"/>
    <cellStyle name="Link" xfId="679" builtinId="8" hidden="1"/>
    <cellStyle name="Link" xfId="683" builtinId="8" hidden="1"/>
    <cellStyle name="Link" xfId="685" builtinId="8" hidden="1"/>
    <cellStyle name="Link" xfId="687" builtinId="8" hidden="1"/>
    <cellStyle name="Link" xfId="691" builtinId="8" hidden="1"/>
    <cellStyle name="Link" xfId="693" builtinId="8" hidden="1"/>
    <cellStyle name="Link" xfId="695" builtinId="8" hidden="1"/>
    <cellStyle name="Link" xfId="699" builtinId="8" hidden="1"/>
    <cellStyle name="Link" xfId="701" builtinId="8" hidden="1"/>
    <cellStyle name="Link" xfId="703" builtinId="8" hidden="1"/>
    <cellStyle name="Link" xfId="707" builtinId="8" hidden="1"/>
    <cellStyle name="Link" xfId="709" builtinId="8" hidden="1"/>
    <cellStyle name="Link" xfId="711" builtinId="8" hidden="1"/>
    <cellStyle name="Link" xfId="715" builtinId="8" hidden="1"/>
    <cellStyle name="Link" xfId="717" builtinId="8" hidden="1"/>
    <cellStyle name="Link" xfId="719" builtinId="8" hidden="1"/>
    <cellStyle name="Link" xfId="723" builtinId="8" hidden="1"/>
    <cellStyle name="Link" xfId="725" builtinId="8" hidden="1"/>
    <cellStyle name="Link" xfId="727" builtinId="8" hidden="1"/>
    <cellStyle name="Link" xfId="731" builtinId="8" hidden="1"/>
    <cellStyle name="Link" xfId="733" builtinId="8" hidden="1"/>
    <cellStyle name="Link" xfId="735" builtinId="8" hidden="1"/>
    <cellStyle name="Link" xfId="739" builtinId="8" hidden="1"/>
    <cellStyle name="Link" xfId="741" builtinId="8" hidden="1"/>
    <cellStyle name="Link" xfId="743" builtinId="8" hidden="1"/>
    <cellStyle name="Link" xfId="747" builtinId="8" hidden="1"/>
    <cellStyle name="Link" xfId="749" builtinId="8" hidden="1"/>
    <cellStyle name="Link" xfId="751" builtinId="8" hidden="1"/>
    <cellStyle name="Link" xfId="755" builtinId="8" hidden="1"/>
    <cellStyle name="Link" xfId="757" builtinId="8" hidden="1"/>
    <cellStyle name="Link" xfId="759" builtinId="8" hidden="1"/>
    <cellStyle name="Link" xfId="763" builtinId="8" hidden="1"/>
    <cellStyle name="Link" xfId="765" builtinId="8" hidden="1"/>
    <cellStyle name="Link" xfId="767" builtinId="8" hidden="1"/>
    <cellStyle name="Link" xfId="771" builtinId="8" hidden="1"/>
    <cellStyle name="Link" xfId="773" builtinId="8" hidden="1"/>
    <cellStyle name="Link" xfId="775" builtinId="8" hidden="1"/>
    <cellStyle name="Link" xfId="779" builtinId="8" hidden="1"/>
    <cellStyle name="Link" xfId="781" builtinId="8" hidden="1"/>
    <cellStyle name="Link" xfId="783" builtinId="8" hidden="1"/>
    <cellStyle name="Link" xfId="787" builtinId="8" hidden="1"/>
    <cellStyle name="Link" xfId="789" builtinId="8" hidden="1"/>
    <cellStyle name="Link" xfId="791" builtinId="8" hidden="1"/>
    <cellStyle name="Link" xfId="795" builtinId="8" hidden="1"/>
    <cellStyle name="Link" xfId="797" builtinId="8" hidden="1"/>
    <cellStyle name="Link" xfId="799" builtinId="8" hidden="1"/>
    <cellStyle name="Link" xfId="803" builtinId="8" hidden="1"/>
    <cellStyle name="Link" xfId="805" builtinId="8" hidden="1"/>
    <cellStyle name="Link" xfId="807" builtinId="8" hidden="1"/>
    <cellStyle name="Link" xfId="811" builtinId="8" hidden="1"/>
    <cellStyle name="Link" xfId="813" builtinId="8" hidden="1"/>
    <cellStyle name="Link" xfId="815" builtinId="8" hidden="1"/>
    <cellStyle name="Link" xfId="819" builtinId="8" hidden="1"/>
    <cellStyle name="Link" xfId="821" builtinId="8" hidden="1"/>
    <cellStyle name="Link" xfId="823" builtinId="8" hidden="1"/>
    <cellStyle name="Link" xfId="827" builtinId="8" hidden="1"/>
    <cellStyle name="Link" xfId="829" builtinId="8" hidden="1"/>
    <cellStyle name="Link" xfId="831" builtinId="8" hidden="1"/>
    <cellStyle name="Link" xfId="835" builtinId="8" hidden="1"/>
    <cellStyle name="Link" xfId="837" builtinId="8" hidden="1"/>
    <cellStyle name="Link" xfId="839" builtinId="8" hidden="1"/>
    <cellStyle name="Link" xfId="843" builtinId="8" hidden="1"/>
    <cellStyle name="Link" xfId="845" builtinId="8" hidden="1"/>
    <cellStyle name="Link" xfId="847" builtinId="8" hidden="1"/>
    <cellStyle name="Link" xfId="851" builtinId="8" hidden="1"/>
    <cellStyle name="Link" xfId="853" builtinId="8" hidden="1"/>
    <cellStyle name="Link" xfId="855" builtinId="8" hidden="1"/>
    <cellStyle name="Link" xfId="859" builtinId="8" hidden="1"/>
    <cellStyle name="Link" xfId="861" builtinId="8" hidden="1"/>
    <cellStyle name="Link" xfId="863" builtinId="8" hidden="1"/>
    <cellStyle name="Link" xfId="867" builtinId="8" hidden="1"/>
    <cellStyle name="Link" xfId="869" builtinId="8" hidden="1"/>
    <cellStyle name="Link" xfId="871" builtinId="8" hidden="1"/>
    <cellStyle name="Link" xfId="875" builtinId="8" hidden="1"/>
    <cellStyle name="Link" xfId="877" builtinId="8" hidden="1"/>
    <cellStyle name="Link" xfId="879" builtinId="8" hidden="1"/>
    <cellStyle name="Link" xfId="883" builtinId="8" hidden="1"/>
    <cellStyle name="Link" xfId="885" builtinId="8" hidden="1"/>
    <cellStyle name="Link" xfId="887" builtinId="8" hidden="1"/>
    <cellStyle name="Link" xfId="891" builtinId="8" hidden="1"/>
    <cellStyle name="Link" xfId="893" builtinId="8" hidden="1"/>
    <cellStyle name="Link" xfId="895" builtinId="8" hidden="1"/>
    <cellStyle name="Link" xfId="899" builtinId="8" hidden="1"/>
    <cellStyle name="Link" xfId="901" builtinId="8" hidden="1"/>
    <cellStyle name="Link" xfId="903" builtinId="8" hidden="1"/>
    <cellStyle name="Link" xfId="907" builtinId="8" hidden="1"/>
    <cellStyle name="Link" xfId="909" builtinId="8" hidden="1"/>
    <cellStyle name="Link" xfId="911" builtinId="8" hidden="1"/>
    <cellStyle name="Link" xfId="915" builtinId="8" hidden="1"/>
    <cellStyle name="Link" xfId="917" builtinId="8" hidden="1"/>
    <cellStyle name="Link" xfId="919" builtinId="8" hidden="1"/>
    <cellStyle name="Link" xfId="923" builtinId="8" hidden="1"/>
    <cellStyle name="Link" xfId="925" builtinId="8" hidden="1"/>
    <cellStyle name="Link" xfId="927" builtinId="8" hidden="1"/>
    <cellStyle name="Link" xfId="931" builtinId="8" hidden="1"/>
    <cellStyle name="Link" xfId="933" builtinId="8" hidden="1"/>
    <cellStyle name="Link" xfId="935" builtinId="8" hidden="1"/>
    <cellStyle name="Link" xfId="939" builtinId="8" hidden="1"/>
    <cellStyle name="Link" xfId="941" builtinId="8" hidden="1"/>
    <cellStyle name="Link" xfId="943" builtinId="8" hidden="1"/>
    <cellStyle name="Link" xfId="947" builtinId="8" hidden="1"/>
    <cellStyle name="Link" xfId="949" builtinId="8" hidden="1"/>
    <cellStyle name="Link" xfId="951" builtinId="8" hidden="1"/>
    <cellStyle name="Link" xfId="955" builtinId="8" hidden="1"/>
    <cellStyle name="Link" xfId="957" builtinId="8" hidden="1"/>
    <cellStyle name="Link" xfId="959" builtinId="8" hidden="1"/>
    <cellStyle name="Link" xfId="963" builtinId="8" hidden="1"/>
    <cellStyle name="Link" xfId="965" builtinId="8" hidden="1"/>
    <cellStyle name="Link" xfId="967" builtinId="8" hidden="1"/>
    <cellStyle name="Link" xfId="971" builtinId="8" hidden="1"/>
    <cellStyle name="Link" xfId="973" builtinId="8" hidden="1"/>
    <cellStyle name="Link" xfId="975" builtinId="8" hidden="1"/>
    <cellStyle name="Link" xfId="979" builtinId="8" hidden="1"/>
    <cellStyle name="Link" xfId="981" builtinId="8" hidden="1"/>
    <cellStyle name="Link" xfId="983" builtinId="8" hidden="1"/>
    <cellStyle name="Link" xfId="987" builtinId="8" hidden="1"/>
    <cellStyle name="Link" xfId="989" builtinId="8" hidden="1"/>
    <cellStyle name="Link" xfId="991" builtinId="8" hidden="1"/>
    <cellStyle name="Link" xfId="995" builtinId="8" hidden="1"/>
    <cellStyle name="Link" xfId="997" builtinId="8" hidden="1"/>
    <cellStyle name="Link" xfId="999" builtinId="8" hidden="1"/>
    <cellStyle name="Link" xfId="1003" builtinId="8" hidden="1"/>
    <cellStyle name="Link" xfId="1005" builtinId="8" hidden="1"/>
    <cellStyle name="Link" xfId="1007" builtinId="8" hidden="1"/>
    <cellStyle name="Link" xfId="1011" builtinId="8" hidden="1"/>
    <cellStyle name="Link" xfId="1013" builtinId="8" hidden="1"/>
    <cellStyle name="Link" xfId="1015" builtinId="8" hidden="1"/>
    <cellStyle name="Link" xfId="1019" builtinId="8" hidden="1"/>
    <cellStyle name="Link" xfId="1021" builtinId="8" hidden="1"/>
    <cellStyle name="Link" xfId="1023" builtinId="8" hidden="1"/>
    <cellStyle name="Link" xfId="1027" builtinId="8" hidden="1"/>
    <cellStyle name="Link" xfId="1029" builtinId="8" hidden="1"/>
    <cellStyle name="Link" xfId="1031" builtinId="8" hidden="1"/>
    <cellStyle name="Link" xfId="1035" builtinId="8" hidden="1"/>
    <cellStyle name="Link" xfId="1037" builtinId="8" hidden="1"/>
    <cellStyle name="Link" xfId="1039" builtinId="8" hidden="1"/>
    <cellStyle name="Link" xfId="1043" builtinId="8" hidden="1"/>
    <cellStyle name="Link" xfId="1045" builtinId="8" hidden="1"/>
    <cellStyle name="Link" xfId="1047" builtinId="8" hidden="1"/>
    <cellStyle name="Link" xfId="1051" builtinId="8" hidden="1"/>
    <cellStyle name="Link" xfId="1053" builtinId="8" hidden="1"/>
    <cellStyle name="Link" xfId="1055" builtinId="8" hidden="1"/>
    <cellStyle name="Link" xfId="1059" builtinId="8" hidden="1"/>
    <cellStyle name="Link" xfId="1061" builtinId="8" hidden="1"/>
    <cellStyle name="Link" xfId="1063" builtinId="8" hidden="1"/>
    <cellStyle name="Link" xfId="1067" builtinId="8" hidden="1"/>
    <cellStyle name="Link" xfId="1069" builtinId="8" hidden="1"/>
    <cellStyle name="Link" xfId="1071" builtinId="8" hidden="1"/>
    <cellStyle name="Link" xfId="1075" builtinId="8" hidden="1"/>
    <cellStyle name="Link" xfId="1077" builtinId="8" hidden="1"/>
    <cellStyle name="Link" xfId="1079" builtinId="8" hidden="1"/>
    <cellStyle name="Link" xfId="1083" builtinId="8" hidden="1"/>
    <cellStyle name="Link" xfId="1085" builtinId="8" hidden="1"/>
    <cellStyle name="Link" xfId="1087" builtinId="8" hidden="1"/>
    <cellStyle name="Link" xfId="1091" builtinId="8" hidden="1"/>
    <cellStyle name="Link" xfId="1093" builtinId="8" hidden="1"/>
    <cellStyle name="Link" xfId="1095" builtinId="8" hidden="1"/>
    <cellStyle name="Link" xfId="1099" builtinId="8" hidden="1"/>
    <cellStyle name="Link" xfId="1101" builtinId="8" hidden="1"/>
    <cellStyle name="Link" xfId="1103" builtinId="8" hidden="1"/>
    <cellStyle name="Link" xfId="1107" builtinId="8" hidden="1"/>
    <cellStyle name="Link" xfId="1109" builtinId="8" hidden="1"/>
    <cellStyle name="Link" xfId="1111" builtinId="8" hidden="1"/>
    <cellStyle name="Link" xfId="1115" builtinId="8" hidden="1"/>
    <cellStyle name="Link" xfId="1117" builtinId="8" hidden="1"/>
    <cellStyle name="Link" xfId="1119" builtinId="8" hidden="1"/>
    <cellStyle name="Link" xfId="1123" builtinId="8" hidden="1"/>
    <cellStyle name="Link" xfId="1125" builtinId="8" hidden="1"/>
    <cellStyle name="Link" xfId="1127" builtinId="8" hidden="1"/>
    <cellStyle name="Link" xfId="1131" builtinId="8" hidden="1"/>
    <cellStyle name="Link" xfId="1133" builtinId="8" hidden="1"/>
    <cellStyle name="Link" xfId="1135" builtinId="8" hidden="1"/>
    <cellStyle name="Link" xfId="1139" builtinId="8" hidden="1"/>
    <cellStyle name="Link" xfId="1141" builtinId="8" hidden="1"/>
    <cellStyle name="Link" xfId="1143" builtinId="8" hidden="1"/>
    <cellStyle name="Link" xfId="1147" builtinId="8" hidden="1"/>
    <cellStyle name="Link" xfId="1149" builtinId="8" hidden="1"/>
    <cellStyle name="Link" xfId="1151" builtinId="8" hidden="1"/>
    <cellStyle name="Link" xfId="1155" builtinId="8" hidden="1"/>
    <cellStyle name="Link" xfId="1157" builtinId="8" hidden="1"/>
    <cellStyle name="Link" xfId="1159" builtinId="8" hidden="1"/>
    <cellStyle name="Link" xfId="1163" builtinId="8" hidden="1"/>
    <cellStyle name="Link" xfId="1165" builtinId="8" hidden="1"/>
    <cellStyle name="Link" xfId="1167" builtinId="8" hidden="1"/>
    <cellStyle name="Link" xfId="1171" builtinId="8" hidden="1"/>
    <cellStyle name="Link" xfId="1173" builtinId="8" hidden="1"/>
    <cellStyle name="Link" xfId="1175" builtinId="8" hidden="1"/>
    <cellStyle name="Link" xfId="1179" builtinId="8" hidden="1"/>
    <cellStyle name="Link" xfId="1181" builtinId="8" hidden="1"/>
    <cellStyle name="Link" xfId="1183" builtinId="8" hidden="1"/>
    <cellStyle name="Link" xfId="1187" builtinId="8" hidden="1"/>
    <cellStyle name="Link" xfId="1189" builtinId="8" hidden="1"/>
    <cellStyle name="Link" xfId="1191" builtinId="8" hidden="1"/>
    <cellStyle name="Link" xfId="1195" builtinId="8" hidden="1"/>
    <cellStyle name="Link" xfId="1197" builtinId="8" hidden="1"/>
    <cellStyle name="Link" xfId="1199" builtinId="8" hidden="1"/>
    <cellStyle name="Link" xfId="1203" builtinId="8" hidden="1"/>
    <cellStyle name="Link" xfId="1205" builtinId="8" hidden="1"/>
    <cellStyle name="Link" xfId="1207" builtinId="8" hidden="1"/>
    <cellStyle name="Link" xfId="1211" builtinId="8" hidden="1"/>
    <cellStyle name="Link" xfId="1213" builtinId="8" hidden="1"/>
    <cellStyle name="Link" xfId="1215" builtinId="8" hidden="1"/>
    <cellStyle name="Link" xfId="1219" builtinId="8" hidden="1"/>
    <cellStyle name="Link" xfId="1221" builtinId="8" hidden="1"/>
    <cellStyle name="Link" xfId="1223" builtinId="8" hidden="1"/>
    <cellStyle name="Link" xfId="1227" builtinId="8" hidden="1"/>
    <cellStyle name="Link" xfId="1229" builtinId="8" hidden="1"/>
    <cellStyle name="Link" xfId="1231" builtinId="8" hidden="1"/>
    <cellStyle name="Link" xfId="1235" builtinId="8" hidden="1"/>
    <cellStyle name="Link" xfId="1237" builtinId="8" hidden="1"/>
    <cellStyle name="Link" xfId="1239" builtinId="8" hidden="1"/>
    <cellStyle name="Link" xfId="1243" builtinId="8" hidden="1"/>
    <cellStyle name="Link" xfId="1245" builtinId="8" hidden="1"/>
    <cellStyle name="Link" xfId="1247" builtinId="8" hidden="1"/>
    <cellStyle name="Link" xfId="1251" builtinId="8" hidden="1"/>
    <cellStyle name="Link" xfId="1253" builtinId="8" hidden="1"/>
    <cellStyle name="Link" xfId="1255" builtinId="8" hidden="1"/>
    <cellStyle name="Link" xfId="1259" builtinId="8" hidden="1"/>
    <cellStyle name="Link" xfId="1261" builtinId="8" hidden="1"/>
    <cellStyle name="Link" xfId="1263" builtinId="8" hidden="1"/>
    <cellStyle name="Link" xfId="1267" builtinId="8" hidden="1"/>
    <cellStyle name="Link" xfId="1269" builtinId="8" hidden="1"/>
    <cellStyle name="Link" xfId="1271" builtinId="8" hidden="1"/>
    <cellStyle name="Link" xfId="1275" builtinId="8" hidden="1"/>
    <cellStyle name="Link" xfId="1277" builtinId="8" hidden="1"/>
    <cellStyle name="Link" xfId="1279" builtinId="8" hidden="1"/>
    <cellStyle name="Link" xfId="1283" builtinId="8" hidden="1"/>
    <cellStyle name="Link" xfId="1285" builtinId="8" hidden="1"/>
    <cellStyle name="Link" xfId="1287" builtinId="8" hidden="1"/>
    <cellStyle name="Link" xfId="1291" builtinId="8" hidden="1"/>
    <cellStyle name="Link" xfId="1293" builtinId="8" hidden="1"/>
    <cellStyle name="Link" xfId="1295" builtinId="8" hidden="1"/>
    <cellStyle name="Link" xfId="1299" builtinId="8" hidden="1"/>
    <cellStyle name="Link" xfId="1301" builtinId="8" hidden="1"/>
    <cellStyle name="Link" xfId="1303" builtinId="8" hidden="1"/>
    <cellStyle name="Link" xfId="1307" builtinId="8" hidden="1"/>
    <cellStyle name="Link" xfId="1309" builtinId="8" hidden="1"/>
    <cellStyle name="Link" xfId="1311" builtinId="8" hidden="1"/>
    <cellStyle name="Link" xfId="1315" builtinId="8" hidden="1"/>
    <cellStyle name="Link" xfId="1317" builtinId="8" hidden="1"/>
    <cellStyle name="Link" xfId="1319" builtinId="8" hidden="1"/>
    <cellStyle name="Link" xfId="1323" builtinId="8" hidden="1"/>
    <cellStyle name="Link" xfId="1325" builtinId="8" hidden="1"/>
    <cellStyle name="Link" xfId="1327" builtinId="8" hidden="1"/>
    <cellStyle name="Link" xfId="1331" builtinId="8" hidden="1"/>
    <cellStyle name="Link" xfId="1333" builtinId="8" hidden="1"/>
    <cellStyle name="Link" xfId="1335" builtinId="8" hidden="1"/>
    <cellStyle name="Link" xfId="1339" builtinId="8" hidden="1"/>
    <cellStyle name="Link" xfId="1341" builtinId="8" hidden="1"/>
    <cellStyle name="Link" xfId="1343" builtinId="8" hidden="1"/>
    <cellStyle name="Link" xfId="1347" builtinId="8" hidden="1"/>
    <cellStyle name="Link" xfId="1349" builtinId="8" hidden="1"/>
    <cellStyle name="Link" xfId="1351" builtinId="8" hidden="1"/>
    <cellStyle name="Link" xfId="1355" builtinId="8" hidden="1"/>
    <cellStyle name="Link" xfId="1357" builtinId="8" hidden="1"/>
    <cellStyle name="Link" xfId="1359" builtinId="8" hidden="1"/>
    <cellStyle name="Link" xfId="1353" builtinId="8" hidden="1"/>
    <cellStyle name="Link" xfId="1345" builtinId="8" hidden="1"/>
    <cellStyle name="Link" xfId="1337" builtinId="8" hidden="1"/>
    <cellStyle name="Link" xfId="1329" builtinId="8" hidden="1"/>
    <cellStyle name="Link" xfId="1321" builtinId="8" hidden="1"/>
    <cellStyle name="Link" xfId="1313" builtinId="8" hidden="1"/>
    <cellStyle name="Link" xfId="1305" builtinId="8" hidden="1"/>
    <cellStyle name="Link" xfId="1297" builtinId="8" hidden="1"/>
    <cellStyle name="Link" xfId="1289" builtinId="8" hidden="1"/>
    <cellStyle name="Link" xfId="1281" builtinId="8" hidden="1"/>
    <cellStyle name="Link" xfId="1273" builtinId="8" hidden="1"/>
    <cellStyle name="Link" xfId="1265" builtinId="8" hidden="1"/>
    <cellStyle name="Link" xfId="1257" builtinId="8" hidden="1"/>
    <cellStyle name="Link" xfId="1249" builtinId="8" hidden="1"/>
    <cellStyle name="Link" xfId="1241" builtinId="8" hidden="1"/>
    <cellStyle name="Link" xfId="1233" builtinId="8" hidden="1"/>
    <cellStyle name="Link" xfId="1225" builtinId="8" hidden="1"/>
    <cellStyle name="Link" xfId="1217" builtinId="8" hidden="1"/>
    <cellStyle name="Link" xfId="1209" builtinId="8" hidden="1"/>
    <cellStyle name="Link" xfId="1201" builtinId="8" hidden="1"/>
    <cellStyle name="Link" xfId="1193" builtinId="8" hidden="1"/>
    <cellStyle name="Link" xfId="1185" builtinId="8" hidden="1"/>
    <cellStyle name="Link" xfId="1177" builtinId="8" hidden="1"/>
    <cellStyle name="Link" xfId="1169" builtinId="8" hidden="1"/>
    <cellStyle name="Link" xfId="1161" builtinId="8" hidden="1"/>
    <cellStyle name="Link" xfId="1153" builtinId="8" hidden="1"/>
    <cellStyle name="Link" xfId="1145" builtinId="8" hidden="1"/>
    <cellStyle name="Link" xfId="1137" builtinId="8" hidden="1"/>
    <cellStyle name="Link" xfId="1129" builtinId="8" hidden="1"/>
    <cellStyle name="Link" xfId="1121" builtinId="8" hidden="1"/>
    <cellStyle name="Link" xfId="1113" builtinId="8" hidden="1"/>
    <cellStyle name="Link" xfId="1105" builtinId="8" hidden="1"/>
    <cellStyle name="Link" xfId="1097" builtinId="8" hidden="1"/>
    <cellStyle name="Link" xfId="1089" builtinId="8" hidden="1"/>
    <cellStyle name="Link" xfId="1081" builtinId="8" hidden="1"/>
    <cellStyle name="Link" xfId="1073" builtinId="8" hidden="1"/>
    <cellStyle name="Link" xfId="1065" builtinId="8" hidden="1"/>
    <cellStyle name="Link" xfId="1057" builtinId="8" hidden="1"/>
    <cellStyle name="Link" xfId="1049" builtinId="8" hidden="1"/>
    <cellStyle name="Link" xfId="1041" builtinId="8" hidden="1"/>
    <cellStyle name="Link" xfId="1033" builtinId="8" hidden="1"/>
    <cellStyle name="Link" xfId="1025" builtinId="8" hidden="1"/>
    <cellStyle name="Link" xfId="1017" builtinId="8" hidden="1"/>
    <cellStyle name="Link" xfId="1009" builtinId="8" hidden="1"/>
    <cellStyle name="Link" xfId="1001" builtinId="8" hidden="1"/>
    <cellStyle name="Link" xfId="993" builtinId="8" hidden="1"/>
    <cellStyle name="Link" xfId="985" builtinId="8" hidden="1"/>
    <cellStyle name="Link" xfId="977" builtinId="8" hidden="1"/>
    <cellStyle name="Link" xfId="969" builtinId="8" hidden="1"/>
    <cellStyle name="Link" xfId="961" builtinId="8" hidden="1"/>
    <cellStyle name="Link" xfId="953" builtinId="8" hidden="1"/>
    <cellStyle name="Link" xfId="945" builtinId="8" hidden="1"/>
    <cellStyle name="Link" xfId="937" builtinId="8" hidden="1"/>
    <cellStyle name="Link" xfId="929" builtinId="8" hidden="1"/>
    <cellStyle name="Link" xfId="921" builtinId="8" hidden="1"/>
    <cellStyle name="Link" xfId="913" builtinId="8" hidden="1"/>
    <cellStyle name="Link" xfId="905" builtinId="8" hidden="1"/>
    <cellStyle name="Link" xfId="897" builtinId="8" hidden="1"/>
    <cellStyle name="Link" xfId="889" builtinId="8" hidden="1"/>
    <cellStyle name="Link" xfId="881" builtinId="8" hidden="1"/>
    <cellStyle name="Link" xfId="873" builtinId="8" hidden="1"/>
    <cellStyle name="Link" xfId="865" builtinId="8" hidden="1"/>
    <cellStyle name="Link" xfId="857" builtinId="8" hidden="1"/>
    <cellStyle name="Link" xfId="849" builtinId="8" hidden="1"/>
    <cellStyle name="Link" xfId="841" builtinId="8" hidden="1"/>
    <cellStyle name="Link" xfId="833" builtinId="8" hidden="1"/>
    <cellStyle name="Link" xfId="825" builtinId="8" hidden="1"/>
    <cellStyle name="Link" xfId="817" builtinId="8" hidden="1"/>
    <cellStyle name="Link" xfId="809" builtinId="8" hidden="1"/>
    <cellStyle name="Link" xfId="801" builtinId="8" hidden="1"/>
    <cellStyle name="Link" xfId="793" builtinId="8" hidden="1"/>
    <cellStyle name="Link" xfId="785" builtinId="8" hidden="1"/>
    <cellStyle name="Link" xfId="777" builtinId="8" hidden="1"/>
    <cellStyle name="Link" xfId="769" builtinId="8" hidden="1"/>
    <cellStyle name="Link" xfId="761" builtinId="8" hidden="1"/>
    <cellStyle name="Link" xfId="753" builtinId="8" hidden="1"/>
    <cellStyle name="Link" xfId="745" builtinId="8" hidden="1"/>
    <cellStyle name="Link" xfId="737" builtinId="8" hidden="1"/>
    <cellStyle name="Link" xfId="729" builtinId="8" hidden="1"/>
    <cellStyle name="Link" xfId="721" builtinId="8" hidden="1"/>
    <cellStyle name="Link" xfId="713" builtinId="8" hidden="1"/>
    <cellStyle name="Link" xfId="705" builtinId="8" hidden="1"/>
    <cellStyle name="Link" xfId="697" builtinId="8" hidden="1"/>
    <cellStyle name="Link" xfId="689" builtinId="8" hidden="1"/>
    <cellStyle name="Link" xfId="681" builtinId="8" hidden="1"/>
    <cellStyle name="Link" xfId="673" builtinId="8" hidden="1"/>
    <cellStyle name="Link" xfId="665" builtinId="8" hidden="1"/>
    <cellStyle name="Link" xfId="657" builtinId="8" hidden="1"/>
    <cellStyle name="Link" xfId="649" builtinId="8" hidden="1"/>
    <cellStyle name="Link" xfId="641" builtinId="8" hidden="1"/>
    <cellStyle name="Link" xfId="633" builtinId="8" hidden="1"/>
    <cellStyle name="Link" xfId="625" builtinId="8" hidden="1"/>
    <cellStyle name="Link" xfId="617" builtinId="8" hidden="1"/>
    <cellStyle name="Link" xfId="609" builtinId="8" hidden="1"/>
    <cellStyle name="Link" xfId="601" builtinId="8" hidden="1"/>
    <cellStyle name="Link" xfId="593" builtinId="8" hidden="1"/>
    <cellStyle name="Link" xfId="585" builtinId="8" hidden="1"/>
    <cellStyle name="Link" xfId="577" builtinId="8" hidden="1"/>
    <cellStyle name="Link" xfId="569" builtinId="8" hidden="1"/>
    <cellStyle name="Link" xfId="561" builtinId="8" hidden="1"/>
    <cellStyle name="Link" xfId="553" builtinId="8" hidden="1"/>
    <cellStyle name="Link" xfId="545" builtinId="8" hidden="1"/>
    <cellStyle name="Link" xfId="537" builtinId="8" hidden="1"/>
    <cellStyle name="Link" xfId="529" builtinId="8" hidden="1"/>
    <cellStyle name="Link" xfId="521" builtinId="8" hidden="1"/>
    <cellStyle name="Link" xfId="513" builtinId="8" hidden="1"/>
    <cellStyle name="Link" xfId="505" builtinId="8" hidden="1"/>
    <cellStyle name="Link" xfId="497" builtinId="8" hidden="1"/>
    <cellStyle name="Link" xfId="489" builtinId="8" hidden="1"/>
    <cellStyle name="Link" xfId="481" builtinId="8" hidden="1"/>
    <cellStyle name="Link" xfId="205" builtinId="8" hidden="1"/>
    <cellStyle name="Link" xfId="207" builtinId="8" hidden="1"/>
    <cellStyle name="Link" xfId="209" builtinId="8" hidden="1"/>
    <cellStyle name="Link" xfId="211" builtinId="8" hidden="1"/>
    <cellStyle name="Link" xfId="213" builtinId="8" hidden="1"/>
    <cellStyle name="Link" xfId="215" builtinId="8" hidden="1"/>
    <cellStyle name="Link" xfId="219" builtinId="8" hidden="1"/>
    <cellStyle name="Link" xfId="221" builtinId="8" hidden="1"/>
    <cellStyle name="Link" xfId="223" builtinId="8" hidden="1"/>
    <cellStyle name="Link" xfId="225" builtinId="8" hidden="1"/>
    <cellStyle name="Link" xfId="227" builtinId="8" hidden="1"/>
    <cellStyle name="Link" xfId="229" builtinId="8" hidden="1"/>
    <cellStyle name="Link" xfId="231" builtinId="8" hidden="1"/>
    <cellStyle name="Link" xfId="235" builtinId="8" hidden="1"/>
    <cellStyle name="Link" xfId="237" builtinId="8" hidden="1"/>
    <cellStyle name="Link" xfId="239" builtinId="8" hidden="1"/>
    <cellStyle name="Link" xfId="241" builtinId="8" hidden="1"/>
    <cellStyle name="Link" xfId="243" builtinId="8" hidden="1"/>
    <cellStyle name="Link" xfId="245" builtinId="8" hidden="1"/>
    <cellStyle name="Link" xfId="247" builtinId="8" hidden="1"/>
    <cellStyle name="Link" xfId="251" builtinId="8" hidden="1"/>
    <cellStyle name="Link" xfId="253" builtinId="8" hidden="1"/>
    <cellStyle name="Link" xfId="255" builtinId="8" hidden="1"/>
    <cellStyle name="Link" xfId="257" builtinId="8" hidden="1"/>
    <cellStyle name="Link" xfId="259" builtinId="8" hidden="1"/>
    <cellStyle name="Link" xfId="261" builtinId="8" hidden="1"/>
    <cellStyle name="Link" xfId="263" builtinId="8" hidden="1"/>
    <cellStyle name="Link" xfId="267" builtinId="8" hidden="1"/>
    <cellStyle name="Link" xfId="269" builtinId="8" hidden="1"/>
    <cellStyle name="Link" xfId="271" builtinId="8" hidden="1"/>
    <cellStyle name="Link" xfId="273" builtinId="8" hidden="1"/>
    <cellStyle name="Link" xfId="275" builtinId="8" hidden="1"/>
    <cellStyle name="Link" xfId="277" builtinId="8" hidden="1"/>
    <cellStyle name="Link" xfId="279" builtinId="8" hidden="1"/>
    <cellStyle name="Link" xfId="283" builtinId="8" hidden="1"/>
    <cellStyle name="Link" xfId="285" builtinId="8" hidden="1"/>
    <cellStyle name="Link" xfId="287" builtinId="8" hidden="1"/>
    <cellStyle name="Link" xfId="289" builtinId="8" hidden="1"/>
    <cellStyle name="Link" xfId="291" builtinId="8" hidden="1"/>
    <cellStyle name="Link" xfId="293" builtinId="8" hidden="1"/>
    <cellStyle name="Link" xfId="295" builtinId="8" hidden="1"/>
    <cellStyle name="Link" xfId="299" builtinId="8" hidden="1"/>
    <cellStyle name="Link" xfId="301" builtinId="8" hidden="1"/>
    <cellStyle name="Link" xfId="303" builtinId="8" hidden="1"/>
    <cellStyle name="Link" xfId="305" builtinId="8" hidden="1"/>
    <cellStyle name="Link" xfId="307" builtinId="8" hidden="1"/>
    <cellStyle name="Link" xfId="309" builtinId="8" hidden="1"/>
    <cellStyle name="Link" xfId="311" builtinId="8" hidden="1"/>
    <cellStyle name="Link" xfId="315" builtinId="8" hidden="1"/>
    <cellStyle name="Link" xfId="317" builtinId="8" hidden="1"/>
    <cellStyle name="Link" xfId="319" builtinId="8" hidden="1"/>
    <cellStyle name="Link" xfId="321" builtinId="8" hidden="1"/>
    <cellStyle name="Link" xfId="323" builtinId="8" hidden="1"/>
    <cellStyle name="Link" xfId="325" builtinId="8" hidden="1"/>
    <cellStyle name="Link" xfId="327" builtinId="8" hidden="1"/>
    <cellStyle name="Link" xfId="331" builtinId="8" hidden="1"/>
    <cellStyle name="Link" xfId="333" builtinId="8" hidden="1"/>
    <cellStyle name="Link" xfId="335" builtinId="8" hidden="1"/>
    <cellStyle name="Link" xfId="337" builtinId="8" hidden="1"/>
    <cellStyle name="Link" xfId="339" builtinId="8" hidden="1"/>
    <cellStyle name="Link" xfId="341" builtinId="8" hidden="1"/>
    <cellStyle name="Link" xfId="343" builtinId="8" hidden="1"/>
    <cellStyle name="Link" xfId="347" builtinId="8" hidden="1"/>
    <cellStyle name="Link" xfId="349" builtinId="8" hidden="1"/>
    <cellStyle name="Link" xfId="351" builtinId="8" hidden="1"/>
    <cellStyle name="Link" xfId="353" builtinId="8" hidden="1"/>
    <cellStyle name="Link" xfId="355" builtinId="8" hidden="1"/>
    <cellStyle name="Link" xfId="357" builtinId="8" hidden="1"/>
    <cellStyle name="Link" xfId="359" builtinId="8" hidden="1"/>
    <cellStyle name="Link" xfId="363" builtinId="8" hidden="1"/>
    <cellStyle name="Link" xfId="365" builtinId="8" hidden="1"/>
    <cellStyle name="Link" xfId="367" builtinId="8" hidden="1"/>
    <cellStyle name="Link" xfId="369" builtinId="8" hidden="1"/>
    <cellStyle name="Link" xfId="371" builtinId="8" hidden="1"/>
    <cellStyle name="Link" xfId="373" builtinId="8" hidden="1"/>
    <cellStyle name="Link" xfId="375" builtinId="8" hidden="1"/>
    <cellStyle name="Link" xfId="379" builtinId="8" hidden="1"/>
    <cellStyle name="Link" xfId="381" builtinId="8" hidden="1"/>
    <cellStyle name="Link" xfId="383" builtinId="8" hidden="1"/>
    <cellStyle name="Link" xfId="385" builtinId="8" hidden="1"/>
    <cellStyle name="Link" xfId="387" builtinId="8" hidden="1"/>
    <cellStyle name="Link" xfId="389" builtinId="8" hidden="1"/>
    <cellStyle name="Link" xfId="391" builtinId="8" hidden="1"/>
    <cellStyle name="Link" xfId="395" builtinId="8" hidden="1"/>
    <cellStyle name="Link" xfId="397" builtinId="8" hidden="1"/>
    <cellStyle name="Link" xfId="399" builtinId="8" hidden="1"/>
    <cellStyle name="Link" xfId="401" builtinId="8" hidden="1"/>
    <cellStyle name="Link" xfId="403" builtinId="8" hidden="1"/>
    <cellStyle name="Link" xfId="405" builtinId="8" hidden="1"/>
    <cellStyle name="Link" xfId="407" builtinId="8" hidden="1"/>
    <cellStyle name="Link" xfId="411" builtinId="8" hidden="1"/>
    <cellStyle name="Link" xfId="413" builtinId="8" hidden="1"/>
    <cellStyle name="Link" xfId="415" builtinId="8" hidden="1"/>
    <cellStyle name="Link" xfId="417" builtinId="8" hidden="1"/>
    <cellStyle name="Link" xfId="419" builtinId="8" hidden="1"/>
    <cellStyle name="Link" xfId="421" builtinId="8" hidden="1"/>
    <cellStyle name="Link" xfId="423" builtinId="8" hidden="1"/>
    <cellStyle name="Link" xfId="427" builtinId="8" hidden="1"/>
    <cellStyle name="Link" xfId="429" builtinId="8" hidden="1"/>
    <cellStyle name="Link" xfId="431" builtinId="8" hidden="1"/>
    <cellStyle name="Link" xfId="433" builtinId="8" hidden="1"/>
    <cellStyle name="Link" xfId="435" builtinId="8" hidden="1"/>
    <cellStyle name="Link" xfId="437" builtinId="8" hidden="1"/>
    <cellStyle name="Link" xfId="439" builtinId="8" hidden="1"/>
    <cellStyle name="Link" xfId="443" builtinId="8" hidden="1"/>
    <cellStyle name="Link" xfId="445" builtinId="8" hidden="1"/>
    <cellStyle name="Link" xfId="447" builtinId="8" hidden="1"/>
    <cellStyle name="Link" xfId="449" builtinId="8" hidden="1"/>
    <cellStyle name="Link" xfId="451" builtinId="8" hidden="1"/>
    <cellStyle name="Link" xfId="453" builtinId="8" hidden="1"/>
    <cellStyle name="Link" xfId="455" builtinId="8" hidden="1"/>
    <cellStyle name="Link" xfId="459" builtinId="8" hidden="1"/>
    <cellStyle name="Link" xfId="461" builtinId="8" hidden="1"/>
    <cellStyle name="Link" xfId="463" builtinId="8" hidden="1"/>
    <cellStyle name="Link" xfId="465" builtinId="8" hidden="1"/>
    <cellStyle name="Link" xfId="467" builtinId="8" hidden="1"/>
    <cellStyle name="Link" xfId="469" builtinId="8" hidden="1"/>
    <cellStyle name="Link" xfId="471" builtinId="8" hidden="1"/>
    <cellStyle name="Link" xfId="475" builtinId="8" hidden="1"/>
    <cellStyle name="Link" xfId="473" builtinId="8" hidden="1"/>
    <cellStyle name="Link" xfId="457" builtinId="8" hidden="1"/>
    <cellStyle name="Link" xfId="441" builtinId="8" hidden="1"/>
    <cellStyle name="Link" xfId="425" builtinId="8" hidden="1"/>
    <cellStyle name="Link" xfId="409" builtinId="8" hidden="1"/>
    <cellStyle name="Link" xfId="393" builtinId="8" hidden="1"/>
    <cellStyle name="Link" xfId="377" builtinId="8" hidden="1"/>
    <cellStyle name="Link" xfId="361" builtinId="8" hidden="1"/>
    <cellStyle name="Link" xfId="345" builtinId="8" hidden="1"/>
    <cellStyle name="Link" xfId="329" builtinId="8" hidden="1"/>
    <cellStyle name="Link" xfId="313" builtinId="8" hidden="1"/>
    <cellStyle name="Link" xfId="297" builtinId="8" hidden="1"/>
    <cellStyle name="Link" xfId="281" builtinId="8" hidden="1"/>
    <cellStyle name="Link" xfId="265" builtinId="8" hidden="1"/>
    <cellStyle name="Link" xfId="249" builtinId="8" hidden="1"/>
    <cellStyle name="Link" xfId="233" builtinId="8" hidden="1"/>
    <cellStyle name="Link" xfId="217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7" builtinId="8" hidden="1"/>
    <cellStyle name="Link" xfId="109" builtinId="8" hidden="1"/>
    <cellStyle name="Link" xfId="111" builtinId="8" hidden="1"/>
    <cellStyle name="Link" xfId="113" builtinId="8" hidden="1"/>
    <cellStyle name="Link" xfId="115" builtinId="8" hidden="1"/>
    <cellStyle name="Link" xfId="117" builtinId="8" hidden="1"/>
    <cellStyle name="Link" xfId="119" builtinId="8" hidden="1"/>
    <cellStyle name="Link" xfId="121" builtinId="8" hidden="1"/>
    <cellStyle name="Link" xfId="123" builtinId="8" hidden="1"/>
    <cellStyle name="Link" xfId="125" builtinId="8" hidden="1"/>
    <cellStyle name="Link" xfId="127" builtinId="8" hidden="1"/>
    <cellStyle name="Link" xfId="129" builtinId="8" hidden="1"/>
    <cellStyle name="Link" xfId="131" builtinId="8" hidden="1"/>
    <cellStyle name="Link" xfId="133" builtinId="8" hidden="1"/>
    <cellStyle name="Link" xfId="135" builtinId="8" hidden="1"/>
    <cellStyle name="Link" xfId="139" builtinId="8" hidden="1"/>
    <cellStyle name="Link" xfId="141" builtinId="8" hidden="1"/>
    <cellStyle name="Link" xfId="143" builtinId="8" hidden="1"/>
    <cellStyle name="Link" xfId="145" builtinId="8" hidden="1"/>
    <cellStyle name="Link" xfId="147" builtinId="8" hidden="1"/>
    <cellStyle name="Link" xfId="149" builtinId="8" hidden="1"/>
    <cellStyle name="Link" xfId="151" builtinId="8" hidden="1"/>
    <cellStyle name="Link" xfId="153" builtinId="8" hidden="1"/>
    <cellStyle name="Link" xfId="155" builtinId="8" hidden="1"/>
    <cellStyle name="Link" xfId="157" builtinId="8" hidden="1"/>
    <cellStyle name="Link" xfId="159" builtinId="8" hidden="1"/>
    <cellStyle name="Link" xfId="161" builtinId="8" hidden="1"/>
    <cellStyle name="Link" xfId="163" builtinId="8" hidden="1"/>
    <cellStyle name="Link" xfId="165" builtinId="8" hidden="1"/>
    <cellStyle name="Link" xfId="167" builtinId="8" hidden="1"/>
    <cellStyle name="Link" xfId="171" builtinId="8" hidden="1"/>
    <cellStyle name="Link" xfId="173" builtinId="8" hidden="1"/>
    <cellStyle name="Link" xfId="175" builtinId="8" hidden="1"/>
    <cellStyle name="Link" xfId="177" builtinId="8" hidden="1"/>
    <cellStyle name="Link" xfId="179" builtinId="8" hidden="1"/>
    <cellStyle name="Link" xfId="181" builtinId="8" hidden="1"/>
    <cellStyle name="Link" xfId="183" builtinId="8" hidden="1"/>
    <cellStyle name="Link" xfId="185" builtinId="8" hidden="1"/>
    <cellStyle name="Link" xfId="187" builtinId="8" hidden="1"/>
    <cellStyle name="Link" xfId="189" builtinId="8" hidden="1"/>
    <cellStyle name="Link" xfId="191" builtinId="8" hidden="1"/>
    <cellStyle name="Link" xfId="193" builtinId="8" hidden="1"/>
    <cellStyle name="Link" xfId="195" builtinId="8" hidden="1"/>
    <cellStyle name="Link" xfId="197" builtinId="8" hidden="1"/>
    <cellStyle name="Link" xfId="199" builtinId="8" hidden="1"/>
    <cellStyle name="Link" xfId="203" builtinId="8" hidden="1"/>
    <cellStyle name="Link" xfId="201" builtinId="8" hidden="1"/>
    <cellStyle name="Link" xfId="169" builtinId="8" hidden="1"/>
    <cellStyle name="Link" xfId="137" builtinId="8" hidden="1"/>
    <cellStyle name="Link" xfId="10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5" builtinId="8" hidden="1"/>
    <cellStyle name="Link" xfId="7" builtinId="8" hidden="1"/>
    <cellStyle name="Link" xfId="9" builtinId="8" hidden="1"/>
    <cellStyle name="Link" xfId="3" builtinId="8" hidden="1"/>
    <cellStyle name="Link" xfId="1" builtinId="8" hidden="1"/>
    <cellStyle name="Standard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1"/>
  <sheetViews>
    <sheetView topLeftCell="A394" workbookViewId="0">
      <selection activeCell="K418" sqref="A1:S431"/>
    </sheetView>
  </sheetViews>
  <sheetFormatPr baseColWidth="10" defaultColWidth="11" defaultRowHeight="16" x14ac:dyDescent="0.2"/>
  <cols>
    <col min="1" max="2" width="10.83203125"/>
    <col min="3" max="4" width="8.1640625" bestFit="1" customWidth="1"/>
    <col min="5" max="5" width="10.83203125"/>
    <col min="6" max="6" width="6.1640625" bestFit="1" customWidth="1"/>
    <col min="7" max="8" width="5.1640625" style="1" bestFit="1" customWidth="1"/>
    <col min="9" max="9" width="9.5" style="1" bestFit="1" customWidth="1"/>
    <col min="10" max="10" width="12" style="1" bestFit="1" customWidth="1"/>
    <col min="11" max="11" width="14.1640625" style="1" bestFit="1" customWidth="1"/>
    <col min="12" max="12" width="8.5" style="1" bestFit="1" customWidth="1"/>
    <col min="13" max="13" width="6" style="1" bestFit="1" customWidth="1"/>
    <col min="14" max="15" width="7.6640625" bestFit="1" customWidth="1"/>
    <col min="16" max="16" width="7.1640625" bestFit="1" customWidth="1"/>
    <col min="17" max="17" width="12.1640625" style="19" bestFit="1" customWidth="1"/>
    <col min="19" max="19" width="6.83203125" bestFit="1" customWidth="1"/>
  </cols>
  <sheetData>
    <row r="1" spans="1:19" x14ac:dyDescent="0.2">
      <c r="C1" s="28" t="s">
        <v>0</v>
      </c>
      <c r="D1" s="29"/>
      <c r="E1" s="29"/>
      <c r="F1" s="30"/>
      <c r="G1" s="31" t="s">
        <v>1</v>
      </c>
      <c r="H1" s="32"/>
      <c r="I1" s="32"/>
      <c r="J1" s="32"/>
      <c r="K1" s="32"/>
      <c r="L1" s="32"/>
      <c r="M1" s="33"/>
      <c r="N1" s="29" t="s">
        <v>2</v>
      </c>
      <c r="O1" s="29"/>
      <c r="P1" s="29"/>
    </row>
    <row r="2" spans="1:19" ht="17" thickBot="1" x14ac:dyDescent="0.25">
      <c r="A2" s="8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4" t="s">
        <v>5</v>
      </c>
      <c r="H2" s="12" t="s">
        <v>6</v>
      </c>
      <c r="I2" s="13" t="s">
        <v>9</v>
      </c>
      <c r="J2" s="13" t="s">
        <v>10</v>
      </c>
      <c r="K2" s="12" t="s">
        <v>11</v>
      </c>
      <c r="L2" s="12" t="s">
        <v>12</v>
      </c>
      <c r="M2" s="15" t="s">
        <v>13</v>
      </c>
      <c r="N2" s="10" t="s">
        <v>5</v>
      </c>
      <c r="O2" s="10" t="s">
        <v>6</v>
      </c>
      <c r="P2" s="10" t="s">
        <v>14</v>
      </c>
      <c r="Q2" s="25" t="s">
        <v>15</v>
      </c>
      <c r="R2" s="10" t="s">
        <v>12</v>
      </c>
      <c r="S2" s="10" t="s">
        <v>16</v>
      </c>
    </row>
    <row r="3" spans="1:19" x14ac:dyDescent="0.2">
      <c r="A3" t="s">
        <v>17</v>
      </c>
      <c r="B3" t="s">
        <v>18</v>
      </c>
      <c r="C3" s="6" t="s">
        <v>19</v>
      </c>
      <c r="D3" t="s">
        <v>20</v>
      </c>
      <c r="E3">
        <v>5.5E-2</v>
      </c>
      <c r="F3" s="7">
        <v>1</v>
      </c>
      <c r="G3" s="16" t="s">
        <v>21</v>
      </c>
      <c r="H3" s="1" t="s">
        <v>22</v>
      </c>
      <c r="I3" s="2">
        <v>1867</v>
      </c>
      <c r="J3" s="2">
        <f>I3-'Controls-Split'!$D$4</f>
        <v>369</v>
      </c>
      <c r="K3" s="1">
        <f>J3/'Controls-Split'!$C$4</f>
        <v>6.6757123473541388E-3</v>
      </c>
      <c r="L3" s="1" t="str">
        <f>IF(K3&gt;'Controls-Split'!$I$4,"Pos","Neg")</f>
        <v>Neg</v>
      </c>
      <c r="M3" s="17">
        <v>1</v>
      </c>
      <c r="N3" t="s">
        <v>23</v>
      </c>
      <c r="O3" t="s">
        <v>24</v>
      </c>
      <c r="P3" s="23">
        <v>3860</v>
      </c>
      <c r="Q3" s="19">
        <f>P3/'Controls-Split'!$D$32</f>
        <v>1.5545710833668949</v>
      </c>
      <c r="R3" s="1" t="str">
        <f>IF(Q3&gt;'Controls-Split'!$J$32,"Pos","Neg")</f>
        <v>Neg</v>
      </c>
      <c r="S3">
        <v>9</v>
      </c>
    </row>
    <row r="4" spans="1:19" x14ac:dyDescent="0.2">
      <c r="A4" t="s">
        <v>17</v>
      </c>
      <c r="B4" t="s">
        <v>25</v>
      </c>
      <c r="C4" s="6" t="s">
        <v>19</v>
      </c>
      <c r="D4" t="s">
        <v>26</v>
      </c>
      <c r="E4">
        <v>0.03</v>
      </c>
      <c r="F4" s="7">
        <v>2</v>
      </c>
      <c r="G4" s="16" t="s">
        <v>21</v>
      </c>
      <c r="H4" s="1" t="s">
        <v>22</v>
      </c>
      <c r="I4" s="2">
        <v>1746</v>
      </c>
      <c r="J4" s="2">
        <f>I4-'Controls-Split'!$D$4</f>
        <v>248</v>
      </c>
      <c r="K4" s="1">
        <f>J4/'Controls-Split'!$C$4</f>
        <v>4.4866576209859794E-3</v>
      </c>
      <c r="L4" s="1" t="str">
        <f>IF(K4&gt;'Controls-Split'!$I$4,"Pos","Neg")</f>
        <v>Neg</v>
      </c>
      <c r="M4" s="17">
        <v>1</v>
      </c>
      <c r="N4" t="s">
        <v>23</v>
      </c>
      <c r="O4" t="s">
        <v>24</v>
      </c>
      <c r="P4">
        <v>2344</v>
      </c>
      <c r="Q4" s="19">
        <f>P4/'Controls-Split'!$D$27</f>
        <v>1.1406326034063261</v>
      </c>
      <c r="R4" s="1" t="str">
        <f>IF(Q4&gt;'Controls-Split'!$J$27,"Pos","Neg")</f>
        <v>Neg</v>
      </c>
      <c r="S4">
        <v>4</v>
      </c>
    </row>
    <row r="5" spans="1:19" x14ac:dyDescent="0.2">
      <c r="A5" t="s">
        <v>17</v>
      </c>
      <c r="B5" t="s">
        <v>27</v>
      </c>
      <c r="C5" s="6" t="s">
        <v>19</v>
      </c>
      <c r="D5" t="s">
        <v>20</v>
      </c>
      <c r="E5">
        <v>3.9E-2</v>
      </c>
      <c r="F5" s="7">
        <v>2</v>
      </c>
      <c r="G5" s="16" t="s">
        <v>21</v>
      </c>
      <c r="H5" s="1" t="s">
        <v>22</v>
      </c>
      <c r="I5" s="2">
        <v>1751</v>
      </c>
      <c r="J5" s="2">
        <f>I5-'Controls-Split'!$D$4</f>
        <v>253</v>
      </c>
      <c r="K5" s="1">
        <f>J5/'Controls-Split'!$C$4</f>
        <v>4.5771144278606967E-3</v>
      </c>
      <c r="L5" s="1" t="str">
        <f>IF(K5&gt;'Controls-Split'!$I$4,"Pos","Neg")</f>
        <v>Neg</v>
      </c>
      <c r="M5" s="17">
        <v>1</v>
      </c>
      <c r="N5" t="s">
        <v>23</v>
      </c>
      <c r="O5" t="s">
        <v>24</v>
      </c>
      <c r="P5">
        <v>2658</v>
      </c>
      <c r="Q5" s="19">
        <f>P5/'Controls-Split'!$D$32</f>
        <v>1.0704792589609344</v>
      </c>
      <c r="R5" s="1" t="str">
        <f>IF(Q5&gt;'Controls-Split'!$J$32,"Pos","Neg")</f>
        <v>Neg</v>
      </c>
      <c r="S5">
        <v>9</v>
      </c>
    </row>
    <row r="6" spans="1:19" x14ac:dyDescent="0.2">
      <c r="A6" t="s">
        <v>17</v>
      </c>
      <c r="B6" t="s">
        <v>28</v>
      </c>
      <c r="C6" s="6" t="s">
        <v>19</v>
      </c>
      <c r="D6" t="s">
        <v>20</v>
      </c>
      <c r="E6">
        <v>2.9000000000000001E-2</v>
      </c>
      <c r="F6" s="7">
        <v>2</v>
      </c>
      <c r="G6" s="16" t="s">
        <v>21</v>
      </c>
      <c r="H6" s="1" t="s">
        <v>22</v>
      </c>
      <c r="I6" s="2">
        <v>1769</v>
      </c>
      <c r="J6" s="2">
        <f>I6-'Controls-Split'!$D$4</f>
        <v>271</v>
      </c>
      <c r="K6" s="1">
        <f>J6/'Controls-Split'!$C$4</f>
        <v>4.9027589326096788E-3</v>
      </c>
      <c r="L6" s="1" t="str">
        <f>IF(K6&gt;'Controls-Split'!$I$4,"Pos","Neg")</f>
        <v>Neg</v>
      </c>
      <c r="M6" s="17">
        <v>1</v>
      </c>
      <c r="N6" s="23" t="s">
        <v>23</v>
      </c>
      <c r="O6" s="23" t="s">
        <v>24</v>
      </c>
      <c r="P6">
        <v>1253</v>
      </c>
      <c r="Q6" s="19">
        <f>P6/'Controls-Split'!$D$30</f>
        <v>0.96533127889060089</v>
      </c>
      <c r="R6" s="1" t="str">
        <f>IF(Q6&gt;'Controls-Split'!$J$30,"Pos","Neg")</f>
        <v>Neg</v>
      </c>
      <c r="S6">
        <v>7</v>
      </c>
    </row>
    <row r="7" spans="1:19" x14ac:dyDescent="0.2">
      <c r="A7" t="s">
        <v>17</v>
      </c>
      <c r="B7" t="s">
        <v>29</v>
      </c>
      <c r="C7" s="6" t="s">
        <v>23</v>
      </c>
      <c r="D7" t="s">
        <v>20</v>
      </c>
      <c r="E7">
        <v>3.3000000000000002E-2</v>
      </c>
      <c r="F7" s="7">
        <v>2</v>
      </c>
      <c r="G7" s="16" t="s">
        <v>21</v>
      </c>
      <c r="H7" s="1" t="s">
        <v>22</v>
      </c>
      <c r="I7" s="2">
        <v>3677</v>
      </c>
      <c r="J7" s="2">
        <f>I7-'Controls-Split'!$D$4</f>
        <v>2179</v>
      </c>
      <c r="K7" s="1">
        <f>J7/'Controls-Split'!$C$4</f>
        <v>3.942107643600181E-2</v>
      </c>
      <c r="L7" s="1" t="str">
        <f>IF(K7&gt;'Controls-Split'!$I$4,"Pos","Neg")</f>
        <v>Neg</v>
      </c>
      <c r="M7" s="17">
        <v>1</v>
      </c>
    </row>
    <row r="8" spans="1:19" x14ac:dyDescent="0.2">
      <c r="A8" t="s">
        <v>17</v>
      </c>
      <c r="B8" t="s">
        <v>30</v>
      </c>
      <c r="C8" s="6" t="s">
        <v>19</v>
      </c>
      <c r="D8" t="s">
        <v>26</v>
      </c>
      <c r="E8">
        <v>0.03</v>
      </c>
      <c r="F8" s="7">
        <v>1</v>
      </c>
      <c r="G8" s="16" t="s">
        <v>21</v>
      </c>
      <c r="H8" s="1" t="s">
        <v>22</v>
      </c>
      <c r="I8" s="2">
        <v>2246</v>
      </c>
      <c r="J8" s="2">
        <f>I8-'Controls-Split'!$D$4</f>
        <v>748</v>
      </c>
      <c r="K8" s="1">
        <f>J8/'Controls-Split'!$C$4</f>
        <v>1.3532338308457712E-2</v>
      </c>
      <c r="L8" s="1" t="str">
        <f>IF(K8&gt;'Controls-Split'!$I$4,"Pos","Neg")</f>
        <v>Neg</v>
      </c>
      <c r="M8" s="17">
        <v>1</v>
      </c>
      <c r="N8" t="s">
        <v>23</v>
      </c>
      <c r="O8" t="s">
        <v>24</v>
      </c>
      <c r="P8">
        <v>1933</v>
      </c>
      <c r="Q8" s="19">
        <f>P8/'Controls-Split'!$D$26</f>
        <v>0.99793495095508522</v>
      </c>
      <c r="R8" s="1" t="str">
        <f>IF(Q8&gt;'Controls-Split'!$J$26,"Pos","Neg")</f>
        <v>Neg</v>
      </c>
      <c r="S8">
        <v>3</v>
      </c>
    </row>
    <row r="9" spans="1:19" x14ac:dyDescent="0.2">
      <c r="A9" t="s">
        <v>31</v>
      </c>
      <c r="B9" t="s">
        <v>32</v>
      </c>
      <c r="C9" s="6" t="s">
        <v>23</v>
      </c>
      <c r="D9" t="s">
        <v>20</v>
      </c>
      <c r="E9">
        <v>6.6000000000000003E-2</v>
      </c>
      <c r="F9" s="7">
        <v>2</v>
      </c>
      <c r="G9" s="16" t="s">
        <v>21</v>
      </c>
      <c r="H9" s="1" t="s">
        <v>22</v>
      </c>
      <c r="I9" s="2">
        <v>1826</v>
      </c>
      <c r="J9" s="2">
        <f>I9-'Controls-Split'!$D$4</f>
        <v>328</v>
      </c>
      <c r="K9" s="1">
        <f>J9/'Controls-Split'!$C$4</f>
        <v>5.9339665309814564E-3</v>
      </c>
      <c r="L9" s="1" t="str">
        <f>IF(K9&gt;'Controls-Split'!$I$4,"Pos","Neg")</f>
        <v>Neg</v>
      </c>
      <c r="M9" s="17">
        <v>1</v>
      </c>
      <c r="N9" t="s">
        <v>23</v>
      </c>
      <c r="O9" t="s">
        <v>24</v>
      </c>
      <c r="P9">
        <v>569</v>
      </c>
      <c r="Q9" s="19">
        <f>P9/'Controls-Split'!$D$35</f>
        <v>0.38999314599040441</v>
      </c>
      <c r="R9" s="1" t="str">
        <f>IF(Q9&gt;'Controls-Split'!$J$35,"Pos","Neg")</f>
        <v>Neg</v>
      </c>
      <c r="S9">
        <v>12</v>
      </c>
    </row>
    <row r="10" spans="1:19" x14ac:dyDescent="0.2">
      <c r="A10" t="s">
        <v>31</v>
      </c>
      <c r="B10" t="s">
        <v>33</v>
      </c>
      <c r="C10" s="6" t="s">
        <v>23</v>
      </c>
      <c r="D10" t="s">
        <v>20</v>
      </c>
      <c r="E10">
        <v>2.8000000000000001E-2</v>
      </c>
      <c r="F10" s="7">
        <v>2</v>
      </c>
      <c r="G10" s="16" t="s">
        <v>21</v>
      </c>
      <c r="H10" s="1" t="s">
        <v>22</v>
      </c>
      <c r="I10" s="2">
        <v>1708</v>
      </c>
      <c r="J10" s="2">
        <f>I10-'Controls-Split'!$D$4</f>
        <v>210</v>
      </c>
      <c r="K10" s="1">
        <f>J10/'Controls-Split'!$C$4</f>
        <v>3.7991858887381274E-3</v>
      </c>
      <c r="L10" s="1" t="str">
        <f>IF(K10&gt;'Controls-Split'!$I$4,"Pos","Neg")</f>
        <v>Neg</v>
      </c>
      <c r="M10" s="17">
        <v>1</v>
      </c>
      <c r="N10" t="s">
        <v>23</v>
      </c>
      <c r="O10" t="s">
        <v>24</v>
      </c>
      <c r="P10">
        <v>684</v>
      </c>
      <c r="Q10" s="19">
        <f>P10/'Controls-Split'!$D$35</f>
        <v>0.46881425633995888</v>
      </c>
      <c r="R10" s="1" t="str">
        <f>IF(Q10&gt;'Controls-Split'!$J$35,"Pos","Neg")</f>
        <v>Neg</v>
      </c>
      <c r="S10">
        <v>12</v>
      </c>
    </row>
    <row r="11" spans="1:19" x14ac:dyDescent="0.2">
      <c r="A11" t="s">
        <v>34</v>
      </c>
      <c r="B11" t="s">
        <v>34</v>
      </c>
      <c r="C11" s="6" t="s">
        <v>19</v>
      </c>
      <c r="D11" t="s">
        <v>20</v>
      </c>
      <c r="E11">
        <v>0.108</v>
      </c>
      <c r="F11" s="7">
        <v>2</v>
      </c>
      <c r="G11" s="16" t="s">
        <v>21</v>
      </c>
      <c r="H11" s="1" t="s">
        <v>22</v>
      </c>
      <c r="I11" s="2">
        <v>2427</v>
      </c>
      <c r="J11" s="2">
        <f>I11-'Controls-Split'!$D$4</f>
        <v>929</v>
      </c>
      <c r="K11" s="1">
        <f>J11/'Controls-Split'!$C$4</f>
        <v>1.6806874717322479E-2</v>
      </c>
      <c r="L11" s="1" t="str">
        <f>IF(K11&gt;'Controls-Split'!$I$4,"Pos","Neg")</f>
        <v>Neg</v>
      </c>
      <c r="M11" s="17">
        <v>1</v>
      </c>
      <c r="N11" t="s">
        <v>23</v>
      </c>
      <c r="O11" t="s">
        <v>24</v>
      </c>
      <c r="P11">
        <v>4724</v>
      </c>
      <c r="Q11" s="19">
        <f>P11/'Controls-Split'!$D$31</f>
        <v>1.7515758249907305</v>
      </c>
      <c r="R11" s="1" t="str">
        <f>IF(Q11&gt;'Controls-Split'!$J$31,"Pos","Neg")</f>
        <v>Pos</v>
      </c>
      <c r="S11">
        <v>8</v>
      </c>
    </row>
    <row r="12" spans="1:19" x14ac:dyDescent="0.2">
      <c r="A12" t="s">
        <v>34</v>
      </c>
      <c r="B12" t="s">
        <v>35</v>
      </c>
      <c r="C12" s="6" t="s">
        <v>19</v>
      </c>
      <c r="D12" t="s">
        <v>20</v>
      </c>
      <c r="E12">
        <v>3.4000000000000002E-2</v>
      </c>
      <c r="F12" s="7">
        <v>2</v>
      </c>
      <c r="G12" s="16" t="s">
        <v>21</v>
      </c>
      <c r="H12" s="1" t="s">
        <v>22</v>
      </c>
      <c r="I12" s="2">
        <v>1617</v>
      </c>
      <c r="J12" s="2">
        <f>I12-'Controls-Split'!$D$4</f>
        <v>119</v>
      </c>
      <c r="K12" s="1">
        <f>J12/'Controls-Split'!$C$4</f>
        <v>2.1528720036182725E-3</v>
      </c>
      <c r="L12" s="1" t="str">
        <f>IF(K12&gt;'Controls-Split'!$I$4,"Pos","Neg")</f>
        <v>Neg</v>
      </c>
      <c r="M12" s="17">
        <v>1</v>
      </c>
      <c r="N12" t="s">
        <v>23</v>
      </c>
      <c r="O12" t="s">
        <v>24</v>
      </c>
      <c r="P12" s="23">
        <v>8134</v>
      </c>
      <c r="Q12" s="19">
        <f>P12/'Controls-Split'!$D$32</f>
        <v>3.2758759565042288</v>
      </c>
      <c r="R12" s="1" t="str">
        <f>IF(Q12&gt;'Controls-Split'!$J$32,"Pos","Neg")</f>
        <v>Pos</v>
      </c>
      <c r="S12">
        <v>9</v>
      </c>
    </row>
    <row r="13" spans="1:19" x14ac:dyDescent="0.2">
      <c r="A13" t="s">
        <v>34</v>
      </c>
      <c r="B13" t="s">
        <v>36</v>
      </c>
      <c r="C13" s="6" t="s">
        <v>20</v>
      </c>
      <c r="D13" t="s">
        <v>19</v>
      </c>
      <c r="E13">
        <v>4.1000000000000002E-2</v>
      </c>
      <c r="F13" s="7">
        <v>2</v>
      </c>
      <c r="G13" s="16" t="s">
        <v>22</v>
      </c>
      <c r="H13" s="1" t="s">
        <v>21</v>
      </c>
      <c r="I13" s="2">
        <v>1911</v>
      </c>
      <c r="J13" s="2">
        <f>I13-'Controls-Split'!$D$4</f>
        <v>413</v>
      </c>
      <c r="K13" s="1">
        <f>J13/'Controls-Split'!$C$4</f>
        <v>7.4717322478516507E-3</v>
      </c>
      <c r="L13" s="1" t="str">
        <f>IF(K13&gt;'Controls-Split'!$I$4,"Pos","Neg")</f>
        <v>Neg</v>
      </c>
      <c r="M13" s="17">
        <v>1</v>
      </c>
      <c r="N13" s="23" t="s">
        <v>24</v>
      </c>
      <c r="O13" s="23" t="s">
        <v>23</v>
      </c>
      <c r="P13">
        <v>7080</v>
      </c>
      <c r="Q13" s="19">
        <f>P13/'Controls-Split'!$D$31</f>
        <v>2.6251390433815351</v>
      </c>
      <c r="R13" s="1" t="str">
        <f>IF(Q13&gt;'Controls-Split'!$J$31,"Pos","Neg")</f>
        <v>Pos</v>
      </c>
      <c r="S13">
        <v>8</v>
      </c>
    </row>
    <row r="14" spans="1:19" x14ac:dyDescent="0.2">
      <c r="A14" t="s">
        <v>34</v>
      </c>
      <c r="B14" t="s">
        <v>30</v>
      </c>
      <c r="C14" s="6" t="s">
        <v>20</v>
      </c>
      <c r="D14" t="s">
        <v>23</v>
      </c>
      <c r="E14">
        <v>3.2000000000000001E-2</v>
      </c>
      <c r="F14" s="7">
        <v>2</v>
      </c>
      <c r="G14" s="16" t="s">
        <v>22</v>
      </c>
      <c r="H14" s="1" t="s">
        <v>21</v>
      </c>
      <c r="I14" s="2">
        <v>1872</v>
      </c>
      <c r="J14" s="2">
        <f>I14-'Controls-Split'!$D$4</f>
        <v>374</v>
      </c>
      <c r="K14" s="1">
        <f>J14/'Controls-Split'!$C$4</f>
        <v>6.7661691542288561E-3</v>
      </c>
      <c r="L14" s="1" t="str">
        <f>IF(K14&gt;'Controls-Split'!$I$4,"Pos","Neg")</f>
        <v>Neg</v>
      </c>
      <c r="M14" s="17">
        <v>1</v>
      </c>
      <c r="N14" s="23" t="s">
        <v>24</v>
      </c>
      <c r="O14" s="23" t="s">
        <v>23</v>
      </c>
      <c r="P14">
        <v>1191</v>
      </c>
      <c r="Q14" s="19">
        <f>P14/'Controls-Split'!$D$31</f>
        <v>0.44160177975528364</v>
      </c>
      <c r="R14" s="1" t="str">
        <f>IF(Q14&gt;'Controls-Split'!$J$31,"Pos","Neg")</f>
        <v>Neg</v>
      </c>
      <c r="S14">
        <v>8</v>
      </c>
    </row>
    <row r="15" spans="1:19" x14ac:dyDescent="0.2">
      <c r="A15" t="s">
        <v>34</v>
      </c>
      <c r="B15" t="s">
        <v>37</v>
      </c>
      <c r="C15" s="6" t="s">
        <v>20</v>
      </c>
      <c r="D15" t="s">
        <v>23</v>
      </c>
      <c r="E15">
        <v>2.8000000000000001E-2</v>
      </c>
      <c r="F15" s="7">
        <v>2</v>
      </c>
      <c r="G15" s="16" t="s">
        <v>22</v>
      </c>
      <c r="H15" s="1" t="s">
        <v>21</v>
      </c>
      <c r="I15" s="2">
        <v>1544</v>
      </c>
      <c r="J15" s="2">
        <f>I15-'Controls-Split'!$D$4</f>
        <v>46</v>
      </c>
      <c r="K15" s="1">
        <f>J15/'Controls-Split'!$C$4</f>
        <v>8.3220262324739931E-4</v>
      </c>
      <c r="L15" s="1" t="str">
        <f>IF(K15&gt;'Controls-Split'!$I$4,"Pos","Neg")</f>
        <v>Neg</v>
      </c>
      <c r="M15" s="17">
        <v>1</v>
      </c>
      <c r="N15" s="23" t="s">
        <v>24</v>
      </c>
      <c r="O15" s="23" t="s">
        <v>23</v>
      </c>
      <c r="P15">
        <v>5605</v>
      </c>
      <c r="Q15" s="19">
        <f>P15/'Controls-Split'!$D$31</f>
        <v>2.0782350760103818</v>
      </c>
      <c r="R15" s="1" t="str">
        <f>IF(Q15&gt;'Controls-Split'!$J$31,"Pos","Neg")</f>
        <v>Pos</v>
      </c>
      <c r="S15">
        <v>8</v>
      </c>
    </row>
    <row r="16" spans="1:19" x14ac:dyDescent="0.2">
      <c r="A16" t="s">
        <v>34</v>
      </c>
      <c r="B16" t="s">
        <v>38</v>
      </c>
      <c r="C16" s="6" t="s">
        <v>19</v>
      </c>
      <c r="D16" t="s">
        <v>26</v>
      </c>
      <c r="E16">
        <v>5.2999999999999999E-2</v>
      </c>
      <c r="F16" s="7">
        <v>2</v>
      </c>
      <c r="G16" s="16" t="s">
        <v>21</v>
      </c>
      <c r="H16" s="1" t="s">
        <v>22</v>
      </c>
      <c r="I16" s="2">
        <v>2722</v>
      </c>
      <c r="J16" s="2">
        <f>I16-'Controls-Split'!$D$4</f>
        <v>1224</v>
      </c>
      <c r="K16" s="1">
        <f>J16/'Controls-Split'!$C$4</f>
        <v>2.2143826322930802E-2</v>
      </c>
      <c r="L16" s="1" t="str">
        <f>IF(K16&gt;'Controls-Split'!$I$4,"Pos","Neg")</f>
        <v>Neg</v>
      </c>
      <c r="M16" s="17">
        <v>1</v>
      </c>
      <c r="N16" s="23" t="s">
        <v>23</v>
      </c>
      <c r="O16" s="23" t="s">
        <v>24</v>
      </c>
      <c r="P16">
        <v>1222</v>
      </c>
      <c r="Q16" s="19">
        <f>P16/'Controls-Split'!$D$30</f>
        <v>0.94144838212634818</v>
      </c>
      <c r="R16" s="1" t="str">
        <f>IF(Q16&gt;'Controls-Split'!$J$30,"Pos","Neg")</f>
        <v>Neg</v>
      </c>
      <c r="S16">
        <v>7</v>
      </c>
    </row>
    <row r="17" spans="1:19" x14ac:dyDescent="0.2">
      <c r="A17" t="s">
        <v>39</v>
      </c>
      <c r="B17" t="s">
        <v>39</v>
      </c>
      <c r="C17" s="6" t="s">
        <v>19</v>
      </c>
      <c r="D17" t="s">
        <v>20</v>
      </c>
      <c r="E17">
        <v>0.182</v>
      </c>
      <c r="F17" s="7">
        <v>2</v>
      </c>
      <c r="G17" s="16" t="s">
        <v>21</v>
      </c>
      <c r="H17" s="1" t="s">
        <v>22</v>
      </c>
      <c r="I17" s="2">
        <v>4841</v>
      </c>
      <c r="J17" s="2">
        <f>I17-'Controls-Split'!$D$4</f>
        <v>3343</v>
      </c>
      <c r="K17" s="1">
        <f>J17/'Controls-Split'!$C$4</f>
        <v>6.0479421076436002E-2</v>
      </c>
      <c r="L17" s="1" t="str">
        <f>IF(K17&gt;'Controls-Split'!$I$4,"Pos","Neg")</f>
        <v>Pos</v>
      </c>
      <c r="M17" s="17">
        <v>1</v>
      </c>
      <c r="N17" t="s">
        <v>23</v>
      </c>
      <c r="O17" t="s">
        <v>24</v>
      </c>
      <c r="P17" s="23">
        <v>2467</v>
      </c>
      <c r="Q17" s="19">
        <f>P17/'Controls-Split'!$D$34</f>
        <v>1.8904214559386974</v>
      </c>
      <c r="R17" s="1" t="str">
        <f>IF(Q17&gt;'Controls-Split'!$J$34,"Pos","Neg")</f>
        <v>Neg</v>
      </c>
      <c r="S17">
        <v>11</v>
      </c>
    </row>
    <row r="18" spans="1:19" x14ac:dyDescent="0.2">
      <c r="A18" t="s">
        <v>39</v>
      </c>
      <c r="B18" t="s">
        <v>40</v>
      </c>
      <c r="C18" s="6" t="s">
        <v>20</v>
      </c>
      <c r="D18" t="s">
        <v>19</v>
      </c>
      <c r="E18">
        <v>0.03</v>
      </c>
      <c r="F18" s="7">
        <v>1</v>
      </c>
      <c r="G18" s="16" t="s">
        <v>22</v>
      </c>
      <c r="H18" s="1" t="s">
        <v>21</v>
      </c>
      <c r="I18" s="2">
        <v>3315</v>
      </c>
      <c r="J18" s="2">
        <f>I18-'Controls-Split'!$D$4</f>
        <v>1817</v>
      </c>
      <c r="K18" s="1">
        <f>J18/'Controls-Split'!$C$4</f>
        <v>3.2872003618272277E-2</v>
      </c>
      <c r="L18" s="1" t="str">
        <f>IF(K18&gt;'Controls-Split'!$I$4,"Pos","Neg")</f>
        <v>Neg</v>
      </c>
      <c r="M18" s="17">
        <v>1</v>
      </c>
      <c r="N18" t="s">
        <v>24</v>
      </c>
      <c r="O18" t="s">
        <v>23</v>
      </c>
      <c r="P18" s="23">
        <v>1724</v>
      </c>
      <c r="Q18" s="19">
        <f>P18/'Controls-Split'!$D$34</f>
        <v>1.3210727969348659</v>
      </c>
      <c r="R18" s="1" t="str">
        <f>IF(Q18&gt;'Controls-Split'!$J$34,"Pos","Neg")</f>
        <v>Neg</v>
      </c>
      <c r="S18">
        <v>11</v>
      </c>
    </row>
    <row r="19" spans="1:19" x14ac:dyDescent="0.2">
      <c r="A19" t="s">
        <v>39</v>
      </c>
      <c r="B19" t="s">
        <v>41</v>
      </c>
      <c r="C19" s="6" t="s">
        <v>20</v>
      </c>
      <c r="D19" t="s">
        <v>19</v>
      </c>
      <c r="E19">
        <v>3.2000000000000001E-2</v>
      </c>
      <c r="F19" s="7">
        <v>2</v>
      </c>
      <c r="G19" s="16" t="s">
        <v>22</v>
      </c>
      <c r="H19" s="1" t="s">
        <v>21</v>
      </c>
      <c r="I19" s="2">
        <v>7079</v>
      </c>
      <c r="J19" s="2">
        <f>I19-'Controls-Split'!$D$4</f>
        <v>5581</v>
      </c>
      <c r="K19" s="1">
        <f>J19/'Controls-Split'!$C$4</f>
        <v>0.10096788783355948</v>
      </c>
      <c r="L19" s="1" t="str">
        <f>IF(K19&gt;'Controls-Split'!$I$4,"Pos","Neg")</f>
        <v>Pos</v>
      </c>
      <c r="M19" s="17">
        <v>1</v>
      </c>
      <c r="N19" t="s">
        <v>24</v>
      </c>
      <c r="O19" t="s">
        <v>23</v>
      </c>
      <c r="P19">
        <v>630</v>
      </c>
      <c r="Q19" s="19">
        <f>P19/'Controls-Split'!$D$35</f>
        <v>0.43180260452364633</v>
      </c>
      <c r="R19" s="1" t="str">
        <f>IF(Q19&gt;'Controls-Split'!$J$35,"Pos","Neg")</f>
        <v>Neg</v>
      </c>
      <c r="S19">
        <v>12</v>
      </c>
    </row>
    <row r="20" spans="1:19" x14ac:dyDescent="0.2">
      <c r="A20" t="s">
        <v>39</v>
      </c>
      <c r="B20" t="s">
        <v>30</v>
      </c>
      <c r="C20" s="6" t="s">
        <v>19</v>
      </c>
      <c r="D20" t="s">
        <v>26</v>
      </c>
      <c r="E20">
        <v>0.03</v>
      </c>
      <c r="F20" s="7">
        <v>1</v>
      </c>
      <c r="G20" s="16" t="s">
        <v>21</v>
      </c>
      <c r="H20" s="1" t="s">
        <v>22</v>
      </c>
      <c r="I20" s="2">
        <v>1962</v>
      </c>
      <c r="J20" s="2">
        <f>I20-'Controls-Split'!$D$4</f>
        <v>464</v>
      </c>
      <c r="K20" s="1">
        <f>J20/'Controls-Split'!$C$4</f>
        <v>8.3943916779737667E-3</v>
      </c>
      <c r="L20" s="1" t="str">
        <f>IF(K20&gt;'Controls-Split'!$I$4,"Pos","Neg")</f>
        <v>Neg</v>
      </c>
      <c r="M20" s="17">
        <v>1</v>
      </c>
      <c r="N20" t="s">
        <v>23</v>
      </c>
      <c r="O20" t="s">
        <v>24</v>
      </c>
      <c r="P20">
        <v>1791</v>
      </c>
      <c r="Q20" s="19">
        <f>P20/'Controls-Split'!$D$26</f>
        <v>0.92462570986060921</v>
      </c>
      <c r="R20" s="1" t="str">
        <f>IF(Q20&gt;'Controls-Split'!$J$26,"Pos","Neg")</f>
        <v>Neg</v>
      </c>
      <c r="S20">
        <v>3</v>
      </c>
    </row>
    <row r="21" spans="1:19" x14ac:dyDescent="0.2">
      <c r="A21" t="s">
        <v>39</v>
      </c>
      <c r="B21" t="s">
        <v>42</v>
      </c>
      <c r="C21" s="6" t="s">
        <v>26</v>
      </c>
      <c r="D21" t="s">
        <v>19</v>
      </c>
      <c r="E21">
        <v>2.8000000000000001E-2</v>
      </c>
      <c r="F21" s="7">
        <v>2</v>
      </c>
      <c r="G21" s="16" t="s">
        <v>22</v>
      </c>
      <c r="H21" s="1" t="s">
        <v>21</v>
      </c>
      <c r="I21" s="2">
        <v>2079</v>
      </c>
      <c r="J21" s="2">
        <f>I21-'Controls-Split'!$D$4</f>
        <v>581</v>
      </c>
      <c r="K21" s="1">
        <f>J21/'Controls-Split'!$C$4</f>
        <v>1.0511080958842152E-2</v>
      </c>
      <c r="L21" s="1" t="str">
        <f>IF(K21&gt;'Controls-Split'!$I$4,"Pos","Neg")</f>
        <v>Neg</v>
      </c>
      <c r="M21" s="17">
        <v>1</v>
      </c>
    </row>
    <row r="22" spans="1:19" x14ac:dyDescent="0.2">
      <c r="A22" t="s">
        <v>43</v>
      </c>
      <c r="B22" t="s">
        <v>44</v>
      </c>
      <c r="C22" s="6" t="s">
        <v>19</v>
      </c>
      <c r="D22" t="s">
        <v>20</v>
      </c>
      <c r="E22">
        <v>2.7E-2</v>
      </c>
      <c r="F22" s="7">
        <v>1</v>
      </c>
      <c r="G22" s="16" t="s">
        <v>21</v>
      </c>
      <c r="H22" s="1" t="s">
        <v>22</v>
      </c>
      <c r="I22" s="2">
        <v>2150</v>
      </c>
      <c r="J22" s="2">
        <f>I22-'Controls-Split'!$D$4</f>
        <v>652</v>
      </c>
      <c r="K22" s="1">
        <f>J22/'Controls-Split'!$C$4</f>
        <v>1.1795567616463139E-2</v>
      </c>
      <c r="L22" s="1" t="str">
        <f>IF(K22&gt;'Controls-Split'!$I$4,"Pos","Neg")</f>
        <v>Neg</v>
      </c>
      <c r="M22" s="17">
        <v>1</v>
      </c>
      <c r="N22" t="s">
        <v>23</v>
      </c>
      <c r="O22" t="s">
        <v>24</v>
      </c>
      <c r="P22" s="23">
        <v>1060</v>
      </c>
      <c r="Q22" s="19">
        <f>P22/'Controls-Split'!$D$34</f>
        <v>0.8122605363984674</v>
      </c>
      <c r="R22" s="1" t="str">
        <f>IF(Q22&gt;'Controls-Split'!$J$34,"Pos","Neg")</f>
        <v>Neg</v>
      </c>
      <c r="S22">
        <v>11</v>
      </c>
    </row>
    <row r="23" spans="1:19" x14ac:dyDescent="0.2">
      <c r="A23" t="s">
        <v>43</v>
      </c>
      <c r="B23" t="s">
        <v>45</v>
      </c>
      <c r="C23" s="6" t="s">
        <v>19</v>
      </c>
      <c r="D23" t="s">
        <v>26</v>
      </c>
      <c r="E23">
        <v>3.3000000000000002E-2</v>
      </c>
      <c r="F23" s="7">
        <v>1</v>
      </c>
      <c r="G23" s="16" t="s">
        <v>21</v>
      </c>
      <c r="H23" s="1" t="s">
        <v>22</v>
      </c>
      <c r="I23" s="2">
        <v>1816</v>
      </c>
      <c r="J23" s="2">
        <f>I23-'Controls-Split'!$D$4</f>
        <v>318</v>
      </c>
      <c r="K23" s="1">
        <f>J23/'Controls-Split'!$C$4</f>
        <v>5.7530529172320219E-3</v>
      </c>
      <c r="L23" s="1" t="str">
        <f>IF(K23&gt;'Controls-Split'!$I$4,"Pos","Neg")</f>
        <v>Neg</v>
      </c>
      <c r="M23" s="17">
        <v>1</v>
      </c>
      <c r="N23" t="s">
        <v>23</v>
      </c>
      <c r="O23" t="s">
        <v>24</v>
      </c>
      <c r="P23">
        <v>1160</v>
      </c>
      <c r="Q23" s="19">
        <f>P23/'Controls-Split'!$D$35</f>
        <v>0.79506511309115835</v>
      </c>
      <c r="R23" s="1" t="str">
        <f>IF(Q23&gt;'Controls-Split'!$J$35,"Pos","Neg")</f>
        <v>Neg</v>
      </c>
      <c r="S23">
        <v>12</v>
      </c>
    </row>
    <row r="24" spans="1:19" x14ac:dyDescent="0.2">
      <c r="A24" t="s">
        <v>43</v>
      </c>
      <c r="B24" t="s">
        <v>32</v>
      </c>
      <c r="C24" s="6" t="s">
        <v>23</v>
      </c>
      <c r="D24" t="s">
        <v>26</v>
      </c>
      <c r="E24">
        <v>5.3999999999999999E-2</v>
      </c>
      <c r="F24" s="7">
        <v>2</v>
      </c>
      <c r="G24" s="16" t="s">
        <v>46</v>
      </c>
      <c r="H24" s="1" t="s">
        <v>22</v>
      </c>
      <c r="I24" s="2">
        <v>1614</v>
      </c>
      <c r="J24" s="2">
        <f>I24-'Controls-Split'!$D$4</f>
        <v>116</v>
      </c>
      <c r="K24" s="1">
        <f>J24/'Controls-Split'!$C$4</f>
        <v>2.0985979194934417E-3</v>
      </c>
      <c r="L24" s="1" t="str">
        <f>IF(K24&gt;'Controls-Split'!$I$4,"Pos","Neg")</f>
        <v>Neg</v>
      </c>
      <c r="M24" s="17">
        <v>1</v>
      </c>
      <c r="N24" t="s">
        <v>23</v>
      </c>
      <c r="O24" t="s">
        <v>24</v>
      </c>
      <c r="P24">
        <v>1106</v>
      </c>
      <c r="Q24" s="19">
        <f>P24/'Controls-Split'!$D$29</f>
        <v>0.89699918896999187</v>
      </c>
      <c r="R24" s="1" t="str">
        <f>IF(Q24&gt;'Controls-Split'!$J$29,"Pos","Neg")</f>
        <v>Neg</v>
      </c>
      <c r="S24">
        <v>6</v>
      </c>
    </row>
    <row r="25" spans="1:19" x14ac:dyDescent="0.2">
      <c r="A25" t="s">
        <v>43</v>
      </c>
      <c r="B25" t="s">
        <v>40</v>
      </c>
      <c r="C25" s="6" t="s">
        <v>19</v>
      </c>
      <c r="D25" t="s">
        <v>20</v>
      </c>
      <c r="E25">
        <v>4.2999999999999997E-2</v>
      </c>
      <c r="F25" s="7">
        <v>1</v>
      </c>
      <c r="G25" s="16" t="s">
        <v>21</v>
      </c>
      <c r="H25" s="1" t="s">
        <v>22</v>
      </c>
      <c r="I25" s="2">
        <v>3511</v>
      </c>
      <c r="J25" s="2">
        <f>I25-'Controls-Split'!$D$4</f>
        <v>2013</v>
      </c>
      <c r="K25" s="1">
        <f>J25/'Controls-Split'!$C$4</f>
        <v>3.6417910447761194E-2</v>
      </c>
      <c r="L25" s="1" t="str">
        <f>IF(K25&gt;'Controls-Split'!$I$4,"Pos","Neg")</f>
        <v>Neg</v>
      </c>
      <c r="M25" s="17">
        <v>1</v>
      </c>
      <c r="N25" t="s">
        <v>23</v>
      </c>
      <c r="O25" t="s">
        <v>24</v>
      </c>
      <c r="P25">
        <v>939</v>
      </c>
      <c r="Q25" s="19">
        <f>P25/'Controls-Split'!$D$28</f>
        <v>0.62767379679144386</v>
      </c>
      <c r="R25" s="1" t="str">
        <f>IF(Q25&gt;'Controls-Split'!$J$28,"Pos","Neg")</f>
        <v>Neg</v>
      </c>
      <c r="S25">
        <v>5</v>
      </c>
    </row>
    <row r="26" spans="1:19" x14ac:dyDescent="0.2">
      <c r="A26" t="s">
        <v>43</v>
      </c>
      <c r="B26" t="s">
        <v>47</v>
      </c>
      <c r="C26" s="6" t="s">
        <v>20</v>
      </c>
      <c r="D26" t="s">
        <v>19</v>
      </c>
      <c r="E26">
        <v>3.3000000000000002E-2</v>
      </c>
      <c r="F26" s="7">
        <v>2</v>
      </c>
      <c r="G26" s="16" t="s">
        <v>22</v>
      </c>
      <c r="H26" s="1" t="s">
        <v>21</v>
      </c>
      <c r="I26" s="2">
        <v>1960</v>
      </c>
      <c r="J26" s="2">
        <f>I26-'Controls-Split'!$D$4</f>
        <v>462</v>
      </c>
      <c r="K26" s="1">
        <f>J26/'Controls-Split'!$C$4</f>
        <v>8.3582089552238798E-3</v>
      </c>
      <c r="L26" s="1" t="str">
        <f>IF(K26&gt;'Controls-Split'!$I$4,"Pos","Neg")</f>
        <v>Neg</v>
      </c>
      <c r="M26" s="17">
        <v>1</v>
      </c>
      <c r="N26" s="23" t="s">
        <v>24</v>
      </c>
      <c r="O26" s="23" t="s">
        <v>23</v>
      </c>
      <c r="P26" s="23">
        <v>2086</v>
      </c>
      <c r="Q26" s="19">
        <f>P26/'Controls-Split'!$D$34</f>
        <v>1.5984674329501916</v>
      </c>
      <c r="R26" s="1" t="str">
        <f>IF(Q26&gt;'Controls-Split'!$J$34,"Pos","Neg")</f>
        <v>Neg</v>
      </c>
      <c r="S26">
        <v>11</v>
      </c>
    </row>
    <row r="27" spans="1:19" x14ac:dyDescent="0.2">
      <c r="A27" t="s">
        <v>43</v>
      </c>
      <c r="B27" t="s">
        <v>42</v>
      </c>
      <c r="C27" s="6" t="s">
        <v>23</v>
      </c>
      <c r="D27" t="s">
        <v>20</v>
      </c>
      <c r="E27">
        <v>3.7999999999999999E-2</v>
      </c>
      <c r="F27" s="7">
        <v>2</v>
      </c>
      <c r="G27" s="16" t="s">
        <v>21</v>
      </c>
      <c r="H27" s="1" t="s">
        <v>22</v>
      </c>
      <c r="I27" s="2">
        <v>2102</v>
      </c>
      <c r="J27" s="2">
        <f>I27-'Controls-Split'!$D$4</f>
        <v>604</v>
      </c>
      <c r="K27" s="1">
        <f>J27/'Controls-Split'!$C$4</f>
        <v>1.0927182270465853E-2</v>
      </c>
      <c r="L27" s="1" t="str">
        <f>IF(K27&gt;'Controls-Split'!$I$4,"Pos","Neg")</f>
        <v>Neg</v>
      </c>
      <c r="M27" s="17">
        <v>1</v>
      </c>
      <c r="N27" t="s">
        <v>23</v>
      </c>
      <c r="O27" t="s">
        <v>24</v>
      </c>
      <c r="P27">
        <v>2547</v>
      </c>
      <c r="Q27" s="19">
        <f>P27/'Controls-Split'!$D$32</f>
        <v>1.0257752718485702</v>
      </c>
      <c r="R27" s="1" t="str">
        <f>IF(Q27&gt;'Controls-Split'!$J$32,"Pos","Neg")</f>
        <v>Neg</v>
      </c>
      <c r="S27">
        <v>9</v>
      </c>
    </row>
    <row r="28" spans="1:19" x14ac:dyDescent="0.2">
      <c r="A28" t="s">
        <v>48</v>
      </c>
      <c r="B28" t="s">
        <v>42</v>
      </c>
      <c r="C28" s="6" t="s">
        <v>23</v>
      </c>
      <c r="D28" t="s">
        <v>20</v>
      </c>
      <c r="E28">
        <v>5.2999999999999999E-2</v>
      </c>
      <c r="F28" s="7">
        <v>2</v>
      </c>
      <c r="G28" s="16" t="s">
        <v>21</v>
      </c>
      <c r="H28" s="1" t="s">
        <v>22</v>
      </c>
      <c r="I28" s="2">
        <v>1968</v>
      </c>
      <c r="J28" s="2">
        <f>I28-'Controls-Split'!$D$4</f>
        <v>470</v>
      </c>
      <c r="K28" s="1">
        <f>J28/'Controls-Split'!$C$4</f>
        <v>8.5029398462234292E-3</v>
      </c>
      <c r="L28" s="1" t="str">
        <f>IF(K28&gt;'Controls-Split'!$I$4,"Pos","Neg")</f>
        <v>Neg</v>
      </c>
      <c r="M28" s="17">
        <v>1</v>
      </c>
      <c r="N28" t="s">
        <v>23</v>
      </c>
      <c r="O28" t="s">
        <v>24</v>
      </c>
      <c r="P28">
        <v>1527</v>
      </c>
      <c r="Q28" s="19">
        <f>P28/'Controls-Split'!$D$32</f>
        <v>0.61498187676198146</v>
      </c>
      <c r="R28" s="1" t="str">
        <f>IF(Q28&gt;'Controls-Split'!$J$32,"Pos","Neg")</f>
        <v>Neg</v>
      </c>
      <c r="S28">
        <v>9</v>
      </c>
    </row>
    <row r="29" spans="1:19" x14ac:dyDescent="0.2">
      <c r="A29" t="s">
        <v>49</v>
      </c>
      <c r="B29" t="s">
        <v>50</v>
      </c>
      <c r="C29" s="6" t="s">
        <v>19</v>
      </c>
      <c r="D29" t="s">
        <v>20</v>
      </c>
      <c r="E29">
        <v>3.4000000000000002E-2</v>
      </c>
      <c r="F29" s="7">
        <v>1</v>
      </c>
      <c r="G29" s="16" t="s">
        <v>21</v>
      </c>
      <c r="H29" s="1" t="s">
        <v>22</v>
      </c>
      <c r="I29" s="2">
        <v>3119</v>
      </c>
      <c r="J29" s="2">
        <f>I29-'Controls-Split'!$D$4</f>
        <v>1621</v>
      </c>
      <c r="K29" s="1">
        <f>J29/'Controls-Split'!$C$4</f>
        <v>2.9326096788783357E-2</v>
      </c>
      <c r="L29" s="1" t="str">
        <f>IF(K29&gt;'Controls-Split'!$I$4,"Pos","Neg")</f>
        <v>Neg</v>
      </c>
      <c r="M29" s="17">
        <v>1</v>
      </c>
      <c r="N29" t="s">
        <v>23</v>
      </c>
      <c r="O29" t="s">
        <v>24</v>
      </c>
      <c r="P29" s="23">
        <v>1805</v>
      </c>
      <c r="Q29" s="19">
        <f>P29/'Controls-Split'!$D$32</f>
        <v>0.72694321385420857</v>
      </c>
      <c r="R29" s="1" t="str">
        <f>IF(Q29&gt;'Controls-Split'!$J$32,"Pos","Neg")</f>
        <v>Neg</v>
      </c>
      <c r="S29">
        <v>9</v>
      </c>
    </row>
    <row r="30" spans="1:19" x14ac:dyDescent="0.2">
      <c r="A30" t="s">
        <v>51</v>
      </c>
      <c r="B30" t="s">
        <v>52</v>
      </c>
      <c r="C30" s="6" t="s">
        <v>20</v>
      </c>
      <c r="D30" t="s">
        <v>23</v>
      </c>
      <c r="E30">
        <v>3.1E-2</v>
      </c>
      <c r="F30" s="7">
        <v>2</v>
      </c>
      <c r="G30" s="16" t="s">
        <v>22</v>
      </c>
      <c r="H30" s="1" t="s">
        <v>21</v>
      </c>
      <c r="I30" s="2">
        <v>1736</v>
      </c>
      <c r="J30" s="2">
        <f>I30-'Controls-Split'!$D$4</f>
        <v>238</v>
      </c>
      <c r="K30" s="1">
        <f>J30/'Controls-Split'!$C$4</f>
        <v>4.3057440072365449E-3</v>
      </c>
      <c r="L30" s="1" t="str">
        <f>IF(K30&gt;'Controls-Split'!$I$4,"Pos","Neg")</f>
        <v>Neg</v>
      </c>
      <c r="M30" s="17">
        <v>1</v>
      </c>
      <c r="N30" s="23" t="s">
        <v>24</v>
      </c>
      <c r="O30" s="23" t="s">
        <v>23</v>
      </c>
      <c r="P30">
        <v>566</v>
      </c>
      <c r="Q30" s="19">
        <f>P30/'Controls-Split'!$D$30</f>
        <v>0.43605546995377503</v>
      </c>
      <c r="R30" s="1" t="str">
        <f>IF(Q30&gt;'Controls-Split'!$J$30,"Pos","Neg")</f>
        <v>Neg</v>
      </c>
      <c r="S30">
        <v>7</v>
      </c>
    </row>
    <row r="31" spans="1:19" x14ac:dyDescent="0.2">
      <c r="A31" t="s">
        <v>53</v>
      </c>
      <c r="B31" t="s">
        <v>53</v>
      </c>
      <c r="C31" s="6" t="s">
        <v>23</v>
      </c>
      <c r="D31" t="s">
        <v>20</v>
      </c>
      <c r="E31">
        <v>0.113</v>
      </c>
      <c r="F31" s="7">
        <v>2</v>
      </c>
      <c r="G31" s="16" t="s">
        <v>21</v>
      </c>
      <c r="H31" s="1" t="s">
        <v>22</v>
      </c>
      <c r="I31" s="2">
        <v>3140</v>
      </c>
      <c r="J31" s="2">
        <f>I31-'Controls-Split'!$D$4</f>
        <v>1642</v>
      </c>
      <c r="K31" s="1">
        <f>J31/'Controls-Split'!$C$4</f>
        <v>2.9706015377657168E-2</v>
      </c>
      <c r="L31" s="1" t="str">
        <f>IF(K31&gt;'Controls-Split'!$I$4,"Pos","Neg")</f>
        <v>Neg</v>
      </c>
      <c r="M31" s="17">
        <v>1</v>
      </c>
      <c r="N31" s="23" t="s">
        <v>23</v>
      </c>
      <c r="O31" s="23" t="s">
        <v>24</v>
      </c>
      <c r="P31" s="23">
        <v>2342</v>
      </c>
      <c r="Q31" s="19">
        <f>P31/'Controls-Split'!$D$34</f>
        <v>1.7946360153256704</v>
      </c>
      <c r="R31" s="1" t="str">
        <f>IF(Q31&gt;'Controls-Split'!$J$34,"Pos","Neg")</f>
        <v>Neg</v>
      </c>
      <c r="S31">
        <v>11</v>
      </c>
    </row>
    <row r="32" spans="1:19" x14ac:dyDescent="0.2">
      <c r="A32" t="s">
        <v>53</v>
      </c>
      <c r="B32" t="s">
        <v>52</v>
      </c>
      <c r="C32" s="6" t="s">
        <v>20</v>
      </c>
      <c r="D32" t="s">
        <v>23</v>
      </c>
      <c r="E32">
        <v>3.9E-2</v>
      </c>
      <c r="F32" s="7">
        <v>1</v>
      </c>
      <c r="G32" s="16" t="s">
        <v>22</v>
      </c>
      <c r="H32" s="1" t="s">
        <v>21</v>
      </c>
      <c r="I32" s="2">
        <v>2076</v>
      </c>
      <c r="J32" s="2">
        <f>I32-'Controls-Split'!$D$4</f>
        <v>578</v>
      </c>
      <c r="K32" s="1">
        <f>J32/'Controls-Split'!$C$4</f>
        <v>1.0456806874717322E-2</v>
      </c>
      <c r="L32" s="1" t="str">
        <f>IF(K32&gt;'Controls-Split'!$I$4,"Pos","Neg")</f>
        <v>Neg</v>
      </c>
      <c r="M32" s="17">
        <v>1</v>
      </c>
      <c r="N32" s="23" t="s">
        <v>24</v>
      </c>
      <c r="O32" s="23" t="s">
        <v>23</v>
      </c>
      <c r="P32" s="23">
        <v>821</v>
      </c>
      <c r="Q32" s="19">
        <f>P32/'Controls-Split'!$D$34</f>
        <v>0.62911877394636018</v>
      </c>
      <c r="R32" s="1" t="str">
        <f>IF(Q32&gt;'Controls-Split'!$J$34,"Pos","Neg")</f>
        <v>Neg</v>
      </c>
      <c r="S32">
        <v>11</v>
      </c>
    </row>
    <row r="33" spans="1:19" x14ac:dyDescent="0.2">
      <c r="A33" t="s">
        <v>53</v>
      </c>
      <c r="B33" t="s">
        <v>54</v>
      </c>
      <c r="C33" s="6" t="s">
        <v>20</v>
      </c>
      <c r="D33" t="s">
        <v>23</v>
      </c>
      <c r="E33">
        <v>3.1E-2</v>
      </c>
      <c r="F33" s="7">
        <v>2</v>
      </c>
      <c r="G33" s="16" t="s">
        <v>22</v>
      </c>
      <c r="H33" s="1" t="s">
        <v>21</v>
      </c>
      <c r="I33" s="2">
        <v>2190</v>
      </c>
      <c r="J33" s="2">
        <f>I33-'Controls-Split'!$D$4</f>
        <v>692</v>
      </c>
      <c r="K33" s="1">
        <f>J33/'Controls-Split'!$C$4</f>
        <v>1.2519222071460877E-2</v>
      </c>
      <c r="L33" s="1" t="str">
        <f>IF(K33&gt;'Controls-Split'!$I$4,"Pos","Neg")</f>
        <v>Neg</v>
      </c>
      <c r="M33" s="17">
        <v>1</v>
      </c>
      <c r="N33" s="23" t="s">
        <v>24</v>
      </c>
      <c r="O33" s="23" t="s">
        <v>23</v>
      </c>
      <c r="P33" s="23">
        <v>1021</v>
      </c>
      <c r="Q33" s="19">
        <f>P33/'Controls-Split'!$D$34</f>
        <v>0.78237547892720305</v>
      </c>
      <c r="R33" s="1" t="str">
        <f>IF(Q33&gt;'Controls-Split'!$J$34,"Pos","Neg")</f>
        <v>Neg</v>
      </c>
      <c r="S33">
        <v>11</v>
      </c>
    </row>
    <row r="34" spans="1:19" x14ac:dyDescent="0.2">
      <c r="A34" t="s">
        <v>53</v>
      </c>
      <c r="B34" t="s">
        <v>42</v>
      </c>
      <c r="C34" s="6" t="s">
        <v>23</v>
      </c>
      <c r="D34" t="s">
        <v>20</v>
      </c>
      <c r="E34">
        <v>0.03</v>
      </c>
      <c r="F34" s="7">
        <v>2</v>
      </c>
      <c r="G34" s="16" t="s">
        <v>21</v>
      </c>
      <c r="H34" s="1" t="s">
        <v>22</v>
      </c>
      <c r="I34" s="2">
        <v>2098</v>
      </c>
      <c r="J34" s="2">
        <f>I34-'Controls-Split'!$D$4</f>
        <v>600</v>
      </c>
      <c r="K34" s="1">
        <f>J34/'Controls-Split'!$C$4</f>
        <v>1.0854816824966078E-2</v>
      </c>
      <c r="L34" s="1" t="str">
        <f>IF(K34&gt;'Controls-Split'!$I$4,"Pos","Neg")</f>
        <v>Neg</v>
      </c>
      <c r="M34" s="17">
        <v>1</v>
      </c>
      <c r="N34" t="s">
        <v>23</v>
      </c>
      <c r="O34" t="s">
        <v>24</v>
      </c>
      <c r="P34">
        <v>3544</v>
      </c>
      <c r="Q34" s="19">
        <f>P34/'Controls-Split'!$D$32</f>
        <v>1.4273056786145792</v>
      </c>
      <c r="R34" s="1" t="str">
        <f>IF(Q34&gt;'Controls-Split'!$J$32,"Pos","Neg")</f>
        <v>Neg</v>
      </c>
      <c r="S34">
        <v>9</v>
      </c>
    </row>
    <row r="35" spans="1:19" x14ac:dyDescent="0.2">
      <c r="A35" t="s">
        <v>55</v>
      </c>
      <c r="B35" t="s">
        <v>56</v>
      </c>
      <c r="C35" s="6" t="s">
        <v>23</v>
      </c>
      <c r="D35" t="s">
        <v>20</v>
      </c>
      <c r="E35">
        <v>2.7E-2</v>
      </c>
      <c r="F35" s="7">
        <v>2</v>
      </c>
      <c r="G35" s="16" t="s">
        <v>21</v>
      </c>
      <c r="H35" s="1" t="s">
        <v>22</v>
      </c>
      <c r="I35" s="2">
        <v>2121</v>
      </c>
      <c r="J35" s="2">
        <f>I35-'Controls-Split'!$D$4</f>
        <v>623</v>
      </c>
      <c r="K35" s="1">
        <f>J35/'Controls-Split'!$C$4</f>
        <v>1.1270918136589779E-2</v>
      </c>
      <c r="L35" s="1" t="str">
        <f>IF(K35&gt;'Controls-Split'!$I$4,"Pos","Neg")</f>
        <v>Neg</v>
      </c>
      <c r="M35" s="17">
        <v>1</v>
      </c>
      <c r="N35" t="s">
        <v>23</v>
      </c>
      <c r="O35" t="s">
        <v>24</v>
      </c>
      <c r="P35">
        <v>1330</v>
      </c>
      <c r="Q35" s="19">
        <f>P35/'Controls-Split'!$D$28</f>
        <v>0.88903743315508021</v>
      </c>
      <c r="R35" s="1" t="str">
        <f>IF(Q35&gt;'Controls-Split'!$J$28,"Pos","Neg")</f>
        <v>Neg</v>
      </c>
      <c r="S35">
        <v>5</v>
      </c>
    </row>
    <row r="36" spans="1:19" x14ac:dyDescent="0.2">
      <c r="A36" t="s">
        <v>55</v>
      </c>
      <c r="B36" t="s">
        <v>57</v>
      </c>
      <c r="C36" s="6" t="s">
        <v>23</v>
      </c>
      <c r="D36" t="s">
        <v>20</v>
      </c>
      <c r="E36">
        <v>3.5000000000000003E-2</v>
      </c>
      <c r="F36" s="7">
        <v>2</v>
      </c>
      <c r="G36" s="16" t="s">
        <v>21</v>
      </c>
      <c r="H36" s="1" t="s">
        <v>22</v>
      </c>
      <c r="I36" s="2">
        <v>1813</v>
      </c>
      <c r="J36" s="2">
        <f>I36-'Controls-Split'!$D$4</f>
        <v>315</v>
      </c>
      <c r="K36" s="1">
        <f>J36/'Controls-Split'!$C$4</f>
        <v>5.6987788331071916E-3</v>
      </c>
      <c r="L36" s="1" t="str">
        <f>IF(K36&gt;'Controls-Split'!$I$4,"Pos","Neg")</f>
        <v>Neg</v>
      </c>
      <c r="M36" s="17">
        <v>1</v>
      </c>
      <c r="N36" s="23" t="s">
        <v>23</v>
      </c>
      <c r="O36" s="23" t="s">
        <v>24</v>
      </c>
      <c r="P36">
        <v>1300</v>
      </c>
      <c r="Q36" s="19">
        <f>P36/'Controls-Split'!$D$28</f>
        <v>0.86898395721925137</v>
      </c>
      <c r="R36" s="1" t="str">
        <f>IF(Q36&gt;'Controls-Split'!$J$28,"Pos","Neg")</f>
        <v>Neg</v>
      </c>
      <c r="S36">
        <v>5</v>
      </c>
    </row>
    <row r="37" spans="1:19" x14ac:dyDescent="0.2">
      <c r="A37" t="s">
        <v>58</v>
      </c>
      <c r="B37" t="s">
        <v>48</v>
      </c>
      <c r="C37" s="6" t="s">
        <v>20</v>
      </c>
      <c r="D37" t="s">
        <v>23</v>
      </c>
      <c r="E37">
        <v>4.5999999999999999E-2</v>
      </c>
      <c r="F37" s="7">
        <v>2</v>
      </c>
      <c r="G37" s="20" t="s">
        <v>22</v>
      </c>
      <c r="H37" s="18" t="s">
        <v>21</v>
      </c>
      <c r="I37" s="2">
        <v>5694</v>
      </c>
      <c r="J37" s="2">
        <f>I37-'Controls-Split'!$D$14</f>
        <v>4905</v>
      </c>
      <c r="K37" s="1">
        <f>J37/'Controls-Split'!$C$14</f>
        <v>0.11539547358020044</v>
      </c>
      <c r="L37" s="1" t="str">
        <f>IF(K37&gt;'Controls-Split'!$I$14,"Pos","Neg")</f>
        <v>Pos</v>
      </c>
      <c r="M37" s="17">
        <v>1</v>
      </c>
      <c r="N37" s="23" t="s">
        <v>24</v>
      </c>
      <c r="O37" s="23" t="s">
        <v>23</v>
      </c>
      <c r="P37">
        <v>2779</v>
      </c>
      <c r="Q37" s="19">
        <f>P37/'Controls-Split'!$D$31</f>
        <v>1.0304041527623284</v>
      </c>
      <c r="R37" s="1" t="str">
        <f>IF(Q37&gt;'Controls-Split'!$J$31,"Pos","Neg")</f>
        <v>Neg</v>
      </c>
      <c r="S37">
        <v>8</v>
      </c>
    </row>
    <row r="38" spans="1:19" x14ac:dyDescent="0.2">
      <c r="A38" t="s">
        <v>37</v>
      </c>
      <c r="B38" t="s">
        <v>59</v>
      </c>
      <c r="C38" s="6" t="s">
        <v>26</v>
      </c>
      <c r="D38" t="s">
        <v>23</v>
      </c>
      <c r="E38">
        <v>5.7000000000000002E-2</v>
      </c>
      <c r="F38" s="7">
        <v>1</v>
      </c>
      <c r="G38" s="16" t="s">
        <v>22</v>
      </c>
      <c r="H38" s="1" t="s">
        <v>21</v>
      </c>
      <c r="I38" s="2">
        <v>1765</v>
      </c>
      <c r="J38" s="2">
        <f>I38-'Controls-Split'!$D$4</f>
        <v>267</v>
      </c>
      <c r="K38" s="1">
        <f>J38/'Controls-Split'!$C$4</f>
        <v>4.830393487109905E-3</v>
      </c>
      <c r="L38" s="1" t="str">
        <f>IF(K38&gt;'Controls-Split'!$I$4,"Pos","Neg")</f>
        <v>Neg</v>
      </c>
      <c r="M38" s="17">
        <v>1</v>
      </c>
      <c r="N38" t="s">
        <v>24</v>
      </c>
      <c r="O38" t="s">
        <v>23</v>
      </c>
      <c r="P38">
        <v>2937</v>
      </c>
      <c r="Q38" s="19">
        <f>P38/'Controls-Split'!$D$26</f>
        <v>1.5162622612287042</v>
      </c>
      <c r="R38" s="1" t="str">
        <f>IF(Q38&gt;'Controls-Split'!$J$26,"Pos","Neg")</f>
        <v>Pos</v>
      </c>
      <c r="S38">
        <v>3</v>
      </c>
    </row>
    <row r="39" spans="1:19" x14ac:dyDescent="0.2">
      <c r="A39" t="s">
        <v>37</v>
      </c>
      <c r="B39" t="s">
        <v>37</v>
      </c>
      <c r="C39" s="6" t="s">
        <v>23</v>
      </c>
      <c r="D39" t="s">
        <v>26</v>
      </c>
      <c r="E39">
        <v>4.4999999999999998E-2</v>
      </c>
      <c r="F39" s="7">
        <v>1</v>
      </c>
      <c r="G39" s="16" t="s">
        <v>21</v>
      </c>
      <c r="H39" s="1" t="s">
        <v>22</v>
      </c>
      <c r="I39" s="2">
        <v>1750</v>
      </c>
      <c r="J39" s="2">
        <f>I39-'Controls-Split'!$D$4</f>
        <v>252</v>
      </c>
      <c r="K39" s="1">
        <f>J39/'Controls-Split'!$C$4</f>
        <v>4.5590230664857533E-3</v>
      </c>
      <c r="L39" s="1" t="str">
        <f>IF(K39&gt;'Controls-Split'!$I$4,"Pos","Neg")</f>
        <v>Neg</v>
      </c>
      <c r="M39" s="17">
        <v>1</v>
      </c>
      <c r="N39" t="s">
        <v>23</v>
      </c>
      <c r="O39" t="s">
        <v>24</v>
      </c>
      <c r="P39">
        <v>2024</v>
      </c>
      <c r="Q39" s="19">
        <f>P39/'Controls-Split'!$D$26</f>
        <v>1.0449148167268973</v>
      </c>
      <c r="R39" s="1" t="str">
        <f>IF(Q39&gt;'Controls-Split'!$J$26,"Pos","Neg")</f>
        <v>Neg</v>
      </c>
      <c r="S39">
        <v>3</v>
      </c>
    </row>
    <row r="40" spans="1:19" x14ac:dyDescent="0.2">
      <c r="A40" t="s">
        <v>60</v>
      </c>
      <c r="B40" t="s">
        <v>61</v>
      </c>
      <c r="C40" s="6" t="s">
        <v>23</v>
      </c>
      <c r="D40" t="s">
        <v>26</v>
      </c>
      <c r="E40">
        <v>2.8000000000000001E-2</v>
      </c>
      <c r="F40" s="7">
        <v>1</v>
      </c>
      <c r="G40" s="16" t="s">
        <v>21</v>
      </c>
      <c r="H40" s="1" t="s">
        <v>22</v>
      </c>
      <c r="I40" s="2">
        <v>2077</v>
      </c>
      <c r="J40" s="2">
        <f>I40-'Controls-Split'!$D$4</f>
        <v>579</v>
      </c>
      <c r="K40" s="1">
        <f>J40/'Controls-Split'!$C$4</f>
        <v>1.0474898236092265E-2</v>
      </c>
      <c r="L40" s="1" t="str">
        <f>IF(K40&gt;'Controls-Split'!$I$4,"Pos","Neg")</f>
        <v>Neg</v>
      </c>
      <c r="M40" s="17">
        <v>1</v>
      </c>
      <c r="N40" t="s">
        <v>23</v>
      </c>
      <c r="O40" t="s">
        <v>24</v>
      </c>
      <c r="P40">
        <v>1117</v>
      </c>
      <c r="Q40" s="19">
        <f>P40/'Controls-Split'!$D$32</f>
        <v>0.44985904148207811</v>
      </c>
      <c r="R40" s="1" t="str">
        <f>IF(Q40&gt;'Controls-Split'!$J$32,"Pos","Neg")</f>
        <v>Neg</v>
      </c>
      <c r="S40">
        <v>9</v>
      </c>
    </row>
    <row r="41" spans="1:19" x14ac:dyDescent="0.2">
      <c r="A41" t="s">
        <v>47</v>
      </c>
      <c r="B41" t="s">
        <v>39</v>
      </c>
      <c r="C41" s="6" t="s">
        <v>23</v>
      </c>
      <c r="D41" t="s">
        <v>20</v>
      </c>
      <c r="E41">
        <v>0.03</v>
      </c>
      <c r="F41" s="7">
        <v>1</v>
      </c>
      <c r="G41" s="16" t="s">
        <v>21</v>
      </c>
      <c r="H41" s="1" t="s">
        <v>22</v>
      </c>
      <c r="I41" s="2">
        <v>1874</v>
      </c>
      <c r="J41" s="2">
        <f>I41-'Controls-Split'!$D$4</f>
        <v>376</v>
      </c>
      <c r="K41" s="1">
        <f>J41/'Controls-Split'!$C$4</f>
        <v>6.802351876978743E-3</v>
      </c>
      <c r="L41" s="1" t="str">
        <f>IF(K41&gt;'Controls-Split'!$I$4,"Pos","Neg")</f>
        <v>Neg</v>
      </c>
      <c r="M41" s="17">
        <v>1</v>
      </c>
      <c r="N41" t="s">
        <v>23</v>
      </c>
      <c r="O41" t="s">
        <v>24</v>
      </c>
      <c r="P41" s="23">
        <v>1596</v>
      </c>
      <c r="Q41" s="19">
        <f>P41/'Controls-Split'!$D$34</f>
        <v>1.2229885057471264</v>
      </c>
      <c r="R41" s="1" t="str">
        <f>IF(Q41&gt;'Controls-Split'!$J$34,"Pos","Neg")</f>
        <v>Neg</v>
      </c>
      <c r="S41">
        <v>11</v>
      </c>
    </row>
    <row r="42" spans="1:19" x14ac:dyDescent="0.2">
      <c r="A42" t="s">
        <v>47</v>
      </c>
      <c r="B42" t="s">
        <v>62</v>
      </c>
      <c r="C42" s="6" t="s">
        <v>23</v>
      </c>
      <c r="D42" t="s">
        <v>26</v>
      </c>
      <c r="E42">
        <v>0.04</v>
      </c>
      <c r="F42" s="7">
        <v>1</v>
      </c>
      <c r="G42" s="16" t="s">
        <v>21</v>
      </c>
      <c r="H42" s="1" t="s">
        <v>22</v>
      </c>
      <c r="I42" s="2">
        <v>1743</v>
      </c>
      <c r="J42" s="2">
        <f>I42-'Controls-Split'!$D$4</f>
        <v>245</v>
      </c>
      <c r="K42" s="1">
        <f>J42/'Controls-Split'!$C$4</f>
        <v>4.4323835368611491E-3</v>
      </c>
      <c r="L42" s="1" t="str">
        <f>IF(K42&gt;'Controls-Split'!$I$4,"Pos","Neg")</f>
        <v>Neg</v>
      </c>
      <c r="M42" s="17">
        <v>1</v>
      </c>
      <c r="N42" t="s">
        <v>23</v>
      </c>
      <c r="O42" t="s">
        <v>24</v>
      </c>
      <c r="P42">
        <v>5248</v>
      </c>
      <c r="Q42" s="19">
        <f>P42/'Controls-Split'!$D$27</f>
        <v>2.5537712895377127</v>
      </c>
      <c r="R42" s="1" t="str">
        <f>IF(Q42&gt;'Controls-Split'!$J$27,"Pos","Neg")</f>
        <v>Pos</v>
      </c>
      <c r="S42">
        <v>4</v>
      </c>
    </row>
    <row r="43" spans="1:19" x14ac:dyDescent="0.2">
      <c r="A43" t="s">
        <v>38</v>
      </c>
      <c r="B43" t="s">
        <v>38</v>
      </c>
      <c r="C43" s="6" t="s">
        <v>19</v>
      </c>
      <c r="D43" t="s">
        <v>20</v>
      </c>
      <c r="E43">
        <v>3.4000000000000002E-2</v>
      </c>
      <c r="F43" s="7">
        <v>2</v>
      </c>
      <c r="G43" s="16" t="s">
        <v>21</v>
      </c>
      <c r="H43" s="1" t="s">
        <v>22</v>
      </c>
      <c r="I43" s="2">
        <v>6763</v>
      </c>
      <c r="J43" s="2">
        <f>I43-'Controls-Split'!$D$4</f>
        <v>5265</v>
      </c>
      <c r="K43" s="1">
        <f>J43/'Controls-Split'!$C$4</f>
        <v>9.525101763907734E-2</v>
      </c>
      <c r="L43" s="1" t="str">
        <f>IF(K43&gt;'Controls-Split'!$I$4,"Pos","Neg")</f>
        <v>Pos</v>
      </c>
      <c r="M43" s="17">
        <v>1</v>
      </c>
      <c r="N43" t="s">
        <v>23</v>
      </c>
      <c r="O43" t="s">
        <v>24</v>
      </c>
      <c r="P43">
        <v>906</v>
      </c>
      <c r="Q43" s="19">
        <f>P43/'Controls-Split'!$D$30</f>
        <v>0.69799691833590138</v>
      </c>
      <c r="R43" s="1" t="str">
        <f>IF(Q43&gt;'Controls-Split'!$J$30,"Pos","Neg")</f>
        <v>Neg</v>
      </c>
      <c r="S43">
        <v>7</v>
      </c>
    </row>
    <row r="44" spans="1:19" x14ac:dyDescent="0.2">
      <c r="A44" t="s">
        <v>35</v>
      </c>
      <c r="B44" t="s">
        <v>41</v>
      </c>
      <c r="C44" s="6" t="s">
        <v>23</v>
      </c>
      <c r="D44" t="s">
        <v>20</v>
      </c>
      <c r="E44">
        <v>3.1E-2</v>
      </c>
      <c r="F44" s="7">
        <v>2</v>
      </c>
      <c r="G44" s="16" t="s">
        <v>21</v>
      </c>
      <c r="H44" s="1" t="s">
        <v>22</v>
      </c>
      <c r="I44" s="2">
        <v>11278</v>
      </c>
      <c r="J44" s="2">
        <f>I44-'Controls-Split'!$D$5</f>
        <v>7931</v>
      </c>
      <c r="K44" s="1">
        <f>J44/'Controls-Split'!$C$5</f>
        <v>0.20810810810810812</v>
      </c>
      <c r="L44" s="1" t="str">
        <f>IF(K44&gt;'Controls-Split'!$I$5,"Pos","Neg")</f>
        <v>Pos</v>
      </c>
      <c r="M44" s="17">
        <v>2</v>
      </c>
      <c r="N44" t="s">
        <v>23</v>
      </c>
      <c r="O44" t="s">
        <v>24</v>
      </c>
      <c r="P44">
        <v>1976</v>
      </c>
      <c r="Q44" s="19">
        <f>P44/'Controls-Split'!$D$26</f>
        <v>1.0201342281879195</v>
      </c>
      <c r="R44" s="1" t="str">
        <f>IF(Q44&gt;'Controls-Split'!$J$26,"Pos","Neg")</f>
        <v>Neg</v>
      </c>
      <c r="S44">
        <v>3</v>
      </c>
    </row>
    <row r="45" spans="1:19" x14ac:dyDescent="0.2">
      <c r="A45" t="s">
        <v>63</v>
      </c>
      <c r="B45" t="s">
        <v>41</v>
      </c>
      <c r="C45" s="6" t="s">
        <v>23</v>
      </c>
      <c r="D45" t="s">
        <v>20</v>
      </c>
      <c r="E45">
        <v>0.03</v>
      </c>
      <c r="F45" s="7">
        <v>2</v>
      </c>
      <c r="G45" s="16" t="s">
        <v>21</v>
      </c>
      <c r="H45" s="1" t="s">
        <v>22</v>
      </c>
      <c r="I45" s="2">
        <v>10379</v>
      </c>
      <c r="J45" s="2">
        <f>I45-'Controls-Split'!$D$5</f>
        <v>7032</v>
      </c>
      <c r="K45" s="1">
        <f>J45/'Controls-Split'!$C$5</f>
        <v>0.18451849908160589</v>
      </c>
      <c r="L45" s="1" t="str">
        <f>IF(K45&gt;'Controls-Split'!$I$5,"Pos","Neg")</f>
        <v>Pos</v>
      </c>
      <c r="M45" s="17">
        <v>2</v>
      </c>
      <c r="N45" t="s">
        <v>23</v>
      </c>
      <c r="O45" t="s">
        <v>24</v>
      </c>
      <c r="P45">
        <v>2384</v>
      </c>
      <c r="Q45" s="19">
        <f>P45/'Controls-Split'!$D$26</f>
        <v>1.2307692307692308</v>
      </c>
      <c r="R45" s="1" t="str">
        <f>IF(Q45&gt;'Controls-Split'!$J$26,"Pos","Neg")</f>
        <v>Pos</v>
      </c>
      <c r="S45">
        <v>3</v>
      </c>
    </row>
    <row r="46" spans="1:19" x14ac:dyDescent="0.2">
      <c r="A46" t="s">
        <v>63</v>
      </c>
      <c r="B46" t="s">
        <v>64</v>
      </c>
      <c r="C46" s="6" t="s">
        <v>23</v>
      </c>
      <c r="D46" t="s">
        <v>26</v>
      </c>
      <c r="E46">
        <v>3.4000000000000002E-2</v>
      </c>
      <c r="F46" s="7">
        <v>2</v>
      </c>
      <c r="G46" s="16" t="s">
        <v>21</v>
      </c>
      <c r="H46" s="1" t="s">
        <v>22</v>
      </c>
      <c r="I46" s="2">
        <v>2901</v>
      </c>
      <c r="J46" s="2">
        <f>I46-'Controls-Split'!$D$5</f>
        <v>-446</v>
      </c>
      <c r="K46" s="1">
        <f>J46/'Controls-Split'!$C$5</f>
        <v>-1.1702965101023354E-2</v>
      </c>
      <c r="L46" s="1" t="str">
        <f>IF(K46&gt;'Controls-Split'!$I$5,"Pos","Neg")</f>
        <v>Neg</v>
      </c>
      <c r="M46" s="17">
        <v>2</v>
      </c>
      <c r="N46" t="s">
        <v>23</v>
      </c>
      <c r="O46" t="s">
        <v>24</v>
      </c>
      <c r="P46">
        <v>1854</v>
      </c>
      <c r="Q46" s="19">
        <f>P46/'Controls-Split'!$D$26</f>
        <v>0.95715023231801755</v>
      </c>
      <c r="R46" s="1" t="str">
        <f>IF(Q46&gt;'Controls-Split'!$J$26,"Pos","Neg")</f>
        <v>Neg</v>
      </c>
      <c r="S46">
        <v>3</v>
      </c>
    </row>
    <row r="47" spans="1:19" x14ac:dyDescent="0.2">
      <c r="A47" t="s">
        <v>63</v>
      </c>
      <c r="B47" t="s">
        <v>42</v>
      </c>
      <c r="C47" s="6" t="s">
        <v>23</v>
      </c>
      <c r="D47" t="s">
        <v>20</v>
      </c>
      <c r="E47">
        <v>0.06</v>
      </c>
      <c r="F47" s="7">
        <v>2</v>
      </c>
      <c r="G47" s="16" t="s">
        <v>21</v>
      </c>
      <c r="H47" s="1" t="s">
        <v>22</v>
      </c>
      <c r="I47" s="2">
        <v>2653</v>
      </c>
      <c r="J47" s="2">
        <f>I47-'Controls-Split'!$D$5</f>
        <v>-694</v>
      </c>
      <c r="K47" s="1">
        <f>J47/'Controls-Split'!$C$5</f>
        <v>-1.82104434531619E-2</v>
      </c>
      <c r="L47" s="1" t="str">
        <f>IF(K47&gt;'Controls-Split'!$I$5,"Pos","Neg")</f>
        <v>Neg</v>
      </c>
      <c r="M47" s="17">
        <v>2</v>
      </c>
      <c r="N47" t="s">
        <v>23</v>
      </c>
      <c r="O47" t="s">
        <v>24</v>
      </c>
      <c r="P47">
        <v>4059</v>
      </c>
      <c r="Q47" s="19">
        <f>P47/'Controls-Split'!$D$32</f>
        <v>1.6347160692710432</v>
      </c>
      <c r="R47" s="1" t="str">
        <f>IF(Q47&gt;'Controls-Split'!$J$32,"Pos","Neg")</f>
        <v>Neg</v>
      </c>
      <c r="S47">
        <v>9</v>
      </c>
    </row>
    <row r="48" spans="1:19" x14ac:dyDescent="0.2">
      <c r="A48" t="s">
        <v>65</v>
      </c>
      <c r="B48" t="s">
        <v>42</v>
      </c>
      <c r="C48" s="6" t="s">
        <v>23</v>
      </c>
      <c r="D48" t="s">
        <v>20</v>
      </c>
      <c r="E48">
        <v>2.7E-2</v>
      </c>
      <c r="F48" s="7">
        <v>2</v>
      </c>
      <c r="G48" s="16" t="s">
        <v>21</v>
      </c>
      <c r="H48" s="1" t="s">
        <v>22</v>
      </c>
      <c r="I48" s="2">
        <v>3243</v>
      </c>
      <c r="J48" s="2">
        <f>I48-'Controls-Split'!$D$5</f>
        <v>-104</v>
      </c>
      <c r="K48" s="1">
        <f>J48/'Controls-Split'!$C$5</f>
        <v>-2.7289425347677776E-3</v>
      </c>
      <c r="L48" s="1" t="str">
        <f>IF(K48&gt;'Controls-Split'!$I$5,"Pos","Neg")</f>
        <v>Neg</v>
      </c>
      <c r="M48" s="17">
        <v>2</v>
      </c>
      <c r="N48" t="s">
        <v>23</v>
      </c>
      <c r="O48" t="s">
        <v>24</v>
      </c>
      <c r="P48">
        <v>2985</v>
      </c>
      <c r="Q48" s="19">
        <f>P48/'Controls-Split'!$D$32</f>
        <v>1.2021747885622232</v>
      </c>
      <c r="R48" s="1" t="str">
        <f>IF(Q48&gt;'Controls-Split'!$J$32,"Pos","Neg")</f>
        <v>Neg</v>
      </c>
      <c r="S48">
        <v>9</v>
      </c>
    </row>
    <row r="49" spans="1:19" x14ac:dyDescent="0.2">
      <c r="A49" t="s">
        <v>50</v>
      </c>
      <c r="B49" t="s">
        <v>50</v>
      </c>
      <c r="C49" s="6" t="s">
        <v>19</v>
      </c>
      <c r="D49" t="s">
        <v>20</v>
      </c>
      <c r="E49">
        <v>0.219</v>
      </c>
      <c r="F49" s="7">
        <v>2</v>
      </c>
      <c r="G49" s="16" t="s">
        <v>21</v>
      </c>
      <c r="H49" s="1" t="s">
        <v>22</v>
      </c>
      <c r="I49" s="2">
        <v>4945</v>
      </c>
      <c r="J49" s="2">
        <f>I49-'Controls-Split'!$D$5</f>
        <v>1598</v>
      </c>
      <c r="K49" s="1">
        <f>J49/'Controls-Split'!$C$5</f>
        <v>4.1931251639989502E-2</v>
      </c>
      <c r="L49" s="1" t="str">
        <f>IF(K49&gt;'Controls-Split'!$I$5,"Pos","Neg")</f>
        <v>Neg</v>
      </c>
      <c r="M49" s="17">
        <v>2</v>
      </c>
      <c r="N49" t="s">
        <v>23</v>
      </c>
      <c r="O49" t="s">
        <v>24</v>
      </c>
      <c r="P49">
        <v>15649</v>
      </c>
      <c r="Q49" s="19">
        <f>P49/'Controls-Split'!$D$35</f>
        <v>10.725839616175463</v>
      </c>
      <c r="R49" s="1" t="str">
        <f>IF(Q49&gt;'Controls-Split'!$J$35,"Pos","Neg")</f>
        <v>Pos</v>
      </c>
      <c r="S49">
        <v>12</v>
      </c>
    </row>
    <row r="50" spans="1:19" x14ac:dyDescent="0.2">
      <c r="A50" t="s">
        <v>18</v>
      </c>
      <c r="B50" t="s">
        <v>18</v>
      </c>
      <c r="C50" s="6" t="s">
        <v>23</v>
      </c>
      <c r="D50" t="s">
        <v>20</v>
      </c>
      <c r="E50">
        <v>0.193</v>
      </c>
      <c r="F50" s="7">
        <v>1</v>
      </c>
      <c r="G50" s="16" t="s">
        <v>21</v>
      </c>
      <c r="H50" s="1" t="s">
        <v>22</v>
      </c>
      <c r="I50" s="2">
        <v>3309</v>
      </c>
      <c r="J50" s="2">
        <f>I50-'Controls-Split'!$D$5</f>
        <v>-38</v>
      </c>
      <c r="K50" s="1">
        <f>J50/'Controls-Split'!$C$5</f>
        <v>-9.9711361847284173E-4</v>
      </c>
      <c r="L50" s="1" t="str">
        <f>IF(K50&gt;'Controls-Split'!$I$5,"Pos","Neg")</f>
        <v>Neg</v>
      </c>
      <c r="M50" s="17">
        <v>2</v>
      </c>
      <c r="N50" t="s">
        <v>23</v>
      </c>
      <c r="O50" t="s">
        <v>24</v>
      </c>
      <c r="P50" s="23">
        <v>30779</v>
      </c>
      <c r="Q50" s="19">
        <f>P50/'Controls-Split'!$D$32</f>
        <v>12.395892066049134</v>
      </c>
      <c r="R50" s="1" t="str">
        <f>IF(Q50&gt;'Controls-Split'!$J$32,"Pos","Neg")</f>
        <v>Pos</v>
      </c>
      <c r="S50">
        <v>9</v>
      </c>
    </row>
    <row r="51" spans="1:19" x14ac:dyDescent="0.2">
      <c r="A51" t="s">
        <v>18</v>
      </c>
      <c r="B51" t="s">
        <v>61</v>
      </c>
      <c r="C51" s="6" t="s">
        <v>23</v>
      </c>
      <c r="D51" t="s">
        <v>26</v>
      </c>
      <c r="E51">
        <v>0.14199999999999999</v>
      </c>
      <c r="F51" s="7">
        <v>2</v>
      </c>
      <c r="G51" s="16" t="s">
        <v>21</v>
      </c>
      <c r="H51" s="1" t="s">
        <v>22</v>
      </c>
      <c r="I51" s="2">
        <v>3188</v>
      </c>
      <c r="J51" s="2">
        <f>I51-'Controls-Split'!$D$5</f>
        <v>-159</v>
      </c>
      <c r="K51" s="1">
        <f>J51/'Controls-Split'!$C$5</f>
        <v>-4.1721332983468903E-3</v>
      </c>
      <c r="L51" s="1" t="str">
        <f>IF(K51&gt;'Controls-Split'!$I$5,"Pos","Neg")</f>
        <v>Neg</v>
      </c>
      <c r="M51" s="17">
        <v>2</v>
      </c>
      <c r="N51" t="s">
        <v>23</v>
      </c>
      <c r="O51" t="s">
        <v>24</v>
      </c>
      <c r="P51">
        <v>3498</v>
      </c>
      <c r="Q51" s="19">
        <f>P51/'Controls-Split'!$D$32</f>
        <v>1.4087797019734192</v>
      </c>
      <c r="R51" s="1" t="str">
        <f>IF(Q51&gt;'Controls-Split'!$J$32,"Pos","Neg")</f>
        <v>Neg</v>
      </c>
      <c r="S51">
        <v>9</v>
      </c>
    </row>
    <row r="52" spans="1:19" x14ac:dyDescent="0.2">
      <c r="A52" t="s">
        <v>18</v>
      </c>
      <c r="B52" t="s">
        <v>30</v>
      </c>
      <c r="C52" s="6" t="s">
        <v>20</v>
      </c>
      <c r="D52" t="s">
        <v>23</v>
      </c>
      <c r="E52">
        <v>4.7E-2</v>
      </c>
      <c r="F52" s="7">
        <v>1</v>
      </c>
      <c r="G52" s="16" t="s">
        <v>22</v>
      </c>
      <c r="H52" s="1" t="s">
        <v>21</v>
      </c>
      <c r="I52" s="2">
        <v>3279</v>
      </c>
      <c r="J52" s="2">
        <f>I52-'Controls-Split'!$D$5</f>
        <v>-68</v>
      </c>
      <c r="K52" s="1">
        <f>J52/'Controls-Split'!$C$5</f>
        <v>-1.7843085804250852E-3</v>
      </c>
      <c r="L52" s="1" t="str">
        <f>IF(K52&gt;'Controls-Split'!$I$5,"Pos","Neg")</f>
        <v>Neg</v>
      </c>
      <c r="M52" s="17">
        <v>2</v>
      </c>
      <c r="N52" t="s">
        <v>24</v>
      </c>
      <c r="O52" t="s">
        <v>23</v>
      </c>
      <c r="P52" s="23">
        <v>1078</v>
      </c>
      <c r="Q52" s="19">
        <f>P52/'Controls-Split'!$D$32</f>
        <v>0.43415223519935564</v>
      </c>
      <c r="R52" s="1" t="str">
        <f>IF(Q52&gt;'Controls-Split'!$J$32,"Pos","Neg")</f>
        <v>Neg</v>
      </c>
      <c r="S52">
        <v>9</v>
      </c>
    </row>
    <row r="53" spans="1:19" x14ac:dyDescent="0.2">
      <c r="A53" t="s">
        <v>66</v>
      </c>
      <c r="B53" t="s">
        <v>66</v>
      </c>
      <c r="C53" s="6" t="s">
        <v>23</v>
      </c>
      <c r="D53" t="s">
        <v>20</v>
      </c>
      <c r="E53">
        <v>2.8000000000000001E-2</v>
      </c>
      <c r="F53" s="7">
        <v>2</v>
      </c>
      <c r="G53" s="16" t="s">
        <v>21</v>
      </c>
      <c r="H53" s="1" t="s">
        <v>22</v>
      </c>
      <c r="I53" s="2">
        <v>4940</v>
      </c>
      <c r="J53" s="2">
        <f>I53-'Controls-Split'!$D$5</f>
        <v>1593</v>
      </c>
      <c r="K53" s="1">
        <f>J53/'Controls-Split'!$C$5</f>
        <v>4.1800052479664132E-2</v>
      </c>
      <c r="L53" s="1" t="str">
        <f>IF(K53&gt;'Controls-Split'!$I$5,"Pos","Neg")</f>
        <v>Neg</v>
      </c>
      <c r="M53" s="17">
        <v>2</v>
      </c>
      <c r="N53" t="s">
        <v>23</v>
      </c>
      <c r="O53" t="s">
        <v>24</v>
      </c>
      <c r="P53" s="23">
        <v>4302</v>
      </c>
      <c r="Q53" s="19">
        <f>P53/'Controls-Split'!$D$28</f>
        <v>2.8756684491978608</v>
      </c>
      <c r="R53" s="1" t="str">
        <f>IF(Q53&gt;'Controls-Split'!$J$28,"Pos","Neg")</f>
        <v>Pos</v>
      </c>
      <c r="S53" s="23">
        <v>5</v>
      </c>
    </row>
    <row r="54" spans="1:19" x14ac:dyDescent="0.2">
      <c r="A54" t="s">
        <v>66</v>
      </c>
      <c r="B54" t="s">
        <v>67</v>
      </c>
      <c r="C54" s="6" t="s">
        <v>20</v>
      </c>
      <c r="D54" t="s">
        <v>23</v>
      </c>
      <c r="E54">
        <v>4.2999999999999997E-2</v>
      </c>
      <c r="F54" s="7">
        <v>1</v>
      </c>
      <c r="G54" s="16" t="s">
        <v>22</v>
      </c>
      <c r="H54" s="1" t="s">
        <v>21</v>
      </c>
      <c r="I54" s="2">
        <v>4589</v>
      </c>
      <c r="J54" s="2">
        <f>I54-'Controls-Split'!$D$5</f>
        <v>1242</v>
      </c>
      <c r="K54" s="1">
        <f>J54/'Controls-Split'!$C$5</f>
        <v>3.2589871424822878E-2</v>
      </c>
      <c r="L54" s="1" t="str">
        <f>IF(K54&gt;'Controls-Split'!$I$5,"Pos","Neg")</f>
        <v>Neg</v>
      </c>
      <c r="M54" s="17">
        <v>2</v>
      </c>
      <c r="N54" t="s">
        <v>24</v>
      </c>
      <c r="O54" t="s">
        <v>23</v>
      </c>
      <c r="P54" s="23">
        <v>2010</v>
      </c>
      <c r="Q54" s="19">
        <f>P54/'Controls-Split'!$D$28</f>
        <v>1.3435828877005347</v>
      </c>
      <c r="R54" s="1" t="str">
        <f>IF(Q54&gt;'Controls-Split'!$J$28,"Pos","Neg")</f>
        <v>Neg</v>
      </c>
      <c r="S54" s="23">
        <v>5</v>
      </c>
    </row>
    <row r="55" spans="1:19" x14ac:dyDescent="0.2">
      <c r="A55" t="s">
        <v>66</v>
      </c>
      <c r="B55" t="s">
        <v>52</v>
      </c>
      <c r="C55" s="6" t="s">
        <v>23</v>
      </c>
      <c r="D55" t="s">
        <v>20</v>
      </c>
      <c r="E55">
        <v>2.8000000000000001E-2</v>
      </c>
      <c r="F55" s="7">
        <v>2</v>
      </c>
      <c r="G55" s="16" t="s">
        <v>21</v>
      </c>
      <c r="H55" s="1" t="s">
        <v>22</v>
      </c>
      <c r="I55" s="2">
        <v>298</v>
      </c>
      <c r="J55" s="2">
        <f>I55-'Controls-Split'!$D$5</f>
        <v>-3049</v>
      </c>
      <c r="K55" s="1">
        <f>J55/'Controls-Split'!$C$5</f>
        <v>-8.0005247966413021E-2</v>
      </c>
      <c r="L55" s="1" t="str">
        <f>IF(K55&gt;'Controls-Split'!$I$5,"Pos","Neg")</f>
        <v>Neg</v>
      </c>
      <c r="M55" s="17">
        <v>2</v>
      </c>
      <c r="N55" t="s">
        <v>23</v>
      </c>
      <c r="O55" t="s">
        <v>24</v>
      </c>
      <c r="P55">
        <v>2894</v>
      </c>
      <c r="Q55" s="19">
        <f>P55/'Controls-Split'!$D$27</f>
        <v>1.408272506082725</v>
      </c>
      <c r="R55" s="1" t="str">
        <f>IF(Q55&gt;'Controls-Split'!$J$27,"Pos","Neg")</f>
        <v>Neg</v>
      </c>
      <c r="S55">
        <v>4</v>
      </c>
    </row>
    <row r="56" spans="1:19" x14ac:dyDescent="0.2">
      <c r="A56" t="s">
        <v>68</v>
      </c>
      <c r="B56" t="s">
        <v>69</v>
      </c>
      <c r="C56" s="6" t="s">
        <v>19</v>
      </c>
      <c r="D56" t="s">
        <v>26</v>
      </c>
      <c r="E56">
        <v>3.1E-2</v>
      </c>
      <c r="F56" s="7">
        <v>1</v>
      </c>
      <c r="G56" s="16" t="s">
        <v>21</v>
      </c>
      <c r="H56" s="1" t="s">
        <v>22</v>
      </c>
      <c r="I56" s="2">
        <v>3488</v>
      </c>
      <c r="J56" s="2">
        <f>I56-'Controls-Split'!$D$5</f>
        <v>141</v>
      </c>
      <c r="K56" s="1">
        <f>J56/'Controls-Split'!$C$5</f>
        <v>3.6998163211755444E-3</v>
      </c>
      <c r="L56" s="1" t="str">
        <f>IF(K56&gt;'Controls-Split'!$I$5,"Pos","Neg")</f>
        <v>Neg</v>
      </c>
      <c r="M56" s="17">
        <v>2</v>
      </c>
      <c r="N56" t="s">
        <v>23</v>
      </c>
      <c r="O56" t="s">
        <v>24</v>
      </c>
      <c r="P56">
        <v>3196</v>
      </c>
      <c r="Q56" s="19">
        <f>P56/'Controls-Split'!$D$34</f>
        <v>2.4490421455938698</v>
      </c>
      <c r="R56" s="1" t="str">
        <f>IF(Q56&gt;'Controls-Split'!$J$34,"Pos","Neg")</f>
        <v>Pos</v>
      </c>
      <c r="S56">
        <v>11</v>
      </c>
    </row>
    <row r="57" spans="1:19" x14ac:dyDescent="0.2">
      <c r="A57" t="s">
        <v>68</v>
      </c>
      <c r="B57" t="s">
        <v>32</v>
      </c>
      <c r="C57" s="6" t="s">
        <v>23</v>
      </c>
      <c r="D57" t="s">
        <v>26</v>
      </c>
      <c r="E57">
        <v>0.06</v>
      </c>
      <c r="F57" s="7">
        <v>1</v>
      </c>
      <c r="G57" s="16" t="s">
        <v>21</v>
      </c>
      <c r="H57" s="1" t="s">
        <v>22</v>
      </c>
      <c r="I57" s="2">
        <v>3170</v>
      </c>
      <c r="J57" s="2">
        <f>I57-'Controls-Split'!$D$5</f>
        <v>-177</v>
      </c>
      <c r="K57" s="1">
        <f>J57/'Controls-Split'!$C$5</f>
        <v>-4.6444502755182363E-3</v>
      </c>
      <c r="L57" s="1" t="str">
        <f>IF(K57&gt;'Controls-Split'!$I$5,"Pos","Neg")</f>
        <v>Neg</v>
      </c>
      <c r="M57" s="17">
        <v>2</v>
      </c>
      <c r="N57" t="s">
        <v>23</v>
      </c>
      <c r="O57" t="s">
        <v>24</v>
      </c>
      <c r="P57">
        <v>3136</v>
      </c>
      <c r="Q57" s="19">
        <f>P57/'Controls-Split'!$D$29</f>
        <v>2.5433901054339012</v>
      </c>
      <c r="R57" s="1" t="str">
        <f>IF(Q57&gt;'Controls-Split'!$J$29,"Pos","Neg")</f>
        <v>Pos</v>
      </c>
      <c r="S57">
        <v>6</v>
      </c>
    </row>
    <row r="58" spans="1:19" x14ac:dyDescent="0.2">
      <c r="A58" t="s">
        <v>68</v>
      </c>
      <c r="B58" t="s">
        <v>40</v>
      </c>
      <c r="C58" s="6" t="s">
        <v>19</v>
      </c>
      <c r="D58" t="s">
        <v>26</v>
      </c>
      <c r="E58">
        <v>2.7E-2</v>
      </c>
      <c r="F58" s="7">
        <v>2</v>
      </c>
      <c r="G58" s="16" t="s">
        <v>21</v>
      </c>
      <c r="H58" s="1" t="s">
        <v>22</v>
      </c>
      <c r="I58" s="2">
        <v>4643</v>
      </c>
      <c r="J58" s="2">
        <f>I58-'Controls-Split'!$D$5</f>
        <v>1296</v>
      </c>
      <c r="K58" s="1">
        <f>J58/'Controls-Split'!$C$5</f>
        <v>3.4006822356336917E-2</v>
      </c>
      <c r="L58" s="1" t="str">
        <f>IF(K58&gt;'Controls-Split'!$I$5,"Pos","Neg")</f>
        <v>Neg</v>
      </c>
      <c r="M58" s="17">
        <v>2</v>
      </c>
      <c r="N58" t="s">
        <v>23</v>
      </c>
      <c r="O58" t="s">
        <v>24</v>
      </c>
      <c r="P58">
        <v>2308</v>
      </c>
      <c r="Q58" s="19">
        <f>P58/'Controls-Split'!$D$28</f>
        <v>1.5427807486631016</v>
      </c>
      <c r="R58" s="1" t="str">
        <f>IF(Q58&gt;'Controls-Split'!$J$28,"Pos","Neg")</f>
        <v>Neg</v>
      </c>
      <c r="S58">
        <v>5</v>
      </c>
    </row>
    <row r="59" spans="1:19" x14ac:dyDescent="0.2">
      <c r="A59" t="s">
        <v>70</v>
      </c>
      <c r="B59" t="s">
        <v>69</v>
      </c>
      <c r="C59" s="6" t="s">
        <v>23</v>
      </c>
      <c r="D59" t="s">
        <v>26</v>
      </c>
      <c r="E59">
        <v>3.2000000000000001E-2</v>
      </c>
      <c r="F59" s="7">
        <v>2</v>
      </c>
      <c r="G59" s="16" t="s">
        <v>21</v>
      </c>
      <c r="H59" s="1" t="s">
        <v>22</v>
      </c>
      <c r="I59" s="2">
        <v>4236</v>
      </c>
      <c r="J59" s="2">
        <f>I59-'Controls-Split'!$D$5</f>
        <v>889</v>
      </c>
      <c r="K59" s="1">
        <f>J59/'Controls-Split'!$C$5</f>
        <v>2.3327210705851482E-2</v>
      </c>
      <c r="L59" s="1" t="str">
        <f>IF(K59&gt;'Controls-Split'!$I$5,"Pos","Neg")</f>
        <v>Neg</v>
      </c>
      <c r="M59" s="17">
        <v>2</v>
      </c>
      <c r="N59" s="23" t="s">
        <v>23</v>
      </c>
      <c r="O59" s="23" t="s">
        <v>24</v>
      </c>
      <c r="P59" s="23">
        <v>1133</v>
      </c>
      <c r="Q59" s="26">
        <v>0.75</v>
      </c>
      <c r="R59" s="18" t="s">
        <v>71</v>
      </c>
      <c r="S59" s="23">
        <v>11</v>
      </c>
    </row>
    <row r="60" spans="1:19" x14ac:dyDescent="0.2">
      <c r="A60" t="s">
        <v>45</v>
      </c>
      <c r="B60" t="s">
        <v>45</v>
      </c>
      <c r="C60" s="6" t="s">
        <v>23</v>
      </c>
      <c r="D60" t="s">
        <v>20</v>
      </c>
      <c r="E60">
        <v>3.3000000000000002E-2</v>
      </c>
      <c r="F60" s="7">
        <v>2</v>
      </c>
      <c r="G60" s="16" t="s">
        <v>21</v>
      </c>
      <c r="H60" s="1" t="s">
        <v>22</v>
      </c>
      <c r="I60" s="2">
        <v>2754</v>
      </c>
      <c r="J60" s="2">
        <f>I60-'Controls-Split'!$D$5</f>
        <v>-593</v>
      </c>
      <c r="K60" s="1">
        <f>J60/'Controls-Split'!$C$5</f>
        <v>-1.5560220414589347E-2</v>
      </c>
      <c r="L60" s="1" t="str">
        <f>IF(K60&gt;'Controls-Split'!$I$5,"Pos","Neg")</f>
        <v>Neg</v>
      </c>
      <c r="M60" s="17">
        <v>2</v>
      </c>
      <c r="N60" t="s">
        <v>24</v>
      </c>
      <c r="O60" t="s">
        <v>23</v>
      </c>
      <c r="P60">
        <v>9112</v>
      </c>
      <c r="Q60" s="19">
        <f>P60/'Controls-Split'!$D$35</f>
        <v>6.2453735435229607</v>
      </c>
      <c r="R60" s="1" t="str">
        <f>IF(Q60&gt;'Controls-Split'!$J$35,"Pos","Neg")</f>
        <v>Pos</v>
      </c>
      <c r="S60">
        <v>12</v>
      </c>
    </row>
    <row r="61" spans="1:19" x14ac:dyDescent="0.2">
      <c r="A61" t="s">
        <v>72</v>
      </c>
      <c r="B61" t="s">
        <v>39</v>
      </c>
      <c r="C61" s="6" t="s">
        <v>23</v>
      </c>
      <c r="D61" t="s">
        <v>20</v>
      </c>
      <c r="E61">
        <v>3.1E-2</v>
      </c>
      <c r="F61" s="7">
        <v>2</v>
      </c>
      <c r="G61" s="16" t="s">
        <v>21</v>
      </c>
      <c r="H61" s="1" t="s">
        <v>22</v>
      </c>
      <c r="I61" s="2">
        <v>4437</v>
      </c>
      <c r="J61" s="2">
        <f>I61-'Controls-Split'!$D$5</f>
        <v>1090</v>
      </c>
      <c r="K61" s="1">
        <f>J61/'Controls-Split'!$C$5</f>
        <v>2.8601416950931515E-2</v>
      </c>
      <c r="L61" s="1" t="str">
        <f>IF(K61&gt;'Controls-Split'!$I$5,"Pos","Neg")</f>
        <v>Neg</v>
      </c>
      <c r="M61" s="17">
        <v>2</v>
      </c>
    </row>
    <row r="62" spans="1:19" x14ac:dyDescent="0.2">
      <c r="A62" t="s">
        <v>72</v>
      </c>
      <c r="B62" t="s">
        <v>72</v>
      </c>
      <c r="C62" s="6" t="s">
        <v>23</v>
      </c>
      <c r="D62" t="s">
        <v>26</v>
      </c>
      <c r="E62">
        <v>0.11600000000000001</v>
      </c>
      <c r="F62" s="7">
        <v>2</v>
      </c>
      <c r="G62" s="16" t="s">
        <v>21</v>
      </c>
      <c r="H62" s="1" t="s">
        <v>22</v>
      </c>
      <c r="I62" s="2">
        <v>2354</v>
      </c>
      <c r="J62" s="2">
        <f>I62-'Controls-Split'!$D$5</f>
        <v>-993</v>
      </c>
      <c r="K62" s="1">
        <f>J62/'Controls-Split'!$C$5</f>
        <v>-2.6056153240619259E-2</v>
      </c>
      <c r="L62" s="1" t="str">
        <f>IF(K62&gt;'Controls-Split'!$I$5,"Pos","Neg")</f>
        <v>Neg</v>
      </c>
      <c r="M62" s="17">
        <v>2</v>
      </c>
      <c r="N62" t="s">
        <v>23</v>
      </c>
      <c r="O62" t="s">
        <v>24</v>
      </c>
      <c r="P62">
        <v>5024</v>
      </c>
      <c r="Q62" s="19">
        <f>P62/'Controls-Split'!$D$27</f>
        <v>2.4447688564476886</v>
      </c>
      <c r="R62" s="1" t="str">
        <f>IF(Q62&gt;'Controls-Split'!$J$27,"Pos","Neg")</f>
        <v>Pos</v>
      </c>
      <c r="S62">
        <v>4</v>
      </c>
    </row>
    <row r="63" spans="1:19" x14ac:dyDescent="0.2">
      <c r="A63" t="s">
        <v>52</v>
      </c>
      <c r="B63" t="s">
        <v>52</v>
      </c>
      <c r="C63" s="6" t="s">
        <v>19</v>
      </c>
      <c r="D63" t="s">
        <v>26</v>
      </c>
      <c r="E63">
        <v>0.14199999999999999</v>
      </c>
      <c r="F63" s="7">
        <v>1</v>
      </c>
      <c r="G63" s="16" t="s">
        <v>21</v>
      </c>
      <c r="H63" s="1" t="s">
        <v>22</v>
      </c>
      <c r="I63" s="2">
        <v>3438</v>
      </c>
      <c r="J63" s="2">
        <f>I63-'Controls-Split'!$D$5</f>
        <v>91</v>
      </c>
      <c r="K63" s="1">
        <f>J63/'Controls-Split'!$C$5</f>
        <v>2.3878247179218051E-3</v>
      </c>
      <c r="L63" s="1" t="str">
        <f>IF(K63&gt;'Controls-Split'!$I$5,"Pos","Neg")</f>
        <v>Neg</v>
      </c>
      <c r="M63" s="17">
        <v>2</v>
      </c>
      <c r="N63" t="s">
        <v>23</v>
      </c>
      <c r="O63" t="s">
        <v>24</v>
      </c>
      <c r="P63">
        <v>1985</v>
      </c>
      <c r="Q63" s="19">
        <f>P63/'Controls-Split'!$D$27</f>
        <v>0.96593673965936744</v>
      </c>
      <c r="R63" s="1" t="str">
        <f>IF(Q63&gt;'Controls-Split'!$J$27,"Pos","Neg")</f>
        <v>Neg</v>
      </c>
      <c r="S63">
        <v>4</v>
      </c>
    </row>
    <row r="64" spans="1:19" x14ac:dyDescent="0.2">
      <c r="A64" t="s">
        <v>52</v>
      </c>
      <c r="B64" t="s">
        <v>62</v>
      </c>
      <c r="C64" s="6" t="s">
        <v>20</v>
      </c>
      <c r="D64" t="s">
        <v>23</v>
      </c>
      <c r="E64">
        <v>3.2000000000000001E-2</v>
      </c>
      <c r="F64" s="7">
        <v>1</v>
      </c>
      <c r="G64" s="16" t="s">
        <v>22</v>
      </c>
      <c r="H64" s="1" t="s">
        <v>21</v>
      </c>
      <c r="I64" s="2">
        <v>3746</v>
      </c>
      <c r="J64" s="2">
        <f>I64-'Controls-Split'!$D$5</f>
        <v>399</v>
      </c>
      <c r="K64" s="1">
        <f>J64/'Controls-Split'!$C$5</f>
        <v>1.0469692993964838E-2</v>
      </c>
      <c r="L64" s="1" t="str">
        <f>IF(K64&gt;'Controls-Split'!$I$5,"Pos","Neg")</f>
        <v>Neg</v>
      </c>
      <c r="M64" s="17">
        <v>2</v>
      </c>
      <c r="N64" t="s">
        <v>24</v>
      </c>
      <c r="O64" t="s">
        <v>23</v>
      </c>
      <c r="P64">
        <v>1941</v>
      </c>
      <c r="Q64" s="19">
        <f>P64/'Controls-Split'!$D$27</f>
        <v>0.94452554744525552</v>
      </c>
      <c r="R64" s="1" t="str">
        <f>IF(Q64&gt;'Controls-Split'!$J$27,"Pos","Neg")</f>
        <v>Neg</v>
      </c>
      <c r="S64">
        <v>4</v>
      </c>
    </row>
    <row r="65" spans="1:19" x14ac:dyDescent="0.2">
      <c r="A65" t="s">
        <v>73</v>
      </c>
      <c r="B65" t="s">
        <v>73</v>
      </c>
      <c r="C65" s="6" t="s">
        <v>23</v>
      </c>
      <c r="D65" t="s">
        <v>20</v>
      </c>
      <c r="E65">
        <v>0.221</v>
      </c>
      <c r="F65" s="7">
        <v>2</v>
      </c>
      <c r="G65" s="16" t="s">
        <v>21</v>
      </c>
      <c r="H65" s="1" t="s">
        <v>22</v>
      </c>
      <c r="I65" s="2">
        <v>8486</v>
      </c>
      <c r="J65" s="2">
        <f>I65-'Controls-Split'!$D$5</f>
        <v>5139</v>
      </c>
      <c r="K65" s="1">
        <f>J65/'Controls-Split'!$C$5</f>
        <v>0.13484649698241932</v>
      </c>
      <c r="L65" s="1" t="str">
        <f>IF(K65&gt;'Controls-Split'!$I$5,"Pos","Neg")</f>
        <v>Pos</v>
      </c>
      <c r="M65" s="17">
        <v>2</v>
      </c>
      <c r="N65" t="s">
        <v>23</v>
      </c>
      <c r="O65" t="s">
        <v>24</v>
      </c>
      <c r="P65">
        <v>9747</v>
      </c>
      <c r="Q65" s="19">
        <f>P65/'Controls-Split'!$D$27</f>
        <v>4.7430656934306565</v>
      </c>
      <c r="R65" s="1" t="str">
        <f>IF(Q65&gt;'Controls-Split'!$J$27,"Pos","Neg")</f>
        <v>Pos</v>
      </c>
      <c r="S65">
        <v>4</v>
      </c>
    </row>
    <row r="66" spans="1:19" x14ac:dyDescent="0.2">
      <c r="A66" t="s">
        <v>73</v>
      </c>
      <c r="B66" t="s">
        <v>74</v>
      </c>
      <c r="C66" s="6" t="s">
        <v>23</v>
      </c>
      <c r="D66" t="s">
        <v>26</v>
      </c>
      <c r="E66">
        <v>3.5000000000000003E-2</v>
      </c>
      <c r="F66" s="7">
        <v>2</v>
      </c>
      <c r="G66" s="16" t="s">
        <v>21</v>
      </c>
      <c r="H66" s="1" t="s">
        <v>22</v>
      </c>
      <c r="I66" s="2">
        <v>3688</v>
      </c>
      <c r="J66" s="2">
        <f>I66-'Controls-Split'!$D$5</f>
        <v>341</v>
      </c>
      <c r="K66" s="1">
        <f>J66/'Controls-Split'!$C$5</f>
        <v>8.9477827341905014E-3</v>
      </c>
      <c r="L66" s="1" t="str">
        <f>IF(K66&gt;'Controls-Split'!$I$5,"Pos","Neg")</f>
        <v>Neg</v>
      </c>
      <c r="M66" s="17">
        <v>2</v>
      </c>
      <c r="N66" t="s">
        <v>23</v>
      </c>
      <c r="O66" t="s">
        <v>24</v>
      </c>
      <c r="P66">
        <v>1890</v>
      </c>
      <c r="Q66" s="19">
        <f>P66/'Controls-Split'!$D$27</f>
        <v>0.91970802919708028</v>
      </c>
      <c r="R66" s="1" t="str">
        <f>IF(Q66&gt;'Controls-Split'!$J$27,"Pos","Neg")</f>
        <v>Neg</v>
      </c>
      <c r="S66">
        <v>4</v>
      </c>
    </row>
    <row r="67" spans="1:19" x14ac:dyDescent="0.2">
      <c r="A67" t="s">
        <v>74</v>
      </c>
      <c r="B67" t="s">
        <v>75</v>
      </c>
      <c r="C67" s="6" t="s">
        <v>19</v>
      </c>
      <c r="D67" t="s">
        <v>20</v>
      </c>
      <c r="E67">
        <v>3.2000000000000001E-2</v>
      </c>
      <c r="F67" s="7">
        <v>1</v>
      </c>
      <c r="G67" s="16" t="s">
        <v>21</v>
      </c>
      <c r="H67" s="1" t="s">
        <v>22</v>
      </c>
      <c r="I67" s="2">
        <v>4009</v>
      </c>
      <c r="J67" s="2">
        <f>I67-'Controls-Split'!$D$5</f>
        <v>662</v>
      </c>
      <c r="K67" s="1">
        <f>J67/'Controls-Split'!$C$5</f>
        <v>1.7370768827079507E-2</v>
      </c>
      <c r="L67" s="1" t="str">
        <f>IF(K67&gt;'Controls-Split'!$I$5,"Pos","Neg")</f>
        <v>Neg</v>
      </c>
      <c r="M67" s="17">
        <v>2</v>
      </c>
      <c r="N67" s="23" t="s">
        <v>23</v>
      </c>
      <c r="O67" s="23" t="s">
        <v>24</v>
      </c>
      <c r="P67" s="23">
        <v>1984</v>
      </c>
      <c r="Q67" s="26">
        <v>1.19</v>
      </c>
      <c r="R67" s="18" t="s">
        <v>71</v>
      </c>
      <c r="S67" s="23">
        <v>9</v>
      </c>
    </row>
    <row r="68" spans="1:19" x14ac:dyDescent="0.2">
      <c r="A68" t="s">
        <v>74</v>
      </c>
      <c r="B68" t="s">
        <v>40</v>
      </c>
      <c r="C68" s="6" t="s">
        <v>23</v>
      </c>
      <c r="D68" t="s">
        <v>20</v>
      </c>
      <c r="E68">
        <v>3.1E-2</v>
      </c>
      <c r="F68" s="7">
        <v>1</v>
      </c>
      <c r="G68" s="16" t="s">
        <v>21</v>
      </c>
      <c r="H68" s="1" t="s">
        <v>22</v>
      </c>
      <c r="I68" s="2">
        <v>7087</v>
      </c>
      <c r="J68" s="2">
        <f>I68-'Controls-Split'!$D$5</f>
        <v>3740</v>
      </c>
      <c r="K68" s="1">
        <f>J68/'Controls-Split'!$C$5</f>
        <v>9.8136971923379696E-2</v>
      </c>
      <c r="L68" s="1" t="str">
        <f>IF(K68&gt;'Controls-Split'!$I$5,"Pos","Neg")</f>
        <v>Neg</v>
      </c>
      <c r="M68" s="17">
        <v>2</v>
      </c>
      <c r="N68" t="s">
        <v>23</v>
      </c>
      <c r="O68" t="s">
        <v>24</v>
      </c>
      <c r="P68">
        <v>846</v>
      </c>
      <c r="Q68" s="19">
        <f>P68/'Controls-Split'!$D$28</f>
        <v>0.56550802139037437</v>
      </c>
      <c r="R68" s="1" t="str">
        <f>IF(Q68&gt;'Controls-Split'!$J$28,"Pos","Neg")</f>
        <v>Neg</v>
      </c>
      <c r="S68">
        <v>5</v>
      </c>
    </row>
    <row r="69" spans="1:19" x14ac:dyDescent="0.2">
      <c r="A69" t="s">
        <v>74</v>
      </c>
      <c r="B69" t="s">
        <v>42</v>
      </c>
      <c r="C69" s="6" t="s">
        <v>23</v>
      </c>
      <c r="D69" t="s">
        <v>20</v>
      </c>
      <c r="E69">
        <v>2.8000000000000001E-2</v>
      </c>
      <c r="F69" s="7">
        <v>2</v>
      </c>
      <c r="G69" s="16" t="s">
        <v>21</v>
      </c>
      <c r="H69" s="1" t="s">
        <v>22</v>
      </c>
      <c r="I69" s="2">
        <v>3193</v>
      </c>
      <c r="J69" s="2">
        <f>I69-'Controls-Split'!$D$5</f>
        <v>-154</v>
      </c>
      <c r="K69" s="1">
        <f>J69/'Controls-Split'!$C$5</f>
        <v>-4.0409341380215165E-3</v>
      </c>
      <c r="L69" s="1" t="str">
        <f>IF(K69&gt;'Controls-Split'!$I$5,"Pos","Neg")</f>
        <v>Neg</v>
      </c>
      <c r="M69" s="17">
        <v>2</v>
      </c>
      <c r="N69" t="s">
        <v>23</v>
      </c>
      <c r="O69" t="s">
        <v>24</v>
      </c>
      <c r="P69">
        <v>4926</v>
      </c>
      <c r="Q69" s="19">
        <f>P69/'Controls-Split'!$D$32</f>
        <v>1.9838904550946437</v>
      </c>
      <c r="R69" s="1" t="str">
        <f>IF(Q69&gt;'Controls-Split'!$J$32,"Pos","Neg")</f>
        <v>Neg</v>
      </c>
      <c r="S69">
        <v>9</v>
      </c>
    </row>
    <row r="70" spans="1:19" x14ac:dyDescent="0.2">
      <c r="A70" t="s">
        <v>76</v>
      </c>
      <c r="B70" t="s">
        <v>76</v>
      </c>
      <c r="C70" s="6" t="s">
        <v>19</v>
      </c>
      <c r="D70" t="s">
        <v>26</v>
      </c>
      <c r="E70">
        <v>0.182</v>
      </c>
      <c r="F70" s="7">
        <v>2</v>
      </c>
      <c r="G70" s="16" t="s">
        <v>21</v>
      </c>
      <c r="H70" s="1" t="s">
        <v>22</v>
      </c>
      <c r="I70" s="2">
        <v>7359</v>
      </c>
      <c r="J70" s="2">
        <f>I70-'Controls-Split'!$D$5</f>
        <v>4012</v>
      </c>
      <c r="K70" s="1">
        <f>J70/'Controls-Split'!$C$5</f>
        <v>0.10527420624508003</v>
      </c>
      <c r="L70" s="1" t="str">
        <f>IF(K70&gt;'Controls-Split'!$I$5,"Pos","Neg")</f>
        <v>Neg</v>
      </c>
      <c r="M70" s="17">
        <v>2</v>
      </c>
      <c r="N70" t="s">
        <v>23</v>
      </c>
      <c r="O70" t="s">
        <v>24</v>
      </c>
      <c r="P70">
        <v>84503</v>
      </c>
      <c r="Q70" s="19">
        <f>P70/'Controls-Split'!$D$27</f>
        <v>41.120681265206812</v>
      </c>
      <c r="R70" s="1" t="str">
        <f>IF(Q70&gt;'Controls-Split'!$J$27,"Pos","Neg")</f>
        <v>Pos</v>
      </c>
      <c r="S70">
        <v>4</v>
      </c>
    </row>
    <row r="71" spans="1:19" x14ac:dyDescent="0.2">
      <c r="A71" t="s">
        <v>27</v>
      </c>
      <c r="B71" t="s">
        <v>18</v>
      </c>
      <c r="C71" s="6" t="s">
        <v>23</v>
      </c>
      <c r="D71" t="s">
        <v>20</v>
      </c>
      <c r="E71">
        <v>6.0999999999999999E-2</v>
      </c>
      <c r="F71" s="7">
        <v>2</v>
      </c>
      <c r="G71" s="16" t="s">
        <v>21</v>
      </c>
      <c r="H71" s="1" t="s">
        <v>22</v>
      </c>
      <c r="I71" s="2">
        <v>3768</v>
      </c>
      <c r="J71" s="2">
        <f>I71-'Controls-Split'!$D$5</f>
        <v>421</v>
      </c>
      <c r="K71" s="1">
        <f>J71/'Controls-Split'!$C$5</f>
        <v>1.1046969299396484E-2</v>
      </c>
      <c r="L71" s="1" t="str">
        <f>IF(K71&gt;'Controls-Split'!$I$5,"Pos","Neg")</f>
        <v>Neg</v>
      </c>
      <c r="M71" s="17">
        <v>2</v>
      </c>
      <c r="N71" t="s">
        <v>23</v>
      </c>
      <c r="O71" t="s">
        <v>24</v>
      </c>
      <c r="P71" s="23">
        <v>4589</v>
      </c>
      <c r="Q71" s="19">
        <f>P71/'Controls-Split'!$D$32</f>
        <v>1.8481675392670156</v>
      </c>
      <c r="R71" s="1" t="str">
        <f>IF(Q71&gt;'Controls-Split'!$J$32,"Pos","Neg")</f>
        <v>Neg</v>
      </c>
      <c r="S71">
        <v>9</v>
      </c>
    </row>
    <row r="72" spans="1:19" x14ac:dyDescent="0.2">
      <c r="A72" t="s">
        <v>27</v>
      </c>
      <c r="B72" t="s">
        <v>52</v>
      </c>
      <c r="C72" s="6" t="s">
        <v>20</v>
      </c>
      <c r="D72" t="s">
        <v>19</v>
      </c>
      <c r="E72">
        <v>4.7E-2</v>
      </c>
      <c r="F72" s="7">
        <v>1</v>
      </c>
      <c r="G72" s="16" t="s">
        <v>22</v>
      </c>
      <c r="H72" s="1" t="s">
        <v>21</v>
      </c>
      <c r="I72" s="2">
        <v>4557</v>
      </c>
      <c r="J72" s="2">
        <f>I72-'Controls-Split'!$D$5</f>
        <v>1210</v>
      </c>
      <c r="K72" s="1">
        <f>J72/'Controls-Split'!$C$5</f>
        <v>3.1750196798740485E-2</v>
      </c>
      <c r="L72" s="1" t="str">
        <f>IF(K72&gt;'Controls-Split'!$I$5,"Pos","Neg")</f>
        <v>Neg</v>
      </c>
      <c r="M72" s="17">
        <v>2</v>
      </c>
      <c r="N72" t="s">
        <v>24</v>
      </c>
      <c r="O72" t="s">
        <v>23</v>
      </c>
      <c r="P72">
        <v>1324</v>
      </c>
      <c r="Q72" s="19">
        <f>P72/'Controls-Split'!$D$32</f>
        <v>0.53322593636729765</v>
      </c>
      <c r="R72" s="1" t="str">
        <f>IF(Q72&gt;'Controls-Split'!$J$32,"Pos","Neg")</f>
        <v>Neg</v>
      </c>
      <c r="S72">
        <v>9</v>
      </c>
    </row>
    <row r="73" spans="1:19" x14ac:dyDescent="0.2">
      <c r="A73" t="s">
        <v>27</v>
      </c>
      <c r="B73" t="s">
        <v>27</v>
      </c>
      <c r="C73" s="6" t="s">
        <v>23</v>
      </c>
      <c r="D73" t="s">
        <v>20</v>
      </c>
      <c r="E73">
        <v>0.14099999999999999</v>
      </c>
      <c r="F73" s="7">
        <v>2</v>
      </c>
      <c r="G73" s="16" t="s">
        <v>21</v>
      </c>
      <c r="H73" s="1" t="s">
        <v>22</v>
      </c>
      <c r="I73" s="2">
        <v>3698</v>
      </c>
      <c r="J73" s="2">
        <f>I73-'Controls-Split'!$D$5</f>
        <v>351</v>
      </c>
      <c r="K73" s="1">
        <f>J73/'Controls-Split'!$C$5</f>
        <v>9.2101810548412492E-3</v>
      </c>
      <c r="L73" s="1" t="str">
        <f>IF(K73&gt;'Controls-Split'!$I$5,"Pos","Neg")</f>
        <v>Neg</v>
      </c>
      <c r="M73" s="17">
        <v>2</v>
      </c>
      <c r="N73" t="s">
        <v>23</v>
      </c>
      <c r="O73" t="s">
        <v>24</v>
      </c>
      <c r="P73">
        <v>2758</v>
      </c>
      <c r="Q73" s="19">
        <f>P73/'Controls-Split'!$D$32</f>
        <v>1.1107531212243253</v>
      </c>
      <c r="R73" s="1" t="str">
        <f>IF(Q73&gt;'Controls-Split'!$J$32,"Pos","Neg")</f>
        <v>Neg</v>
      </c>
      <c r="S73">
        <v>9</v>
      </c>
    </row>
    <row r="74" spans="1:19" x14ac:dyDescent="0.2">
      <c r="A74" t="s">
        <v>32</v>
      </c>
      <c r="B74" t="s">
        <v>75</v>
      </c>
      <c r="C74" s="6" t="s">
        <v>26</v>
      </c>
      <c r="D74" t="s">
        <v>23</v>
      </c>
      <c r="E74">
        <v>2.8000000000000001E-2</v>
      </c>
      <c r="F74" s="7">
        <v>2</v>
      </c>
      <c r="G74" s="16" t="s">
        <v>22</v>
      </c>
      <c r="H74" s="1" t="s">
        <v>21</v>
      </c>
      <c r="I74" s="2">
        <v>3347</v>
      </c>
      <c r="J74" s="2">
        <f>I74-'Controls-Split'!$D$5</f>
        <v>0</v>
      </c>
      <c r="K74" s="1">
        <f>J74/'Controls-Split'!$C$5</f>
        <v>0</v>
      </c>
      <c r="L74" s="1" t="str">
        <f>IF(K74&gt;'Controls-Split'!$I$5,"Pos","Neg")</f>
        <v>Neg</v>
      </c>
      <c r="M74" s="17">
        <v>2</v>
      </c>
      <c r="N74" s="23" t="s">
        <v>24</v>
      </c>
      <c r="O74" s="23" t="s">
        <v>23</v>
      </c>
      <c r="P74">
        <v>973</v>
      </c>
      <c r="Q74" s="19">
        <f>P74/'Controls-Split'!$D$29</f>
        <v>0.78913219789132194</v>
      </c>
      <c r="R74" s="1" t="str">
        <f>IF(Q74&gt;'Controls-Split'!$J$29,"Pos","Neg")</f>
        <v>Neg</v>
      </c>
      <c r="S74">
        <v>6</v>
      </c>
    </row>
    <row r="75" spans="1:19" x14ac:dyDescent="0.2">
      <c r="A75" t="s">
        <v>29</v>
      </c>
      <c r="B75" t="s">
        <v>77</v>
      </c>
      <c r="C75" s="6" t="s">
        <v>20</v>
      </c>
      <c r="D75" t="s">
        <v>19</v>
      </c>
      <c r="E75">
        <v>3.7999999999999999E-2</v>
      </c>
      <c r="F75" s="7">
        <v>2</v>
      </c>
      <c r="G75" s="16" t="s">
        <v>22</v>
      </c>
      <c r="H75" s="1" t="s">
        <v>21</v>
      </c>
      <c r="I75" s="2">
        <v>2966</v>
      </c>
      <c r="J75" s="2">
        <f>I75-'Controls-Split'!$D$5</f>
        <v>-381</v>
      </c>
      <c r="K75" s="1">
        <f>J75/'Controls-Split'!$C$5</f>
        <v>-9.9973760167934925E-3</v>
      </c>
      <c r="L75" s="1" t="str">
        <f>IF(K75&gt;'Controls-Split'!$I$5,"Pos","Neg")</f>
        <v>Neg</v>
      </c>
      <c r="M75" s="17">
        <v>2</v>
      </c>
      <c r="N75" t="s">
        <v>24</v>
      </c>
      <c r="O75" t="s">
        <v>23</v>
      </c>
      <c r="P75">
        <v>1018</v>
      </c>
      <c r="Q75" s="19">
        <f>P75/'Controls-Split'!$D$33</f>
        <v>0.39580093312597203</v>
      </c>
      <c r="R75" s="1" t="str">
        <f>IF(Q75&gt;'Controls-Split'!$J$33,"Pos","Neg")</f>
        <v>Neg</v>
      </c>
      <c r="S75">
        <v>10</v>
      </c>
    </row>
    <row r="76" spans="1:19" x14ac:dyDescent="0.2">
      <c r="A76" t="s">
        <v>29</v>
      </c>
      <c r="B76" t="s">
        <v>60</v>
      </c>
      <c r="C76" s="6" t="s">
        <v>20</v>
      </c>
      <c r="D76" t="s">
        <v>23</v>
      </c>
      <c r="E76">
        <v>3.5999999999999997E-2</v>
      </c>
      <c r="F76" s="7">
        <v>2</v>
      </c>
      <c r="G76" s="16" t="s">
        <v>22</v>
      </c>
      <c r="H76" s="1" t="s">
        <v>21</v>
      </c>
      <c r="I76" s="2">
        <v>2915</v>
      </c>
      <c r="J76" s="2">
        <f>I76-'Controls-Split'!$D$5</f>
        <v>-432</v>
      </c>
      <c r="K76" s="1">
        <f>J76/'Controls-Split'!$C$5</f>
        <v>-1.1335607452112307E-2</v>
      </c>
      <c r="L76" s="1" t="str">
        <f>IF(K76&gt;'Controls-Split'!$I$5,"Pos","Neg")</f>
        <v>Neg</v>
      </c>
      <c r="M76" s="17">
        <v>2</v>
      </c>
      <c r="N76" t="s">
        <v>24</v>
      </c>
      <c r="O76" t="s">
        <v>23</v>
      </c>
      <c r="P76">
        <v>1305</v>
      </c>
      <c r="Q76" s="19">
        <f>P76/'Controls-Split'!$D$33</f>
        <v>0.50738724727838258</v>
      </c>
      <c r="R76" s="1" t="str">
        <f>IF(Q76&gt;'Controls-Split'!$J$33,"Pos","Neg")</f>
        <v>Neg</v>
      </c>
      <c r="S76">
        <v>10</v>
      </c>
    </row>
    <row r="77" spans="1:19" x14ac:dyDescent="0.2">
      <c r="A77" t="s">
        <v>29</v>
      </c>
      <c r="B77" t="s">
        <v>47</v>
      </c>
      <c r="C77" s="6" t="s">
        <v>20</v>
      </c>
      <c r="D77" t="s">
        <v>23</v>
      </c>
      <c r="E77">
        <v>2.9000000000000001E-2</v>
      </c>
      <c r="F77" s="7">
        <v>2</v>
      </c>
      <c r="G77" s="16" t="s">
        <v>22</v>
      </c>
      <c r="H77" s="1" t="s">
        <v>21</v>
      </c>
      <c r="I77" s="2">
        <v>3791</v>
      </c>
      <c r="J77" s="2">
        <f>I77-'Controls-Split'!$D$5</f>
        <v>444</v>
      </c>
      <c r="K77" s="1">
        <f>J77/'Controls-Split'!$C$5</f>
        <v>1.1650485436893204E-2</v>
      </c>
      <c r="L77" s="1" t="str">
        <f>IF(K77&gt;'Controls-Split'!$I$5,"Pos","Neg")</f>
        <v>Neg</v>
      </c>
      <c r="M77" s="17">
        <v>2</v>
      </c>
      <c r="N77" t="s">
        <v>24</v>
      </c>
      <c r="O77" t="s">
        <v>23</v>
      </c>
      <c r="P77">
        <v>3127</v>
      </c>
      <c r="Q77" s="19">
        <f>P77/'Controls-Split'!$D$33</f>
        <v>1.2157853810264385</v>
      </c>
      <c r="R77" s="1" t="str">
        <f>IF(Q77&gt;'Controls-Split'!$J$33,"Pos","Neg")</f>
        <v>Neg</v>
      </c>
      <c r="S77">
        <v>10</v>
      </c>
    </row>
    <row r="78" spans="1:19" x14ac:dyDescent="0.2">
      <c r="A78" t="s">
        <v>29</v>
      </c>
      <c r="B78" t="s">
        <v>78</v>
      </c>
      <c r="C78" s="6" t="s">
        <v>20</v>
      </c>
      <c r="D78" t="s">
        <v>23</v>
      </c>
      <c r="E78">
        <v>0.04</v>
      </c>
      <c r="F78" s="7">
        <v>2</v>
      </c>
      <c r="G78" s="16" t="s">
        <v>22</v>
      </c>
      <c r="H78" s="1" t="s">
        <v>21</v>
      </c>
      <c r="I78" s="2">
        <v>3682</v>
      </c>
      <c r="J78" s="2">
        <f>I78-'Controls-Split'!$D$5</f>
        <v>335</v>
      </c>
      <c r="K78" s="1">
        <f>J78/'Controls-Split'!$C$5</f>
        <v>8.7903437418000527E-3</v>
      </c>
      <c r="L78" s="1" t="str">
        <f>IF(K78&gt;'Controls-Split'!$I$5,"Pos","Neg")</f>
        <v>Neg</v>
      </c>
      <c r="M78" s="17">
        <v>2</v>
      </c>
      <c r="N78" t="s">
        <v>24</v>
      </c>
      <c r="O78" t="s">
        <v>23</v>
      </c>
      <c r="P78">
        <v>1568</v>
      </c>
      <c r="Q78" s="19">
        <f>P78/'Controls-Split'!$D$33</f>
        <v>0.60964230171073097</v>
      </c>
      <c r="R78" s="1" t="str">
        <f>IF(Q78&gt;'Controls-Split'!$J$33,"Pos","Neg")</f>
        <v>Neg</v>
      </c>
      <c r="S78">
        <v>10</v>
      </c>
    </row>
    <row r="79" spans="1:19" x14ac:dyDescent="0.2">
      <c r="A79" t="s">
        <v>79</v>
      </c>
      <c r="B79" t="s">
        <v>58</v>
      </c>
      <c r="C79" s="6" t="s">
        <v>23</v>
      </c>
      <c r="D79" t="s">
        <v>20</v>
      </c>
      <c r="E79">
        <v>3.7999999999999999E-2</v>
      </c>
      <c r="F79" s="7">
        <v>2</v>
      </c>
      <c r="G79" s="16" t="s">
        <v>21</v>
      </c>
      <c r="H79" s="1" t="s">
        <v>22</v>
      </c>
      <c r="I79" s="2">
        <v>5303</v>
      </c>
      <c r="J79" s="2">
        <f>I79-'Controls-Split'!$D$5</f>
        <v>1956</v>
      </c>
      <c r="K79" s="1">
        <f>J79/'Controls-Split'!$C$5</f>
        <v>5.1325111519286273E-2</v>
      </c>
      <c r="L79" s="1" t="str">
        <f>IF(K79&gt;'Controls-Split'!$I$5,"Pos","Neg")</f>
        <v>Neg</v>
      </c>
      <c r="M79" s="17">
        <v>2</v>
      </c>
      <c r="N79" t="s">
        <v>23</v>
      </c>
      <c r="O79" t="s">
        <v>24</v>
      </c>
      <c r="P79">
        <v>1288</v>
      </c>
      <c r="Q79" s="19">
        <f>P79/'Controls-Split'!$D$31</f>
        <v>0.47756766777901372</v>
      </c>
      <c r="R79" s="1" t="str">
        <f>IF(Q79&gt;'Controls-Split'!$J$31,"Pos","Neg")</f>
        <v>Neg</v>
      </c>
      <c r="S79">
        <v>8</v>
      </c>
    </row>
    <row r="80" spans="1:19" x14ac:dyDescent="0.2">
      <c r="A80" t="s">
        <v>80</v>
      </c>
      <c r="B80" t="s">
        <v>42</v>
      </c>
      <c r="C80" s="6" t="s">
        <v>23</v>
      </c>
      <c r="D80" t="s">
        <v>20</v>
      </c>
      <c r="E80">
        <v>2.9000000000000001E-2</v>
      </c>
      <c r="F80" s="7">
        <v>2</v>
      </c>
      <c r="G80" s="16" t="s">
        <v>21</v>
      </c>
      <c r="H80" s="1" t="s">
        <v>22</v>
      </c>
      <c r="I80" s="2">
        <v>3384</v>
      </c>
      <c r="J80" s="2">
        <f>I80-'Controls-Split'!$D$5</f>
        <v>37</v>
      </c>
      <c r="K80" s="1">
        <f>J80/'Controls-Split'!$C$5</f>
        <v>9.7087378640776695E-4</v>
      </c>
      <c r="L80" s="1" t="str">
        <f>IF(K80&gt;'Controls-Split'!$I$5,"Pos","Neg")</f>
        <v>Neg</v>
      </c>
      <c r="M80" s="17">
        <v>2</v>
      </c>
      <c r="N80" t="s">
        <v>23</v>
      </c>
      <c r="O80" t="s">
        <v>24</v>
      </c>
      <c r="P80">
        <v>2345</v>
      </c>
      <c r="Q80" s="19">
        <f>P80/'Controls-Split'!$D$32</f>
        <v>0.94442207007652035</v>
      </c>
      <c r="R80" s="1" t="str">
        <f>IF(Q80&gt;'Controls-Split'!$J$32,"Pos","Neg")</f>
        <v>Neg</v>
      </c>
      <c r="S80">
        <v>9</v>
      </c>
    </row>
    <row r="81" spans="1:19" x14ac:dyDescent="0.2">
      <c r="A81" t="s">
        <v>42</v>
      </c>
      <c r="B81" t="s">
        <v>42</v>
      </c>
      <c r="C81" s="6" t="s">
        <v>23</v>
      </c>
      <c r="D81" t="s">
        <v>20</v>
      </c>
      <c r="E81">
        <v>4.4999999999999998E-2</v>
      </c>
      <c r="F81" s="7">
        <v>2</v>
      </c>
      <c r="G81" s="16" t="s">
        <v>21</v>
      </c>
      <c r="H81" s="1" t="s">
        <v>22</v>
      </c>
      <c r="I81" s="2">
        <v>4393</v>
      </c>
      <c r="J81" s="2">
        <f>I81-'Controls-Split'!$D$5</f>
        <v>1046</v>
      </c>
      <c r="K81" s="1">
        <f>J81/'Controls-Split'!$C$5</f>
        <v>2.7446864340068225E-2</v>
      </c>
      <c r="L81" s="1" t="str">
        <f>IF(K81&gt;'Controls-Split'!$I$5,"Pos","Neg")</f>
        <v>Neg</v>
      </c>
      <c r="M81" s="17">
        <v>2</v>
      </c>
      <c r="N81" t="s">
        <v>23</v>
      </c>
      <c r="O81" t="s">
        <v>24</v>
      </c>
      <c r="P81">
        <v>3391</v>
      </c>
      <c r="Q81" s="19">
        <f>P81/'Controls-Split'!$D$32</f>
        <v>1.3656866693515908</v>
      </c>
      <c r="R81" s="1" t="str">
        <f>IF(Q81&gt;'Controls-Split'!$J$32,"Pos","Neg")</f>
        <v>Neg</v>
      </c>
      <c r="S81">
        <v>9</v>
      </c>
    </row>
    <row r="82" spans="1:19" x14ac:dyDescent="0.2">
      <c r="A82" t="s">
        <v>81</v>
      </c>
      <c r="B82" t="s">
        <v>67</v>
      </c>
      <c r="C82" s="6" t="s">
        <v>20</v>
      </c>
      <c r="D82" t="s">
        <v>23</v>
      </c>
      <c r="E82">
        <v>0.03</v>
      </c>
      <c r="F82" s="7">
        <v>2</v>
      </c>
      <c r="G82" s="16" t="s">
        <v>22</v>
      </c>
      <c r="H82" s="1" t="s">
        <v>21</v>
      </c>
      <c r="I82" s="2">
        <v>4220</v>
      </c>
      <c r="J82" s="2">
        <f>I82-'Controls-Split'!$D$5</f>
        <v>873</v>
      </c>
      <c r="K82" s="1">
        <f>J82/'Controls-Split'!$C$5</f>
        <v>2.2907373392810286E-2</v>
      </c>
      <c r="L82" s="1" t="str">
        <f>IF(K82&gt;'Controls-Split'!$I$5,"Pos","Neg")</f>
        <v>Neg</v>
      </c>
      <c r="M82" s="17">
        <v>2</v>
      </c>
      <c r="N82" s="23" t="s">
        <v>24</v>
      </c>
      <c r="O82" s="23" t="s">
        <v>23</v>
      </c>
      <c r="P82">
        <v>5576</v>
      </c>
      <c r="Q82" s="19">
        <f>P82/'Controls-Split'!$D$30</f>
        <v>4.295839753466872</v>
      </c>
      <c r="R82" s="1" t="str">
        <f>IF(Q82&gt;'Controls-Split'!$J$30,"Pos","Neg")</f>
        <v>Pos</v>
      </c>
      <c r="S82">
        <v>7</v>
      </c>
    </row>
    <row r="83" spans="1:19" x14ac:dyDescent="0.2">
      <c r="A83" t="s">
        <v>32</v>
      </c>
      <c r="B83" t="s">
        <v>32</v>
      </c>
      <c r="C83" s="6" t="s">
        <v>23</v>
      </c>
      <c r="D83" t="s">
        <v>20</v>
      </c>
      <c r="E83">
        <v>0.08</v>
      </c>
      <c r="F83" s="7">
        <v>2</v>
      </c>
      <c r="G83" s="16" t="s">
        <v>21</v>
      </c>
      <c r="H83" s="1" t="s">
        <v>22</v>
      </c>
      <c r="I83" s="2">
        <v>2562</v>
      </c>
      <c r="J83" s="2">
        <f>I83-'Controls-Split'!$D$6</f>
        <v>1819</v>
      </c>
      <c r="K83" s="1">
        <f>J83/'Controls-Split'!$C$6</f>
        <v>3.993501503874948E-2</v>
      </c>
      <c r="L83" s="1" t="str">
        <f>IF(K83&gt;'Controls-Split'!$I$6,"Pos","Neg")</f>
        <v>Pos</v>
      </c>
      <c r="M83" s="17">
        <v>3</v>
      </c>
      <c r="N83" t="s">
        <v>23</v>
      </c>
      <c r="O83" t="s">
        <v>24</v>
      </c>
      <c r="P83">
        <v>841</v>
      </c>
      <c r="Q83" s="19">
        <f>P83/'Controls-Split'!$D$29</f>
        <v>0.68207623682076235</v>
      </c>
      <c r="R83" s="1" t="str">
        <f>IF(Q83&gt;'Controls-Split'!$J$29,"Pos","Neg")</f>
        <v>Neg</v>
      </c>
      <c r="S83">
        <v>6</v>
      </c>
    </row>
    <row r="84" spans="1:19" x14ac:dyDescent="0.2">
      <c r="A84" t="s">
        <v>32</v>
      </c>
      <c r="B84" t="s">
        <v>30</v>
      </c>
      <c r="C84" s="6" t="s">
        <v>26</v>
      </c>
      <c r="D84" t="s">
        <v>23</v>
      </c>
      <c r="E84">
        <v>3.5999999999999997E-2</v>
      </c>
      <c r="F84" s="7">
        <v>1</v>
      </c>
      <c r="G84" s="16" t="s">
        <v>22</v>
      </c>
      <c r="H84" s="1" t="s">
        <v>21</v>
      </c>
      <c r="I84" s="2">
        <v>1517</v>
      </c>
      <c r="J84" s="2">
        <f>I84-'Controls-Split'!$D$6</f>
        <v>774</v>
      </c>
      <c r="K84" s="1">
        <f>J84/'Controls-Split'!$C$6</f>
        <v>1.6992689191859315E-2</v>
      </c>
      <c r="L84" s="1" t="str">
        <f>IF(K84&gt;'Controls-Split'!$I$6,"Pos","Neg")</f>
        <v>Neg</v>
      </c>
      <c r="M84" s="17">
        <v>3</v>
      </c>
      <c r="N84" s="23" t="s">
        <v>24</v>
      </c>
      <c r="O84" s="23" t="s">
        <v>23</v>
      </c>
      <c r="P84">
        <v>961</v>
      </c>
      <c r="Q84" s="19">
        <f>P84/'Controls-Split'!$D$29</f>
        <v>0.77939983779399835</v>
      </c>
      <c r="R84" s="1" t="str">
        <f>IF(Q84&gt;'Controls-Split'!$J$29,"Pos","Neg")</f>
        <v>Neg</v>
      </c>
      <c r="S84">
        <v>6</v>
      </c>
    </row>
    <row r="85" spans="1:19" x14ac:dyDescent="0.2">
      <c r="A85" t="s">
        <v>32</v>
      </c>
      <c r="B85" t="s">
        <v>82</v>
      </c>
      <c r="C85" s="6" t="s">
        <v>26</v>
      </c>
      <c r="D85" t="s">
        <v>23</v>
      </c>
      <c r="E85">
        <v>5.0999999999999997E-2</v>
      </c>
      <c r="F85" s="7">
        <v>2</v>
      </c>
      <c r="G85" s="16" t="s">
        <v>22</v>
      </c>
      <c r="H85" s="1" t="s">
        <v>21</v>
      </c>
      <c r="I85" s="2">
        <v>1338</v>
      </c>
      <c r="J85" s="2">
        <f>I85-'Controls-Split'!$D$6</f>
        <v>595</v>
      </c>
      <c r="K85" s="1">
        <f>J85/'Controls-Split'!$C$6</f>
        <v>1.3062855386506839E-2</v>
      </c>
      <c r="L85" s="1" t="str">
        <f>IF(K85&gt;'Controls-Split'!$I$6,"Pos","Neg")</f>
        <v>Neg</v>
      </c>
      <c r="M85" s="17">
        <v>3</v>
      </c>
      <c r="N85" s="23" t="s">
        <v>24</v>
      </c>
      <c r="O85" s="23" t="s">
        <v>23</v>
      </c>
      <c r="P85">
        <v>1244</v>
      </c>
      <c r="Q85" s="19">
        <f>P85/'Controls-Split'!$D$29</f>
        <v>1.0089213300892133</v>
      </c>
      <c r="R85" s="1" t="str">
        <f>IF(Q85&gt;'Controls-Split'!$J$29,"Pos","Neg")</f>
        <v>Neg</v>
      </c>
      <c r="S85">
        <v>6</v>
      </c>
    </row>
    <row r="86" spans="1:19" x14ac:dyDescent="0.2">
      <c r="A86" t="s">
        <v>32</v>
      </c>
      <c r="B86" t="s">
        <v>47</v>
      </c>
      <c r="C86" s="6" t="s">
        <v>26</v>
      </c>
      <c r="D86" t="s">
        <v>23</v>
      </c>
      <c r="E86">
        <v>3.1E-2</v>
      </c>
      <c r="F86" s="7">
        <v>2</v>
      </c>
      <c r="G86" s="16" t="s">
        <v>22</v>
      </c>
      <c r="H86" s="1" t="s">
        <v>21</v>
      </c>
      <c r="I86" s="2">
        <v>1417</v>
      </c>
      <c r="J86" s="2">
        <f>I86-'Controls-Split'!$D$6</f>
        <v>674</v>
      </c>
      <c r="K86" s="1">
        <f>J86/'Controls-Split'!$C$6</f>
        <v>1.4797251311774133E-2</v>
      </c>
      <c r="L86" s="1" t="str">
        <f>IF(K86&gt;'Controls-Split'!$I$6,"Pos","Neg")</f>
        <v>Neg</v>
      </c>
      <c r="M86" s="17">
        <v>3</v>
      </c>
      <c r="N86" s="23" t="s">
        <v>24</v>
      </c>
      <c r="O86" s="23" t="s">
        <v>23</v>
      </c>
      <c r="P86">
        <v>1301</v>
      </c>
      <c r="Q86" s="19">
        <f>P86/'Controls-Split'!$D$29</f>
        <v>1.0551500405515004</v>
      </c>
      <c r="R86" s="1" t="str">
        <f>IF(Q86&gt;'Controls-Split'!$J$29,"Pos","Neg")</f>
        <v>Neg</v>
      </c>
      <c r="S86">
        <v>6</v>
      </c>
    </row>
    <row r="87" spans="1:19" x14ac:dyDescent="0.2">
      <c r="A87" t="s">
        <v>32</v>
      </c>
      <c r="B87" t="s">
        <v>78</v>
      </c>
      <c r="C87" s="6" t="s">
        <v>26</v>
      </c>
      <c r="D87" t="s">
        <v>23</v>
      </c>
      <c r="E87">
        <v>3.7999999999999999E-2</v>
      </c>
      <c r="F87" s="7">
        <v>2</v>
      </c>
      <c r="G87" s="16" t="s">
        <v>22</v>
      </c>
      <c r="H87" s="1" t="s">
        <v>21</v>
      </c>
      <c r="I87" s="2">
        <v>1052</v>
      </c>
      <c r="J87" s="2">
        <f>I87-'Controls-Split'!$D$6</f>
        <v>309</v>
      </c>
      <c r="K87" s="1">
        <f>J87/'Controls-Split'!$C$6</f>
        <v>6.7839030494632156E-3</v>
      </c>
      <c r="L87" s="1" t="str">
        <f>IF(K87&gt;'Controls-Split'!$I$6,"Pos","Neg")</f>
        <v>Neg</v>
      </c>
      <c r="M87" s="17">
        <v>3</v>
      </c>
      <c r="N87" s="23" t="s">
        <v>24</v>
      </c>
      <c r="O87" s="23" t="s">
        <v>23</v>
      </c>
      <c r="P87">
        <v>1027</v>
      </c>
      <c r="Q87" s="19">
        <f>P87/'Controls-Split'!$D$29</f>
        <v>0.8329278183292782</v>
      </c>
      <c r="R87" s="1" t="str">
        <f>IF(Q87&gt;'Controls-Split'!$J$29,"Pos","Neg")</f>
        <v>Neg</v>
      </c>
      <c r="S87">
        <v>6</v>
      </c>
    </row>
    <row r="88" spans="1:19" x14ac:dyDescent="0.2">
      <c r="A88" t="s">
        <v>32</v>
      </c>
      <c r="B88" t="s">
        <v>42</v>
      </c>
      <c r="C88" s="6" t="s">
        <v>26</v>
      </c>
      <c r="D88" t="s">
        <v>19</v>
      </c>
      <c r="E88">
        <v>3.5999999999999997E-2</v>
      </c>
      <c r="F88" s="7">
        <v>1</v>
      </c>
      <c r="G88" s="16" t="s">
        <v>22</v>
      </c>
      <c r="H88" s="1" t="s">
        <v>21</v>
      </c>
      <c r="I88" s="2">
        <v>1410</v>
      </c>
      <c r="J88" s="2">
        <f>I88-'Controls-Split'!$D$6</f>
        <v>667</v>
      </c>
      <c r="K88" s="1">
        <f>J88/'Controls-Split'!$C$6</f>
        <v>1.464357066016817E-2</v>
      </c>
      <c r="L88" s="1" t="str">
        <f>IF(K88&gt;'Controls-Split'!$I$6,"Pos","Neg")</f>
        <v>Neg</v>
      </c>
      <c r="M88" s="17">
        <v>3</v>
      </c>
      <c r="N88" t="s">
        <v>24</v>
      </c>
      <c r="O88" t="s">
        <v>23</v>
      </c>
      <c r="P88">
        <v>1087</v>
      </c>
      <c r="Q88" s="19">
        <f>P88/'Controls-Split'!$D$29</f>
        <v>0.88158961881589615</v>
      </c>
      <c r="R88" s="1" t="str">
        <f>IF(Q88&gt;'Controls-Split'!$J$29,"Pos","Neg")</f>
        <v>Neg</v>
      </c>
      <c r="S88">
        <v>6</v>
      </c>
    </row>
    <row r="89" spans="1:19" x14ac:dyDescent="0.2">
      <c r="A89" t="s">
        <v>40</v>
      </c>
      <c r="B89" t="s">
        <v>50</v>
      </c>
      <c r="C89" s="6" t="s">
        <v>26</v>
      </c>
      <c r="D89" t="s">
        <v>19</v>
      </c>
      <c r="E89">
        <v>5.2999999999999999E-2</v>
      </c>
      <c r="F89" s="7">
        <v>1</v>
      </c>
      <c r="G89" s="16" t="s">
        <v>22</v>
      </c>
      <c r="H89" s="1" t="s">
        <v>21</v>
      </c>
      <c r="I89" s="2">
        <v>9533</v>
      </c>
      <c r="J89" s="2">
        <f>I89-'Controls-Split'!$D$6</f>
        <v>8790</v>
      </c>
      <c r="K89" s="1">
        <f>J89/'Controls-Split'!$C$6</f>
        <v>0.19297898965948759</v>
      </c>
      <c r="L89" s="1" t="str">
        <f>IF(K89&gt;'Controls-Split'!$I$6,"Pos","Neg")</f>
        <v>Pos</v>
      </c>
      <c r="M89" s="17">
        <v>3</v>
      </c>
      <c r="N89" t="s">
        <v>24</v>
      </c>
      <c r="O89" t="s">
        <v>23</v>
      </c>
      <c r="P89">
        <v>840</v>
      </c>
      <c r="Q89" s="19">
        <f>P89/'Controls-Split'!$D$35</f>
        <v>0.57573680603152844</v>
      </c>
      <c r="R89" s="1" t="str">
        <f>IF(Q89&gt;'Controls-Split'!$J$35,"Pos","Neg")</f>
        <v>Neg</v>
      </c>
      <c r="S89">
        <v>12</v>
      </c>
    </row>
    <row r="90" spans="1:19" x14ac:dyDescent="0.2">
      <c r="A90" t="s">
        <v>40</v>
      </c>
      <c r="B90" t="s">
        <v>40</v>
      </c>
      <c r="C90" s="6" t="s">
        <v>19</v>
      </c>
      <c r="D90" t="s">
        <v>20</v>
      </c>
      <c r="E90">
        <v>0.193</v>
      </c>
      <c r="F90" s="7">
        <v>2</v>
      </c>
      <c r="G90" s="16" t="s">
        <v>21</v>
      </c>
      <c r="H90" s="1" t="s">
        <v>22</v>
      </c>
      <c r="I90" s="2">
        <v>38448</v>
      </c>
      <c r="J90" s="2">
        <f>I90-'Controls-Split'!$D$6</f>
        <v>37705</v>
      </c>
      <c r="K90" s="1">
        <f>J90/'Controls-Split'!$C$6</f>
        <v>0.82778985268611827</v>
      </c>
      <c r="L90" s="1" t="str">
        <f>IF(K90&gt;'Controls-Split'!$I$6,"Pos","Neg")</f>
        <v>Pos</v>
      </c>
      <c r="M90" s="17">
        <v>3</v>
      </c>
      <c r="N90" t="s">
        <v>23</v>
      </c>
      <c r="O90" t="s">
        <v>24</v>
      </c>
      <c r="P90">
        <v>1403</v>
      </c>
      <c r="Q90" s="19">
        <f>P90/'Controls-Split'!$D$28</f>
        <v>0.93783422459893051</v>
      </c>
      <c r="R90" s="1" t="str">
        <f>IF(Q90&gt;'Controls-Split'!$J$28,"Pos","Neg")</f>
        <v>Neg</v>
      </c>
      <c r="S90">
        <v>5</v>
      </c>
    </row>
    <row r="91" spans="1:19" x14ac:dyDescent="0.2">
      <c r="A91" t="s">
        <v>40</v>
      </c>
      <c r="B91" t="s">
        <v>83</v>
      </c>
      <c r="C91" s="6" t="s">
        <v>20</v>
      </c>
      <c r="D91" t="s">
        <v>23</v>
      </c>
      <c r="E91">
        <v>2.7E-2</v>
      </c>
      <c r="F91" s="7">
        <v>2</v>
      </c>
      <c r="G91" s="16" t="s">
        <v>22</v>
      </c>
      <c r="H91" s="1" t="s">
        <v>21</v>
      </c>
      <c r="I91" s="2">
        <v>3229</v>
      </c>
      <c r="J91" s="2">
        <f>I91-'Controls-Split'!$D$6</f>
        <v>2486</v>
      </c>
      <c r="K91" s="1">
        <f>J91/'Controls-Split'!$C$6</f>
        <v>5.4578585698917652E-2</v>
      </c>
      <c r="L91" s="1" t="str">
        <f>IF(K91&gt;'Controls-Split'!$I$6,"Pos","Neg")</f>
        <v>Pos</v>
      </c>
      <c r="M91" s="17">
        <v>3</v>
      </c>
      <c r="N91" s="23" t="s">
        <v>24</v>
      </c>
      <c r="O91" s="23" t="s">
        <v>23</v>
      </c>
      <c r="P91">
        <v>1468</v>
      </c>
      <c r="Q91" s="19">
        <f>P91/'Controls-Split'!$D$28</f>
        <v>0.98128342245989308</v>
      </c>
      <c r="R91" s="1" t="str">
        <f>IF(Q91&gt;'Controls-Split'!$J$28,"Pos","Neg")</f>
        <v>Neg</v>
      </c>
      <c r="S91">
        <v>5</v>
      </c>
    </row>
    <row r="92" spans="1:19" x14ac:dyDescent="0.2">
      <c r="A92" t="s">
        <v>56</v>
      </c>
      <c r="B92" t="s">
        <v>74</v>
      </c>
      <c r="C92" s="6" t="s">
        <v>20</v>
      </c>
      <c r="D92" t="s">
        <v>23</v>
      </c>
      <c r="E92">
        <v>2.9000000000000001E-2</v>
      </c>
      <c r="F92" s="7">
        <v>2</v>
      </c>
      <c r="G92" s="16" t="s">
        <v>22</v>
      </c>
      <c r="H92" s="1" t="s">
        <v>21</v>
      </c>
      <c r="I92" s="2">
        <v>1169</v>
      </c>
      <c r="J92" s="2">
        <f>I92-'Controls-Split'!$D$6</f>
        <v>426</v>
      </c>
      <c r="K92" s="1">
        <f>J92/'Controls-Split'!$C$6</f>
        <v>9.3525653691628793E-3</v>
      </c>
      <c r="L92" s="1" t="str">
        <f>IF(K92&gt;'Controls-Split'!$I$6,"Pos","Neg")</f>
        <v>Neg</v>
      </c>
      <c r="M92" s="17">
        <v>3</v>
      </c>
      <c r="N92" s="23" t="s">
        <v>24</v>
      </c>
      <c r="O92" s="23" t="s">
        <v>23</v>
      </c>
      <c r="P92">
        <v>893</v>
      </c>
      <c r="Q92" s="19">
        <f>P92/'Controls-Split'!$D$28</f>
        <v>0.59692513368983957</v>
      </c>
      <c r="R92" s="1" t="str">
        <f>IF(Q92&gt;'Controls-Split'!$J$28,"Pos","Neg")</f>
        <v>Neg</v>
      </c>
      <c r="S92">
        <v>5</v>
      </c>
    </row>
    <row r="93" spans="1:19" x14ac:dyDescent="0.2">
      <c r="A93" t="s">
        <v>56</v>
      </c>
      <c r="B93" t="s">
        <v>40</v>
      </c>
      <c r="C93" s="6" t="s">
        <v>23</v>
      </c>
      <c r="D93" t="s">
        <v>26</v>
      </c>
      <c r="E93">
        <v>0.109</v>
      </c>
      <c r="F93" s="7">
        <v>2</v>
      </c>
      <c r="G93" s="16" t="s">
        <v>21</v>
      </c>
      <c r="H93" s="1" t="s">
        <v>22</v>
      </c>
      <c r="I93" s="2">
        <v>13473</v>
      </c>
      <c r="J93" s="2">
        <f>I93-'Controls-Split'!$D$6</f>
        <v>12730</v>
      </c>
      <c r="K93" s="1">
        <f>J93/'Controls-Split'!$C$6</f>
        <v>0.27947924213484382</v>
      </c>
      <c r="L93" s="1" t="str">
        <f>IF(K93&gt;'Controls-Split'!$I$6,"Pos","Neg")</f>
        <v>Pos</v>
      </c>
      <c r="M93" s="17">
        <v>3</v>
      </c>
      <c r="N93" t="s">
        <v>23</v>
      </c>
      <c r="O93" t="s">
        <v>24</v>
      </c>
      <c r="P93">
        <v>1680</v>
      </c>
      <c r="Q93" s="19">
        <f>P93/'Controls-Split'!$D$28</f>
        <v>1.1229946524064172</v>
      </c>
      <c r="R93" s="1" t="str">
        <f>IF(Q93&gt;'Controls-Split'!$J$28,"Pos","Neg")</f>
        <v>Neg</v>
      </c>
      <c r="S93">
        <v>5</v>
      </c>
    </row>
    <row r="94" spans="1:19" x14ac:dyDescent="0.2">
      <c r="A94" t="s">
        <v>56</v>
      </c>
      <c r="B94" t="s">
        <v>56</v>
      </c>
      <c r="C94" s="6" t="s">
        <v>23</v>
      </c>
      <c r="D94" t="s">
        <v>20</v>
      </c>
      <c r="E94">
        <v>8.8999999999999996E-2</v>
      </c>
      <c r="F94" s="7">
        <v>2</v>
      </c>
      <c r="G94" s="16" t="s">
        <v>21</v>
      </c>
      <c r="H94" s="1" t="s">
        <v>22</v>
      </c>
      <c r="I94" s="2">
        <v>9436</v>
      </c>
      <c r="J94" s="2">
        <f>I94-'Controls-Split'!$D$6</f>
        <v>8693</v>
      </c>
      <c r="K94" s="1">
        <f>J94/'Controls-Split'!$C$6</f>
        <v>0.19084941491580495</v>
      </c>
      <c r="L94" s="1" t="str">
        <f>IF(K94&gt;'Controls-Split'!$I$6,"Pos","Neg")</f>
        <v>Pos</v>
      </c>
      <c r="M94" s="17">
        <v>3</v>
      </c>
      <c r="N94" t="s">
        <v>23</v>
      </c>
      <c r="O94" t="s">
        <v>24</v>
      </c>
      <c r="P94">
        <v>1166</v>
      </c>
      <c r="Q94" s="19">
        <f>P94/'Controls-Split'!$D$28</f>
        <v>0.77941176470588236</v>
      </c>
      <c r="R94" s="1" t="str">
        <f>IF(Q94&gt;'Controls-Split'!$J$28,"Pos","Neg")</f>
        <v>Neg</v>
      </c>
      <c r="S94">
        <v>5</v>
      </c>
    </row>
    <row r="95" spans="1:19" x14ac:dyDescent="0.2">
      <c r="A95" t="s">
        <v>56</v>
      </c>
      <c r="B95" t="s">
        <v>84</v>
      </c>
      <c r="C95" s="6" t="s">
        <v>20</v>
      </c>
      <c r="D95" t="s">
        <v>23</v>
      </c>
      <c r="E95">
        <v>2.7E-2</v>
      </c>
      <c r="F95" s="7">
        <v>2</v>
      </c>
      <c r="G95" s="16" t="s">
        <v>22</v>
      </c>
      <c r="H95" s="1" t="s">
        <v>21</v>
      </c>
      <c r="I95" s="2">
        <v>1669</v>
      </c>
      <c r="J95" s="2">
        <f>I95-'Controls-Split'!D6</f>
        <v>926</v>
      </c>
      <c r="K95" s="1">
        <f>J95/'Controls-Split'!C6</f>
        <v>2.0329754769588794E-2</v>
      </c>
      <c r="L95" s="1" t="str">
        <f>IF(K95&gt;'Controls-Split'!$I$6,"Pos","Neg")</f>
        <v>Neg</v>
      </c>
      <c r="M95" s="17">
        <v>3</v>
      </c>
      <c r="N95" s="23" t="s">
        <v>24</v>
      </c>
      <c r="O95" s="23" t="s">
        <v>23</v>
      </c>
      <c r="P95">
        <v>942</v>
      </c>
      <c r="Q95" s="19">
        <f>P95/'Controls-Split'!$D$28</f>
        <v>0.6296791443850267</v>
      </c>
      <c r="R95" s="1" t="str">
        <f>IF(Q95&gt;'Controls-Split'!$J$28,"Pos","Neg")</f>
        <v>Neg</v>
      </c>
      <c r="S95">
        <v>5</v>
      </c>
    </row>
    <row r="96" spans="1:19" x14ac:dyDescent="0.2">
      <c r="A96" t="s">
        <v>56</v>
      </c>
      <c r="B96" t="s">
        <v>85</v>
      </c>
      <c r="C96" s="6" t="s">
        <v>20</v>
      </c>
      <c r="D96" t="s">
        <v>23</v>
      </c>
      <c r="E96">
        <v>3.5999999999999997E-2</v>
      </c>
      <c r="F96" s="7">
        <v>2</v>
      </c>
      <c r="G96" s="16" t="s">
        <v>22</v>
      </c>
      <c r="H96" s="1" t="s">
        <v>21</v>
      </c>
      <c r="I96" s="2">
        <v>1764</v>
      </c>
      <c r="J96" s="2">
        <f>I96-'Controls-Split'!$D$6</f>
        <v>1021</v>
      </c>
      <c r="K96" s="1">
        <f>J96/'Controls-Split'!$C$6</f>
        <v>2.241542075566972E-2</v>
      </c>
      <c r="L96" s="1" t="str">
        <f>IF(K96&gt;'Controls-Split'!$I$6,"Pos","Neg")</f>
        <v>Neg</v>
      </c>
      <c r="M96" s="17">
        <v>3</v>
      </c>
      <c r="N96" s="23" t="s">
        <v>24</v>
      </c>
      <c r="O96" s="23" t="s">
        <v>23</v>
      </c>
      <c r="P96" s="23">
        <v>1567</v>
      </c>
      <c r="Q96" s="19">
        <f>P96/'Controls-Split'!$D$28</f>
        <v>1.0474598930481283</v>
      </c>
      <c r="R96" s="18" t="s">
        <v>71</v>
      </c>
      <c r="S96" s="23">
        <v>5</v>
      </c>
    </row>
    <row r="97" spans="1:19" x14ac:dyDescent="0.2">
      <c r="A97" t="s">
        <v>54</v>
      </c>
      <c r="B97" t="s">
        <v>54</v>
      </c>
      <c r="C97" s="6" t="s">
        <v>23</v>
      </c>
      <c r="D97" t="s">
        <v>20</v>
      </c>
      <c r="E97">
        <v>0.17699999999999999</v>
      </c>
      <c r="F97" s="7">
        <v>2</v>
      </c>
      <c r="G97" s="16" t="s">
        <v>21</v>
      </c>
      <c r="H97" s="1" t="s">
        <v>22</v>
      </c>
      <c r="I97" s="2">
        <v>8314</v>
      </c>
      <c r="J97" s="2">
        <f>I97-'Controls-Split'!$D$6</f>
        <v>7571</v>
      </c>
      <c r="K97" s="1">
        <f>J97/'Controls-Split'!$C$6</f>
        <v>0.16621660190124921</v>
      </c>
      <c r="L97" s="1" t="str">
        <f>IF(K97&gt;'Controls-Split'!$I$6,"Pos","Neg")</f>
        <v>Pos</v>
      </c>
      <c r="M97" s="17">
        <v>3</v>
      </c>
      <c r="N97" t="s">
        <v>23</v>
      </c>
      <c r="O97" t="s">
        <v>24</v>
      </c>
      <c r="P97">
        <v>65697</v>
      </c>
      <c r="Q97" s="19">
        <f>P97/'Controls-Split'!$D$27</f>
        <v>31.96934306569343</v>
      </c>
      <c r="R97" s="1" t="str">
        <f>IF(Q97&gt;'Controls-Split'!$J$27,"Pos","Neg")</f>
        <v>Pos</v>
      </c>
      <c r="S97">
        <v>4</v>
      </c>
    </row>
    <row r="98" spans="1:19" x14ac:dyDescent="0.2">
      <c r="A98" t="s">
        <v>86</v>
      </c>
      <c r="B98" t="s">
        <v>86</v>
      </c>
      <c r="C98" s="6" t="s">
        <v>23</v>
      </c>
      <c r="D98" t="s">
        <v>26</v>
      </c>
      <c r="E98">
        <v>5.0999999999999997E-2</v>
      </c>
      <c r="F98" s="7">
        <v>2</v>
      </c>
      <c r="G98" s="16" t="s">
        <v>21</v>
      </c>
      <c r="H98" s="1" t="s">
        <v>22</v>
      </c>
      <c r="I98" s="2">
        <v>1532</v>
      </c>
      <c r="J98" s="2">
        <f>I98-'Controls-Split'!$D$6</f>
        <v>789</v>
      </c>
      <c r="K98" s="1">
        <f>J98/'Controls-Split'!$C$6</f>
        <v>1.7322004873872095E-2</v>
      </c>
      <c r="L98" s="1" t="str">
        <f>IF(K98&gt;'Controls-Split'!$I$6,"Pos","Neg")</f>
        <v>Neg</v>
      </c>
      <c r="M98" s="17">
        <v>3</v>
      </c>
      <c r="N98" t="s">
        <v>23</v>
      </c>
      <c r="O98" t="s">
        <v>24</v>
      </c>
      <c r="P98">
        <v>23362</v>
      </c>
      <c r="Q98" s="19">
        <f>P98/'Controls-Split'!$D$27</f>
        <v>11.368369829683699</v>
      </c>
      <c r="R98" s="1" t="str">
        <f>IF(Q98&gt;'Controls-Split'!$J$27,"Pos","Neg")</f>
        <v>Pos</v>
      </c>
      <c r="S98">
        <v>4</v>
      </c>
    </row>
    <row r="99" spans="1:19" x14ac:dyDescent="0.2">
      <c r="A99" t="s">
        <v>29</v>
      </c>
      <c r="B99" t="s">
        <v>87</v>
      </c>
      <c r="C99" s="6" t="s">
        <v>19</v>
      </c>
      <c r="D99" t="s">
        <v>20</v>
      </c>
      <c r="E99">
        <v>3.5000000000000003E-2</v>
      </c>
      <c r="F99" s="7">
        <v>2</v>
      </c>
      <c r="G99" s="16" t="s">
        <v>21</v>
      </c>
      <c r="H99" s="1" t="s">
        <v>22</v>
      </c>
      <c r="I99" s="2">
        <v>4013</v>
      </c>
      <c r="J99" s="2">
        <f>I99-'Controls-Split'!$D$6</f>
        <v>3270</v>
      </c>
      <c r="K99" s="1">
        <f>J99/'Controls-Split'!$C$6</f>
        <v>7.1790818678785479E-2</v>
      </c>
      <c r="L99" s="1" t="str">
        <f>IF(K99&gt;'Controls-Split'!$I$6,"Pos","Neg")</f>
        <v>Pos</v>
      </c>
      <c r="M99" s="17">
        <v>3</v>
      </c>
      <c r="N99" t="s">
        <v>23</v>
      </c>
      <c r="O99" t="s">
        <v>24</v>
      </c>
      <c r="P99">
        <v>6354</v>
      </c>
      <c r="Q99" s="19">
        <f>P99/'Controls-Split'!$D$27</f>
        <v>3.0919708029197079</v>
      </c>
      <c r="R99" s="1" t="str">
        <f>IF(Q99&gt;'Controls-Split'!$J$27,"Pos","Neg")</f>
        <v>Pos</v>
      </c>
      <c r="S99">
        <v>4</v>
      </c>
    </row>
    <row r="100" spans="1:19" x14ac:dyDescent="0.2">
      <c r="A100" t="s">
        <v>29</v>
      </c>
      <c r="B100" t="s">
        <v>88</v>
      </c>
      <c r="C100" s="6" t="s">
        <v>20</v>
      </c>
      <c r="D100" t="s">
        <v>23</v>
      </c>
      <c r="E100">
        <v>2.7E-2</v>
      </c>
      <c r="F100" s="7">
        <v>2</v>
      </c>
      <c r="G100" s="16" t="s">
        <v>22</v>
      </c>
      <c r="H100" s="1" t="s">
        <v>21</v>
      </c>
      <c r="I100" s="2">
        <v>4051</v>
      </c>
      <c r="J100" s="2">
        <f>I100-'Controls-Split'!$D$6</f>
        <v>3308</v>
      </c>
      <c r="K100" s="1">
        <f>J100/'Controls-Split'!$C$6</f>
        <v>7.2625085073217854E-2</v>
      </c>
      <c r="L100" s="1" t="str">
        <f>IF(K100&gt;'Controls-Split'!$I$6,"Pos","Neg")</f>
        <v>Pos</v>
      </c>
      <c r="M100" s="17">
        <v>3</v>
      </c>
      <c r="N100" t="s">
        <v>24</v>
      </c>
      <c r="O100" t="s">
        <v>23</v>
      </c>
      <c r="P100">
        <v>1776</v>
      </c>
      <c r="Q100" s="19">
        <f>P100/'Controls-Split'!$D$33</f>
        <v>0.69051321928460341</v>
      </c>
      <c r="R100" s="1" t="str">
        <f>IF(Q100&gt;'Controls-Split'!$J$33,"Pos","Neg")</f>
        <v>Neg</v>
      </c>
      <c r="S100">
        <v>10</v>
      </c>
    </row>
    <row r="101" spans="1:19" x14ac:dyDescent="0.2">
      <c r="A101" t="s">
        <v>29</v>
      </c>
      <c r="B101" t="s">
        <v>89</v>
      </c>
      <c r="C101" s="6" t="s">
        <v>19</v>
      </c>
      <c r="D101" t="s">
        <v>20</v>
      </c>
      <c r="E101">
        <v>4.1000000000000002E-2</v>
      </c>
      <c r="F101" s="7">
        <v>2</v>
      </c>
      <c r="G101" s="16" t="s">
        <v>21</v>
      </c>
      <c r="H101" s="1" t="s">
        <v>22</v>
      </c>
      <c r="I101" s="2">
        <v>15478</v>
      </c>
      <c r="J101" s="2">
        <f>I101-'Controls-Split'!$D$6</f>
        <v>14735</v>
      </c>
      <c r="K101" s="1">
        <f>J101/'Controls-Split'!$C$6</f>
        <v>0.32349777163055171</v>
      </c>
      <c r="L101" s="1" t="str">
        <f>IF(K101&gt;'Controls-Split'!$I$6,"Pos","Neg")</f>
        <v>Pos</v>
      </c>
      <c r="M101" s="17">
        <v>3</v>
      </c>
      <c r="N101" t="s">
        <v>23</v>
      </c>
      <c r="O101" t="s">
        <v>24</v>
      </c>
      <c r="P101">
        <v>12913</v>
      </c>
      <c r="Q101" s="19">
        <f>P101/'Controls-Split'!$D$27</f>
        <v>6.2836982968369828</v>
      </c>
      <c r="R101" s="1" t="str">
        <f>IF(Q101&gt;'Controls-Split'!$J$27,"Pos","Neg")</f>
        <v>Pos</v>
      </c>
      <c r="S101">
        <v>4</v>
      </c>
    </row>
    <row r="102" spans="1:19" x14ac:dyDescent="0.2">
      <c r="A102" t="s">
        <v>29</v>
      </c>
      <c r="B102" t="s">
        <v>90</v>
      </c>
      <c r="C102" s="6" t="s">
        <v>20</v>
      </c>
      <c r="D102" t="s">
        <v>19</v>
      </c>
      <c r="E102">
        <v>7.0000000000000007E-2</v>
      </c>
      <c r="F102" s="7">
        <v>2</v>
      </c>
      <c r="G102" s="16" t="s">
        <v>22</v>
      </c>
      <c r="H102" s="1" t="s">
        <v>21</v>
      </c>
      <c r="I102" s="2">
        <v>5825</v>
      </c>
      <c r="J102" s="2">
        <f>I102-'Controls-Split'!$D$6</f>
        <v>5082</v>
      </c>
      <c r="K102" s="1">
        <f>J102/'Controls-Split'!$C$6</f>
        <v>0.11157215306592901</v>
      </c>
      <c r="L102" s="1" t="str">
        <f>IF(K102&gt;'Controls-Split'!$I$6,"Pos","Neg")</f>
        <v>Pos</v>
      </c>
      <c r="M102" s="17">
        <v>3</v>
      </c>
      <c r="N102" t="s">
        <v>24</v>
      </c>
      <c r="O102" t="s">
        <v>23</v>
      </c>
      <c r="P102">
        <v>1653</v>
      </c>
      <c r="Q102" s="19">
        <f>P102/'Controls-Split'!$D$35</f>
        <v>1.1329677861549006</v>
      </c>
      <c r="R102" s="1" t="str">
        <f>IF(Q102&gt;'Controls-Split'!$J$35,"Pos","Neg")</f>
        <v>Neg</v>
      </c>
      <c r="S102">
        <v>12</v>
      </c>
    </row>
    <row r="103" spans="1:19" x14ac:dyDescent="0.2">
      <c r="A103" t="s">
        <v>29</v>
      </c>
      <c r="B103" t="s">
        <v>91</v>
      </c>
      <c r="C103" s="6" t="s">
        <v>20</v>
      </c>
      <c r="D103" t="s">
        <v>19</v>
      </c>
      <c r="E103">
        <v>3.2000000000000001E-2</v>
      </c>
      <c r="F103" s="7">
        <v>2</v>
      </c>
      <c r="G103" s="16" t="s">
        <v>22</v>
      </c>
      <c r="H103" s="1" t="s">
        <v>21</v>
      </c>
      <c r="I103" s="2">
        <v>3613</v>
      </c>
      <c r="J103" s="2">
        <f>I103-'Controls-Split'!$D$6</f>
        <v>2870</v>
      </c>
      <c r="K103" s="1">
        <f>J103/'Controls-Split'!$C$6</f>
        <v>6.3009067158444745E-2</v>
      </c>
      <c r="L103" s="1" t="str">
        <f>IF(K103&gt;'Controls-Split'!$I$6,"Pos","Neg")</f>
        <v>Pos</v>
      </c>
      <c r="M103" s="17">
        <v>3</v>
      </c>
      <c r="N103" t="s">
        <v>24</v>
      </c>
      <c r="O103" t="s">
        <v>23</v>
      </c>
      <c r="P103">
        <v>6992</v>
      </c>
      <c r="Q103" s="19">
        <f>P103/'Controls-Split'!$D$33</f>
        <v>2.71850699844479</v>
      </c>
      <c r="R103" s="1" t="str">
        <f>IF(Q103&gt;'Controls-Split'!$J$33,"Pos","Neg")</f>
        <v>Neg</v>
      </c>
      <c r="S103">
        <v>10</v>
      </c>
    </row>
    <row r="104" spans="1:19" x14ac:dyDescent="0.2">
      <c r="A104" t="s">
        <v>29</v>
      </c>
      <c r="B104" t="s">
        <v>92</v>
      </c>
      <c r="C104" s="6" t="s">
        <v>20</v>
      </c>
      <c r="D104" t="s">
        <v>23</v>
      </c>
      <c r="E104">
        <v>3.6999999999999998E-2</v>
      </c>
      <c r="F104" s="7">
        <v>2</v>
      </c>
      <c r="G104" s="16" t="s">
        <v>22</v>
      </c>
      <c r="H104" s="1" t="s">
        <v>21</v>
      </c>
      <c r="I104" s="2">
        <v>1766</v>
      </c>
      <c r="J104" s="2">
        <f>I104-'Controls-Split'!$D$6</f>
        <v>1023</v>
      </c>
      <c r="K104" s="1">
        <f>J104/'Controls-Split'!$C$6</f>
        <v>2.2459329513271422E-2</v>
      </c>
      <c r="L104" s="1" t="str">
        <f>IF(K104&gt;'Controls-Split'!$I$6,"Pos","Neg")</f>
        <v>Neg</v>
      </c>
      <c r="M104" s="17">
        <v>3</v>
      </c>
      <c r="N104" t="s">
        <v>24</v>
      </c>
      <c r="O104" t="s">
        <v>23</v>
      </c>
      <c r="P104">
        <v>982</v>
      </c>
      <c r="Q104" s="19">
        <f>P104/'Controls-Split'!$D$33</f>
        <v>0.38180404354587871</v>
      </c>
      <c r="R104" s="1" t="str">
        <f>IF(Q104&gt;'Controls-Split'!$J$33,"Pos","Neg")</f>
        <v>Neg</v>
      </c>
      <c r="S104">
        <v>10</v>
      </c>
    </row>
    <row r="105" spans="1:19" x14ac:dyDescent="0.2">
      <c r="A105" t="s">
        <v>79</v>
      </c>
      <c r="B105" t="s">
        <v>29</v>
      </c>
      <c r="C105" s="6" t="s">
        <v>23</v>
      </c>
      <c r="D105" t="s">
        <v>20</v>
      </c>
      <c r="E105">
        <v>3.5000000000000003E-2</v>
      </c>
      <c r="F105" s="7">
        <v>2</v>
      </c>
      <c r="G105" s="16" t="s">
        <v>21</v>
      </c>
      <c r="H105" s="1" t="s">
        <v>22</v>
      </c>
      <c r="I105" s="2">
        <v>1850</v>
      </c>
      <c r="J105" s="2">
        <f>I105-'Controls-Split'!$D$6</f>
        <v>1107</v>
      </c>
      <c r="K105" s="1">
        <f>J105/'Controls-Split'!$C$6</f>
        <v>2.4303497332542976E-2</v>
      </c>
      <c r="L105" s="1" t="str">
        <f>IF(K105&gt;'Controls-Split'!$I$6,"Pos","Neg")</f>
        <v>Neg</v>
      </c>
      <c r="M105" s="17">
        <v>3</v>
      </c>
      <c r="N105" t="s">
        <v>23</v>
      </c>
      <c r="O105" t="s">
        <v>24</v>
      </c>
      <c r="P105">
        <v>1467</v>
      </c>
      <c r="Q105" s="19">
        <f>P105/'Controls-Split'!$D$33</f>
        <v>0.57037325038880249</v>
      </c>
      <c r="R105" s="1" t="str">
        <f>IF(Q105&gt;'Controls-Split'!$J$33,"Pos","Neg")</f>
        <v>Neg</v>
      </c>
      <c r="S105">
        <v>10</v>
      </c>
    </row>
    <row r="106" spans="1:19" x14ac:dyDescent="0.2">
      <c r="A106" t="s">
        <v>79</v>
      </c>
      <c r="B106" t="s">
        <v>42</v>
      </c>
      <c r="C106" s="6" t="s">
        <v>23</v>
      </c>
      <c r="D106" t="s">
        <v>20</v>
      </c>
      <c r="E106">
        <v>3.1E-2</v>
      </c>
      <c r="F106" s="7">
        <v>2</v>
      </c>
      <c r="G106" s="16" t="s">
        <v>21</v>
      </c>
      <c r="H106" s="1" t="s">
        <v>22</v>
      </c>
      <c r="I106" s="2">
        <v>1170</v>
      </c>
      <c r="J106" s="2">
        <f>I106-'Controls-Split'!$D$6</f>
        <v>427</v>
      </c>
      <c r="K106" s="1">
        <f>J106/'Controls-Split'!$C$6</f>
        <v>9.3745197479637322E-3</v>
      </c>
      <c r="L106" s="1" t="str">
        <f>IF(K106&gt;'Controls-Split'!$I$6,"Pos","Neg")</f>
        <v>Neg</v>
      </c>
      <c r="M106" s="17">
        <v>3</v>
      </c>
      <c r="N106" t="s">
        <v>23</v>
      </c>
      <c r="O106" t="s">
        <v>24</v>
      </c>
      <c r="P106">
        <v>1272</v>
      </c>
      <c r="Q106" s="19">
        <f>P106/'Controls-Split'!$D$32</f>
        <v>0.51228352799033428</v>
      </c>
      <c r="R106" s="1" t="str">
        <f>IF(Q106&gt;'Controls-Split'!$J$32,"Pos","Neg")</f>
        <v>Neg</v>
      </c>
      <c r="S106">
        <v>9</v>
      </c>
    </row>
    <row r="107" spans="1:19" x14ac:dyDescent="0.2">
      <c r="A107" t="s">
        <v>93</v>
      </c>
      <c r="B107" t="s">
        <v>94</v>
      </c>
      <c r="C107" s="6" t="s">
        <v>26</v>
      </c>
      <c r="D107" t="s">
        <v>23</v>
      </c>
      <c r="E107">
        <v>3.3000000000000002E-2</v>
      </c>
      <c r="F107" s="7">
        <v>2</v>
      </c>
      <c r="G107" s="16" t="s">
        <v>22</v>
      </c>
      <c r="H107" s="1" t="s">
        <v>21</v>
      </c>
      <c r="I107" s="2">
        <v>1064</v>
      </c>
      <c r="J107" s="2">
        <f>I107-'Controls-Split'!$D$6</f>
        <v>321</v>
      </c>
      <c r="K107" s="1">
        <f>J107/'Controls-Split'!$C$6</f>
        <v>7.0473555950734375E-3</v>
      </c>
      <c r="L107" s="1" t="str">
        <f>IF(K107&gt;'Controls-Split'!$I$6,"Pos","Neg")</f>
        <v>Neg</v>
      </c>
      <c r="M107" s="17">
        <v>3</v>
      </c>
      <c r="N107" t="s">
        <v>24</v>
      </c>
      <c r="O107" t="s">
        <v>23</v>
      </c>
      <c r="P107">
        <v>2393</v>
      </c>
      <c r="Q107" s="19">
        <f>P107/'Controls-Split'!$D$26</f>
        <v>1.2354155911202891</v>
      </c>
      <c r="R107" s="1" t="str">
        <f>IF(Q107&gt;'Controls-Split'!$J$26,"Pos","Neg")</f>
        <v>Pos</v>
      </c>
      <c r="S107">
        <v>3</v>
      </c>
    </row>
    <row r="108" spans="1:19" x14ac:dyDescent="0.2">
      <c r="A108" t="s">
        <v>95</v>
      </c>
      <c r="B108" t="s">
        <v>87</v>
      </c>
      <c r="C108" s="6" t="s">
        <v>23</v>
      </c>
      <c r="D108" t="s">
        <v>20</v>
      </c>
      <c r="E108">
        <v>2.8000000000000001E-2</v>
      </c>
      <c r="F108" s="7">
        <v>2</v>
      </c>
      <c r="G108" s="16" t="s">
        <v>21</v>
      </c>
      <c r="H108" s="1" t="s">
        <v>22</v>
      </c>
      <c r="I108" s="2">
        <v>2501</v>
      </c>
      <c r="J108" s="2">
        <f>I108-'Controls-Split'!$D$6</f>
        <v>1758</v>
      </c>
      <c r="K108" s="1">
        <f>J108/'Controls-Split'!$C$6</f>
        <v>3.8595797931897519E-2</v>
      </c>
      <c r="L108" s="1" t="str">
        <f>IF(K108&gt;'Controls-Split'!$I$6,"Pos","Neg")</f>
        <v>Pos</v>
      </c>
      <c r="M108" s="17">
        <v>3</v>
      </c>
      <c r="N108" t="s">
        <v>23</v>
      </c>
      <c r="O108" t="s">
        <v>24</v>
      </c>
      <c r="P108">
        <v>2549</v>
      </c>
      <c r="Q108" s="19">
        <f>P108/'Controls-Split'!$D$27</f>
        <v>1.240389294403893</v>
      </c>
      <c r="R108" s="1" t="str">
        <f>IF(Q108&gt;'Controls-Split'!$J$27,"Pos","Neg")</f>
        <v>Neg</v>
      </c>
      <c r="S108">
        <v>4</v>
      </c>
    </row>
    <row r="109" spans="1:19" x14ac:dyDescent="0.2">
      <c r="A109" t="s">
        <v>95</v>
      </c>
      <c r="B109" t="s">
        <v>96</v>
      </c>
      <c r="C109" s="6" t="s">
        <v>19</v>
      </c>
      <c r="D109" t="s">
        <v>26</v>
      </c>
      <c r="E109">
        <v>2.8000000000000001E-2</v>
      </c>
      <c r="F109" s="7">
        <v>2</v>
      </c>
      <c r="G109" s="16" t="s">
        <v>21</v>
      </c>
      <c r="H109" s="1" t="s">
        <v>22</v>
      </c>
      <c r="I109" s="2">
        <v>1471</v>
      </c>
      <c r="J109" s="2">
        <f>I109-'Controls-Split'!$D$6</f>
        <v>728</v>
      </c>
      <c r="K109" s="1">
        <f>J109/'Controls-Split'!$C$6</f>
        <v>1.5982787767020133E-2</v>
      </c>
      <c r="L109" s="1" t="str">
        <f>IF(K109&gt;'Controls-Split'!$I$6,"Pos","Neg")</f>
        <v>Neg</v>
      </c>
      <c r="M109" s="17">
        <v>3</v>
      </c>
      <c r="N109" t="s">
        <v>23</v>
      </c>
      <c r="O109" t="s">
        <v>24</v>
      </c>
      <c r="P109">
        <v>2639</v>
      </c>
      <c r="Q109" s="19">
        <f>P109/'Controls-Split'!$D$26</f>
        <v>1.3624161073825503</v>
      </c>
      <c r="R109" s="1" t="str">
        <f>IF(Q109&gt;'Controls-Split'!$J$26,"Pos","Neg")</f>
        <v>Pos</v>
      </c>
      <c r="S109">
        <v>3</v>
      </c>
    </row>
    <row r="110" spans="1:19" x14ac:dyDescent="0.2">
      <c r="A110" t="s">
        <v>91</v>
      </c>
      <c r="B110" t="s">
        <v>32</v>
      </c>
      <c r="C110" s="6" t="s">
        <v>19</v>
      </c>
      <c r="D110" t="s">
        <v>26</v>
      </c>
      <c r="E110">
        <v>3.1E-2</v>
      </c>
      <c r="F110" s="7">
        <v>2</v>
      </c>
      <c r="G110" s="16" t="s">
        <v>21</v>
      </c>
      <c r="H110" s="1" t="s">
        <v>22</v>
      </c>
      <c r="I110" s="2">
        <v>1303</v>
      </c>
      <c r="J110" s="2">
        <f>I110-'Controls-Split'!$D$6</f>
        <v>560</v>
      </c>
      <c r="K110" s="1">
        <f>J110/'Controls-Split'!$C$6</f>
        <v>1.2294452128477025E-2</v>
      </c>
      <c r="L110" s="1" t="str">
        <f>IF(K110&gt;'Controls-Split'!$I$6,"Pos","Neg")</f>
        <v>Neg</v>
      </c>
      <c r="M110" s="17">
        <v>3</v>
      </c>
      <c r="N110" t="s">
        <v>23</v>
      </c>
      <c r="O110" t="s">
        <v>24</v>
      </c>
      <c r="P110">
        <v>2840</v>
      </c>
      <c r="Q110" s="19">
        <f>P110/'Controls-Split'!$D$29</f>
        <v>2.3033252230332524</v>
      </c>
      <c r="R110" s="1" t="str">
        <f>IF(Q110&gt;'Controls-Split'!$J$29,"Pos","Neg")</f>
        <v>Pos</v>
      </c>
      <c r="S110">
        <v>6</v>
      </c>
    </row>
    <row r="111" spans="1:19" x14ac:dyDescent="0.2">
      <c r="A111" t="s">
        <v>91</v>
      </c>
      <c r="B111" t="s">
        <v>83</v>
      </c>
      <c r="C111" s="6" t="s">
        <v>19</v>
      </c>
      <c r="D111" t="s">
        <v>26</v>
      </c>
      <c r="E111">
        <v>3.2000000000000001E-2</v>
      </c>
      <c r="F111" s="7">
        <v>1</v>
      </c>
      <c r="G111" s="16" t="s">
        <v>21</v>
      </c>
      <c r="H111" s="1" t="s">
        <v>22</v>
      </c>
      <c r="I111" s="2">
        <v>1163</v>
      </c>
      <c r="J111" s="2">
        <f>I111-'Controls-Split'!$D$6</f>
        <v>420</v>
      </c>
      <c r="K111" s="1">
        <f>J111/'Controls-Split'!$C$6</f>
        <v>9.2208390963577688E-3</v>
      </c>
      <c r="L111" s="1" t="str">
        <f>IF(K111&gt;'Controls-Split'!$I$6,"Pos","Neg")</f>
        <v>Neg</v>
      </c>
      <c r="M111" s="17">
        <v>3</v>
      </c>
      <c r="N111" t="s">
        <v>23</v>
      </c>
      <c r="O111" t="s">
        <v>24</v>
      </c>
      <c r="P111">
        <v>52548</v>
      </c>
      <c r="Q111" s="19">
        <f>P111/'Controls-Split'!$D$27</f>
        <v>25.570802919708029</v>
      </c>
      <c r="R111" s="1" t="str">
        <f>IF(Q111&gt;'Controls-Split'!$J$27,"Pos","Neg")</f>
        <v>Pos</v>
      </c>
      <c r="S111">
        <v>4</v>
      </c>
    </row>
    <row r="112" spans="1:19" x14ac:dyDescent="0.2">
      <c r="A112" t="s">
        <v>36</v>
      </c>
      <c r="B112" t="s">
        <v>45</v>
      </c>
      <c r="C112" s="6" t="s">
        <v>20</v>
      </c>
      <c r="D112" t="s">
        <v>19</v>
      </c>
      <c r="E112">
        <v>3.3000000000000002E-2</v>
      </c>
      <c r="F112" s="7">
        <v>2</v>
      </c>
      <c r="G112" s="16" t="s">
        <v>22</v>
      </c>
      <c r="H112" s="1" t="s">
        <v>21</v>
      </c>
      <c r="I112" s="2">
        <v>1211</v>
      </c>
      <c r="J112" s="2">
        <f>I112-'Controls-Split'!$D$6</f>
        <v>468</v>
      </c>
      <c r="K112" s="1">
        <f>J112/'Controls-Split'!$C$6</f>
        <v>1.0274649278798656E-2</v>
      </c>
      <c r="L112" s="1" t="str">
        <f>IF(K112&gt;'Controls-Split'!$I$6,"Pos","Neg")</f>
        <v>Neg</v>
      </c>
      <c r="M112" s="17">
        <v>3</v>
      </c>
      <c r="N112" t="s">
        <v>24</v>
      </c>
      <c r="O112" t="s">
        <v>23</v>
      </c>
      <c r="P112">
        <v>1892</v>
      </c>
      <c r="Q112" s="19">
        <f>P112/'Controls-Split'!$D$26</f>
        <v>0.97676819824470829</v>
      </c>
      <c r="S112">
        <v>3</v>
      </c>
    </row>
    <row r="113" spans="1:19" x14ac:dyDescent="0.2">
      <c r="A113" t="s">
        <v>36</v>
      </c>
      <c r="B113" t="s">
        <v>76</v>
      </c>
      <c r="C113" s="6" t="s">
        <v>19</v>
      </c>
      <c r="D113" t="s">
        <v>20</v>
      </c>
      <c r="E113">
        <v>2.9000000000000001E-2</v>
      </c>
      <c r="F113" s="7">
        <v>2</v>
      </c>
      <c r="G113" s="16" t="s">
        <v>21</v>
      </c>
      <c r="H113" s="1" t="s">
        <v>22</v>
      </c>
      <c r="I113" s="2">
        <v>3438</v>
      </c>
      <c r="J113" s="2">
        <f>I113-'Controls-Split'!$D$6</f>
        <v>2695</v>
      </c>
      <c r="K113" s="1">
        <f>J113/'Controls-Split'!$C$6</f>
        <v>5.9167050868295684E-2</v>
      </c>
      <c r="L113" s="1" t="str">
        <f>IF(K113&gt;'Controls-Split'!$I$6,"Pos","Neg")</f>
        <v>Pos</v>
      </c>
      <c r="M113" s="17">
        <v>3</v>
      </c>
      <c r="N113" t="s">
        <v>23</v>
      </c>
      <c r="O113" t="s">
        <v>24</v>
      </c>
      <c r="P113">
        <v>2488</v>
      </c>
      <c r="Q113" s="19">
        <f>P113/'Controls-Split'!$D$27</f>
        <v>1.2107055961070559</v>
      </c>
      <c r="R113" s="1" t="str">
        <f>IF(Q113&gt;'Controls-Split'!$J$27,"Pos","Neg")</f>
        <v>Neg</v>
      </c>
      <c r="S113">
        <v>4</v>
      </c>
    </row>
    <row r="114" spans="1:19" x14ac:dyDescent="0.2">
      <c r="A114" t="s">
        <v>36</v>
      </c>
      <c r="B114" t="s">
        <v>40</v>
      </c>
      <c r="C114" s="6" t="s">
        <v>19</v>
      </c>
      <c r="D114" t="s">
        <v>20</v>
      </c>
      <c r="E114">
        <v>0.03</v>
      </c>
      <c r="F114" s="7">
        <v>2</v>
      </c>
      <c r="G114" s="16" t="s">
        <v>21</v>
      </c>
      <c r="H114" s="1" t="s">
        <v>22</v>
      </c>
      <c r="I114" s="2">
        <v>2708</v>
      </c>
      <c r="J114" s="2">
        <f>I114-'Controls-Split'!$D$6</f>
        <v>1965</v>
      </c>
      <c r="K114" s="1">
        <f>J114/'Controls-Split'!$C$6</f>
        <v>4.3140354343673845E-2</v>
      </c>
      <c r="L114" s="1" t="str">
        <f>IF(K114&gt;'Controls-Split'!$I$6,"Pos","Neg")</f>
        <v>Pos</v>
      </c>
      <c r="M114" s="17">
        <v>3</v>
      </c>
      <c r="N114" t="s">
        <v>23</v>
      </c>
      <c r="O114" t="s">
        <v>24</v>
      </c>
      <c r="P114">
        <v>1291</v>
      </c>
      <c r="Q114" s="19">
        <f>P114/'Controls-Split'!$D$28</f>
        <v>0.86296791443850263</v>
      </c>
      <c r="R114" s="1" t="str">
        <f>IF(Q114&gt;'Controls-Split'!$J$28,"Pos","Neg")</f>
        <v>Neg</v>
      </c>
      <c r="S114">
        <v>5</v>
      </c>
    </row>
    <row r="115" spans="1:19" x14ac:dyDescent="0.2">
      <c r="A115" t="s">
        <v>36</v>
      </c>
      <c r="B115" t="s">
        <v>36</v>
      </c>
      <c r="C115" s="6" t="s">
        <v>23</v>
      </c>
      <c r="D115" t="s">
        <v>20</v>
      </c>
      <c r="E115">
        <v>8.4000000000000005E-2</v>
      </c>
      <c r="F115" s="7">
        <v>2</v>
      </c>
      <c r="G115" s="16" t="s">
        <v>21</v>
      </c>
      <c r="H115" s="1" t="s">
        <v>22</v>
      </c>
      <c r="I115" s="2">
        <v>6851</v>
      </c>
      <c r="J115" s="2">
        <f>I115-'Controls-Split'!$D$6</f>
        <v>6108</v>
      </c>
      <c r="K115" s="1">
        <f>J115/'Controls-Split'!$C$6</f>
        <v>0.13409734571560297</v>
      </c>
      <c r="L115" s="1" t="str">
        <f>IF(K115&gt;'Controls-Split'!$I$6,"Pos","Neg")</f>
        <v>Pos</v>
      </c>
      <c r="M115" s="17">
        <v>3</v>
      </c>
      <c r="N115" t="s">
        <v>23</v>
      </c>
      <c r="O115" t="s">
        <v>24</v>
      </c>
      <c r="P115">
        <v>16139</v>
      </c>
      <c r="Q115" s="19">
        <f>P115/'Controls-Split'!$D$26</f>
        <v>8.3319566339700568</v>
      </c>
      <c r="R115" s="1" t="str">
        <f>IF(Q115&gt;'Controls-Split'!$J$26,"Pos","Neg")</f>
        <v>Pos</v>
      </c>
      <c r="S115">
        <v>3</v>
      </c>
    </row>
    <row r="116" spans="1:19" x14ac:dyDescent="0.2">
      <c r="A116" t="s">
        <v>61</v>
      </c>
      <c r="B116" t="s">
        <v>61</v>
      </c>
      <c r="C116" s="6" t="s">
        <v>19</v>
      </c>
      <c r="D116" t="s">
        <v>26</v>
      </c>
      <c r="E116">
        <v>0.13500000000000001</v>
      </c>
      <c r="F116" s="7">
        <v>2</v>
      </c>
      <c r="G116" s="16" t="s">
        <v>21</v>
      </c>
      <c r="H116" s="1" t="s">
        <v>22</v>
      </c>
      <c r="I116" s="2">
        <v>1637</v>
      </c>
      <c r="J116" s="2">
        <f>I116-'Controls-Split'!$D$6</f>
        <v>894</v>
      </c>
      <c r="K116" s="1">
        <f>J116/'Controls-Split'!$C$6</f>
        <v>1.9627214647961536E-2</v>
      </c>
      <c r="L116" s="1" t="str">
        <f>IF(K116&gt;'Controls-Split'!$I$6,"Pos","Neg")</f>
        <v>Neg</v>
      </c>
      <c r="M116" s="17">
        <v>3</v>
      </c>
      <c r="N116" t="s">
        <v>23</v>
      </c>
      <c r="O116" t="s">
        <v>24</v>
      </c>
      <c r="P116">
        <v>1319</v>
      </c>
      <c r="Q116" s="19">
        <f>P116/'Controls-Split'!$D$35</f>
        <v>0.90404386566141193</v>
      </c>
      <c r="R116" s="1" t="str">
        <f>IF(Q116&gt;'Controls-Split'!$J$35,"Pos","Neg")</f>
        <v>Neg</v>
      </c>
      <c r="S116">
        <v>12</v>
      </c>
    </row>
    <row r="117" spans="1:19" x14ac:dyDescent="0.2">
      <c r="A117" t="s">
        <v>92</v>
      </c>
      <c r="B117" t="s">
        <v>90</v>
      </c>
      <c r="C117" s="6" t="s">
        <v>20</v>
      </c>
      <c r="D117" t="s">
        <v>19</v>
      </c>
      <c r="E117">
        <v>0.05</v>
      </c>
      <c r="F117" s="7">
        <v>1</v>
      </c>
      <c r="G117" s="16" t="s">
        <v>22</v>
      </c>
      <c r="H117" s="1" t="s">
        <v>21</v>
      </c>
      <c r="I117" s="2">
        <v>1106</v>
      </c>
      <c r="J117" s="2">
        <f>I117-'Controls-Split'!$D$6</f>
        <v>363</v>
      </c>
      <c r="K117" s="1">
        <f>J117/'Controls-Split'!$C$6</f>
        <v>7.9694395047092137E-3</v>
      </c>
      <c r="L117" s="1" t="str">
        <f>IF(K117&gt;'Controls-Split'!$I$6,"Pos","Neg")</f>
        <v>Neg</v>
      </c>
      <c r="M117" s="17">
        <v>3</v>
      </c>
      <c r="N117" t="s">
        <v>24</v>
      </c>
      <c r="O117" t="s">
        <v>23</v>
      </c>
      <c r="P117">
        <v>2694</v>
      </c>
      <c r="Q117" s="19">
        <f>P117/'Controls-Split'!$D$35</f>
        <v>1.846470185058259</v>
      </c>
      <c r="R117" s="1" t="str">
        <f>IF(Q117&gt;'Controls-Split'!$J$35,"Pos","Neg")</f>
        <v>Neg</v>
      </c>
      <c r="S117">
        <v>12</v>
      </c>
    </row>
    <row r="118" spans="1:19" x14ac:dyDescent="0.2">
      <c r="A118" t="s">
        <v>92</v>
      </c>
      <c r="B118" t="s">
        <v>77</v>
      </c>
      <c r="C118" s="6" t="s">
        <v>20</v>
      </c>
      <c r="D118" t="s">
        <v>19</v>
      </c>
      <c r="E118">
        <v>2.7E-2</v>
      </c>
      <c r="F118" s="7">
        <v>2</v>
      </c>
      <c r="G118" s="16" t="s">
        <v>22</v>
      </c>
      <c r="H118" s="1" t="s">
        <v>21</v>
      </c>
      <c r="I118" s="2">
        <v>864</v>
      </c>
      <c r="J118" s="2">
        <f>I118-'Controls-Split'!$D$6</f>
        <v>121</v>
      </c>
      <c r="K118" s="1">
        <f>J118/'Controls-Split'!$C$6</f>
        <v>2.6564798349030714E-3</v>
      </c>
      <c r="L118" s="1" t="str">
        <f>IF(K118&gt;'Controls-Split'!$I$6,"Pos","Neg")</f>
        <v>Neg</v>
      </c>
      <c r="M118" s="17">
        <v>3</v>
      </c>
      <c r="N118" t="s">
        <v>24</v>
      </c>
      <c r="O118" t="s">
        <v>23</v>
      </c>
      <c r="P118">
        <v>1689</v>
      </c>
      <c r="Q118" s="19">
        <f>P118/'Controls-Split'!$D$26</f>
        <v>0.87196695921528133</v>
      </c>
      <c r="R118" s="1" t="str">
        <f>IF(Q118&gt;'Controls-Split'!$J$26,"Pos","Neg")</f>
        <v>Neg</v>
      </c>
      <c r="S118">
        <v>3</v>
      </c>
    </row>
    <row r="119" spans="1:19" x14ac:dyDescent="0.2">
      <c r="A119" t="s">
        <v>77</v>
      </c>
      <c r="B119" t="s">
        <v>48</v>
      </c>
      <c r="C119" s="6" t="s">
        <v>20</v>
      </c>
      <c r="D119" t="s">
        <v>23</v>
      </c>
      <c r="E119">
        <v>4.8000000000000001E-2</v>
      </c>
      <c r="F119" s="7">
        <v>1</v>
      </c>
      <c r="G119" s="16" t="s">
        <v>22</v>
      </c>
      <c r="H119" s="1" t="s">
        <v>21</v>
      </c>
      <c r="I119" s="2">
        <v>1627</v>
      </c>
      <c r="J119" s="2">
        <f>I119-'Controls-Split'!$D$6</f>
        <v>884</v>
      </c>
      <c r="K119" s="1">
        <f>J119/'Controls-Split'!$C$6</f>
        <v>1.9407670859953017E-2</v>
      </c>
      <c r="L119" s="1" t="str">
        <f>IF(K119&gt;'Controls-Split'!$I$6,"Pos","Neg")</f>
        <v>Neg</v>
      </c>
      <c r="M119" s="17">
        <v>3</v>
      </c>
      <c r="N119" t="s">
        <v>24</v>
      </c>
      <c r="O119" t="s">
        <v>23</v>
      </c>
      <c r="P119">
        <v>1778</v>
      </c>
      <c r="Q119" s="19">
        <f>P119/'Controls-Split'!$D$26</f>
        <v>0.91791430046463607</v>
      </c>
      <c r="R119" s="1" t="str">
        <f>IF(Q119&gt;'Controls-Split'!$J$26,"Pos","Neg")</f>
        <v>Neg</v>
      </c>
      <c r="S119">
        <v>3</v>
      </c>
    </row>
    <row r="120" spans="1:19" x14ac:dyDescent="0.2">
      <c r="A120" t="s">
        <v>77</v>
      </c>
      <c r="B120" t="s">
        <v>59</v>
      </c>
      <c r="C120" s="6" t="s">
        <v>20</v>
      </c>
      <c r="D120" t="s">
        <v>23</v>
      </c>
      <c r="E120">
        <v>3.1E-2</v>
      </c>
      <c r="F120" s="7">
        <v>2</v>
      </c>
      <c r="G120" s="16" t="s">
        <v>22</v>
      </c>
      <c r="H120" s="1" t="s">
        <v>21</v>
      </c>
      <c r="I120" s="2">
        <v>1973</v>
      </c>
      <c r="J120" s="2">
        <f>I120-'Controls-Split'!$D$6</f>
        <v>1230</v>
      </c>
      <c r="K120" s="1">
        <f>J120/'Controls-Split'!$C$6</f>
        <v>2.7003885925047752E-2</v>
      </c>
      <c r="L120" s="1" t="str">
        <f>IF(K120&gt;'Controls-Split'!$I$6,"Pos","Neg")</f>
        <v>Neg</v>
      </c>
      <c r="M120" s="17">
        <v>3</v>
      </c>
      <c r="N120" t="s">
        <v>24</v>
      </c>
      <c r="O120" t="s">
        <v>23</v>
      </c>
      <c r="P120">
        <v>2200</v>
      </c>
      <c r="Q120" s="19">
        <f>P120/'Controls-Split'!$D$26</f>
        <v>1.1357769747031492</v>
      </c>
      <c r="R120" s="1" t="str">
        <f>IF(Q120&gt;'Controls-Split'!$J$26,"Pos","Neg")</f>
        <v>Neg</v>
      </c>
      <c r="S120">
        <v>3</v>
      </c>
    </row>
    <row r="121" spans="1:19" x14ac:dyDescent="0.2">
      <c r="A121" t="s">
        <v>77</v>
      </c>
      <c r="B121" t="s">
        <v>33</v>
      </c>
      <c r="C121" s="6" t="s">
        <v>20</v>
      </c>
      <c r="D121" t="s">
        <v>23</v>
      </c>
      <c r="E121">
        <v>3.2000000000000001E-2</v>
      </c>
      <c r="F121" s="7">
        <v>1</v>
      </c>
      <c r="G121" s="16" t="s">
        <v>22</v>
      </c>
      <c r="H121" s="1" t="s">
        <v>21</v>
      </c>
      <c r="I121" s="2">
        <v>1709</v>
      </c>
      <c r="J121" s="2">
        <f>I121-'Controls-Split'!$D$6</f>
        <v>966</v>
      </c>
      <c r="K121" s="1">
        <f>J121/'Controls-Split'!$C$6</f>
        <v>2.1207929921622869E-2</v>
      </c>
      <c r="L121" s="1" t="str">
        <f>IF(K121&gt;'Controls-Split'!$I$6,"Pos","Neg")</f>
        <v>Neg</v>
      </c>
      <c r="M121" s="17">
        <v>3</v>
      </c>
      <c r="N121" t="s">
        <v>24</v>
      </c>
      <c r="O121" t="s">
        <v>23</v>
      </c>
      <c r="P121">
        <v>2142</v>
      </c>
      <c r="Q121" s="19">
        <f>P121/'Controls-Split'!$D$26</f>
        <v>1.1058337635518845</v>
      </c>
      <c r="R121" s="1" t="str">
        <f>IF(Q121&gt;'Controls-Split'!$J$26,"Pos","Neg")</f>
        <v>Neg</v>
      </c>
      <c r="S121">
        <v>3</v>
      </c>
    </row>
    <row r="122" spans="1:19" x14ac:dyDescent="0.2">
      <c r="A122" t="s">
        <v>77</v>
      </c>
      <c r="B122" t="s">
        <v>91</v>
      </c>
      <c r="C122" s="6" t="s">
        <v>20</v>
      </c>
      <c r="D122" t="s">
        <v>19</v>
      </c>
      <c r="E122">
        <v>2.7E-2</v>
      </c>
      <c r="F122" s="7">
        <v>2</v>
      </c>
      <c r="G122" s="16" t="s">
        <v>22</v>
      </c>
      <c r="H122" s="1" t="s">
        <v>21</v>
      </c>
      <c r="I122" s="2">
        <v>4680</v>
      </c>
      <c r="J122" s="2">
        <f>I122-'Controls-Split'!$D$6</f>
        <v>3937</v>
      </c>
      <c r="K122" s="1">
        <f>J122/'Controls-Split'!$C$6</f>
        <v>8.6434389338953657E-2</v>
      </c>
      <c r="L122" s="1" t="str">
        <f>IF(K122&gt;'Controls-Split'!$I$6,"Pos","Neg")</f>
        <v>Pos</v>
      </c>
      <c r="M122" s="17">
        <v>3</v>
      </c>
      <c r="N122" t="s">
        <v>24</v>
      </c>
      <c r="O122" t="s">
        <v>23</v>
      </c>
      <c r="P122">
        <v>6186</v>
      </c>
      <c r="Q122" s="19">
        <f>P122/'Controls-Split'!$D$26</f>
        <v>3.1935983479607639</v>
      </c>
      <c r="R122" s="1" t="str">
        <f>IF(Q122&gt;'Controls-Split'!$J$26,"Pos","Neg")</f>
        <v>Pos</v>
      </c>
      <c r="S122">
        <v>3</v>
      </c>
    </row>
    <row r="123" spans="1:19" x14ac:dyDescent="0.2">
      <c r="A123" t="s">
        <v>77</v>
      </c>
      <c r="B123" t="s">
        <v>97</v>
      </c>
      <c r="C123" s="6" t="s">
        <v>19</v>
      </c>
      <c r="D123" t="s">
        <v>26</v>
      </c>
      <c r="E123">
        <v>3.1E-2</v>
      </c>
      <c r="F123" s="7">
        <v>1</v>
      </c>
      <c r="G123" s="16" t="s">
        <v>21</v>
      </c>
      <c r="H123" s="1" t="s">
        <v>22</v>
      </c>
      <c r="I123" s="2">
        <v>1243</v>
      </c>
      <c r="J123" s="2">
        <f>I123-'Controls-Split'!$D$6</f>
        <v>500</v>
      </c>
      <c r="K123" s="1">
        <f>J123/'Controls-Split'!$C$6</f>
        <v>1.0977189400425915E-2</v>
      </c>
      <c r="L123" s="1" t="str">
        <f>IF(K123&gt;'Controls-Split'!$I$6,"Pos","Neg")</f>
        <v>Neg</v>
      </c>
      <c r="M123" s="17">
        <v>3</v>
      </c>
      <c r="N123" t="s">
        <v>23</v>
      </c>
      <c r="O123" t="s">
        <v>24</v>
      </c>
      <c r="P123">
        <v>1849</v>
      </c>
      <c r="Q123" s="19">
        <f>P123/'Controls-Split'!$D$26</f>
        <v>0.95456892101187407</v>
      </c>
      <c r="R123" s="1" t="str">
        <f>IF(Q123&gt;'Controls-Split'!$J$26,"Pos","Neg")</f>
        <v>Neg</v>
      </c>
      <c r="S123">
        <v>3</v>
      </c>
    </row>
    <row r="124" spans="1:19" x14ac:dyDescent="0.2">
      <c r="A124" t="s">
        <v>77</v>
      </c>
      <c r="B124" t="s">
        <v>77</v>
      </c>
      <c r="C124" s="6" t="s">
        <v>19</v>
      </c>
      <c r="D124" t="s">
        <v>26</v>
      </c>
      <c r="E124">
        <v>3.9E-2</v>
      </c>
      <c r="F124" s="7">
        <v>2</v>
      </c>
      <c r="G124" s="16" t="s">
        <v>21</v>
      </c>
      <c r="H124" s="1" t="s">
        <v>22</v>
      </c>
      <c r="I124" s="2">
        <v>5785</v>
      </c>
      <c r="J124" s="2">
        <f>I124-'Controls-Split'!$D$6</f>
        <v>5042</v>
      </c>
      <c r="K124" s="1">
        <f>J124/'Controls-Split'!$C$6</f>
        <v>0.11069397791389493</v>
      </c>
      <c r="L124" s="1" t="str">
        <f>IF(K124&gt;'Controls-Split'!$I$6,"Pos","Neg")</f>
        <v>Pos</v>
      </c>
      <c r="M124" s="17">
        <v>3</v>
      </c>
      <c r="N124" t="s">
        <v>23</v>
      </c>
      <c r="O124" t="s">
        <v>24</v>
      </c>
      <c r="P124">
        <v>1902</v>
      </c>
      <c r="Q124" s="19">
        <f>P124/'Controls-Split'!$D$26</f>
        <v>0.98193082085699535</v>
      </c>
      <c r="R124" s="1" t="str">
        <f>IF(Q124&gt;'Controls-Split'!$J$26,"Pos","Neg")</f>
        <v>Neg</v>
      </c>
      <c r="S124">
        <v>3</v>
      </c>
    </row>
    <row r="125" spans="1:19" x14ac:dyDescent="0.2">
      <c r="A125" t="s">
        <v>98</v>
      </c>
      <c r="B125" t="s">
        <v>45</v>
      </c>
      <c r="C125" s="6" t="s">
        <v>23</v>
      </c>
      <c r="D125" t="s">
        <v>20</v>
      </c>
      <c r="E125">
        <v>2.7E-2</v>
      </c>
      <c r="F125" s="7">
        <v>1</v>
      </c>
      <c r="G125" s="16" t="s">
        <v>21</v>
      </c>
      <c r="H125" s="1" t="s">
        <v>22</v>
      </c>
      <c r="I125" s="2">
        <v>1145</v>
      </c>
      <c r="J125" s="2">
        <f>I125-'Controls-Split'!$D$7</f>
        <v>-213</v>
      </c>
      <c r="K125" s="1">
        <f>J125/'Controls-Split'!$C$7</f>
        <v>-3.4579606149650146E-3</v>
      </c>
      <c r="L125" s="1" t="str">
        <f>IF(K125&gt;'Controls-Split'!$I$7,"Pos","Neg")</f>
        <v>Neg</v>
      </c>
      <c r="M125" s="17">
        <v>4</v>
      </c>
      <c r="N125" t="s">
        <v>23</v>
      </c>
      <c r="O125" t="s">
        <v>24</v>
      </c>
      <c r="P125">
        <v>754</v>
      </c>
      <c r="Q125" s="19">
        <f>P125/'Controls-Split'!$D$35</f>
        <v>0.51679232350925286</v>
      </c>
      <c r="R125" s="1" t="str">
        <f>IF(Q125&gt;'Controls-Split'!$J$35,"Pos","Neg")</f>
        <v>Neg</v>
      </c>
      <c r="S125">
        <v>12</v>
      </c>
    </row>
    <row r="126" spans="1:19" x14ac:dyDescent="0.2">
      <c r="A126" t="s">
        <v>98</v>
      </c>
      <c r="B126" t="s">
        <v>32</v>
      </c>
      <c r="C126" s="6" t="s">
        <v>23</v>
      </c>
      <c r="D126" t="s">
        <v>26</v>
      </c>
      <c r="E126">
        <v>2.8000000000000001E-2</v>
      </c>
      <c r="F126" s="7">
        <v>1</v>
      </c>
      <c r="G126" s="16" t="s">
        <v>21</v>
      </c>
      <c r="H126" s="1" t="s">
        <v>22</v>
      </c>
      <c r="I126" s="2">
        <v>2014</v>
      </c>
      <c r="J126" s="2">
        <f>I126-'Controls-Split'!$D$7</f>
        <v>656</v>
      </c>
      <c r="K126" s="1">
        <f>J126/'Controls-Split'!$C$7</f>
        <v>1.0649869311817134E-2</v>
      </c>
      <c r="L126" s="1" t="str">
        <f>IF(K126&gt;'Controls-Split'!$I$7,"Pos","Neg")</f>
        <v>Neg</v>
      </c>
      <c r="M126" s="17">
        <v>4</v>
      </c>
      <c r="N126" t="s">
        <v>23</v>
      </c>
      <c r="O126" t="s">
        <v>24</v>
      </c>
      <c r="P126">
        <v>812</v>
      </c>
      <c r="Q126" s="19">
        <f>P126/'Controls-Split'!$D$29</f>
        <v>0.65855636658556371</v>
      </c>
      <c r="R126" s="1" t="str">
        <f>IF(Q126&gt;'Controls-Split'!$J$29,"Pos","Neg")</f>
        <v>Neg</v>
      </c>
      <c r="S126">
        <v>6</v>
      </c>
    </row>
    <row r="127" spans="1:19" x14ac:dyDescent="0.2">
      <c r="A127" t="s">
        <v>32</v>
      </c>
      <c r="B127" t="s">
        <v>74</v>
      </c>
      <c r="C127" s="6" t="s">
        <v>26</v>
      </c>
      <c r="D127" t="s">
        <v>23</v>
      </c>
      <c r="E127">
        <v>3.4000000000000002E-2</v>
      </c>
      <c r="F127" s="7">
        <v>2</v>
      </c>
      <c r="G127" s="16" t="s">
        <v>22</v>
      </c>
      <c r="H127" s="1" t="s">
        <v>21</v>
      </c>
      <c r="I127" s="2">
        <v>2040</v>
      </c>
      <c r="J127" s="2">
        <f>I127-'Controls-Split'!$D$7</f>
        <v>682</v>
      </c>
      <c r="K127" s="1">
        <f>J127/'Controls-Split'!$C$7</f>
        <v>1.1071967790639155E-2</v>
      </c>
      <c r="L127" s="1" t="str">
        <f>IF(K127&gt;'Controls-Split'!$I$7,"Pos","Neg")</f>
        <v>Neg</v>
      </c>
      <c r="M127" s="17">
        <v>4</v>
      </c>
      <c r="N127" t="s">
        <v>24</v>
      </c>
      <c r="O127" t="s">
        <v>23</v>
      </c>
      <c r="P127">
        <v>731</v>
      </c>
      <c r="Q127" s="19">
        <f>P127/'Controls-Split'!$D$29</f>
        <v>0.59286293592862938</v>
      </c>
      <c r="R127" s="1" t="str">
        <f>IF(Q127&gt;'Controls-Split'!$J$29,"Pos","Neg")</f>
        <v>Neg</v>
      </c>
      <c r="S127">
        <v>6</v>
      </c>
    </row>
    <row r="128" spans="1:19" x14ac:dyDescent="0.2">
      <c r="A128" t="s">
        <v>57</v>
      </c>
      <c r="B128" t="s">
        <v>63</v>
      </c>
      <c r="C128" s="6" t="s">
        <v>20</v>
      </c>
      <c r="D128" t="s">
        <v>19</v>
      </c>
      <c r="E128">
        <v>2.9000000000000001E-2</v>
      </c>
      <c r="F128" s="7">
        <v>1</v>
      </c>
      <c r="G128" s="16" t="s">
        <v>22</v>
      </c>
      <c r="H128" s="1" t="s">
        <v>21</v>
      </c>
      <c r="I128" s="2">
        <v>1786</v>
      </c>
      <c r="J128" s="2">
        <f>I128-'Controls-Split'!$D$7</f>
        <v>428</v>
      </c>
      <c r="K128" s="1">
        <f>J128/'Controls-Split'!$C$7</f>
        <v>6.9483903436855692E-3</v>
      </c>
      <c r="L128" s="1" t="str">
        <f>IF(K128&gt;'Controls-Split'!$I$7,"Pos","Neg")</f>
        <v>Neg</v>
      </c>
      <c r="M128" s="17">
        <v>4</v>
      </c>
      <c r="N128" t="s">
        <v>24</v>
      </c>
      <c r="O128" t="s">
        <v>23</v>
      </c>
      <c r="P128" s="23">
        <v>2609</v>
      </c>
      <c r="Q128" s="19">
        <f>P128/'Controls-Split'!$D$28</f>
        <v>1.7439839572192513</v>
      </c>
      <c r="R128" s="1" t="str">
        <f>IF(Q128&gt;'Controls-Split'!$J$28,"Pos","Neg")</f>
        <v>Neg</v>
      </c>
      <c r="S128" s="23">
        <v>5</v>
      </c>
    </row>
    <row r="129" spans="1:19" x14ac:dyDescent="0.2">
      <c r="A129" t="s">
        <v>57</v>
      </c>
      <c r="B129" t="s">
        <v>57</v>
      </c>
      <c r="C129" s="6" t="s">
        <v>19</v>
      </c>
      <c r="D129" t="s">
        <v>20</v>
      </c>
      <c r="E129">
        <v>5.8999999999999997E-2</v>
      </c>
      <c r="F129" s="7">
        <v>1</v>
      </c>
      <c r="G129" s="16" t="s">
        <v>21</v>
      </c>
      <c r="H129" s="1" t="s">
        <v>22</v>
      </c>
      <c r="I129" s="2">
        <v>4579</v>
      </c>
      <c r="J129" s="2">
        <f>I129-'Controls-Split'!$D$7</f>
        <v>3221</v>
      </c>
      <c r="K129" s="1">
        <f>J129/'Controls-Split'!$C$7</f>
        <v>5.2291507703297241E-2</v>
      </c>
      <c r="L129" s="1" t="str">
        <f>IF(K129&gt;'Controls-Split'!$I$7,"Pos","Neg")</f>
        <v>Pos</v>
      </c>
      <c r="M129" s="17">
        <v>4</v>
      </c>
      <c r="N129" s="23" t="s">
        <v>23</v>
      </c>
      <c r="O129" s="23" t="s">
        <v>24</v>
      </c>
      <c r="P129" s="23">
        <v>15882</v>
      </c>
      <c r="Q129" s="19">
        <f>P129/'Controls-Split'!$D$28</f>
        <v>10.616310160427808</v>
      </c>
      <c r="R129" s="1" t="str">
        <f>IF(Q129&gt;'Controls-Split'!$J$28,"Pos","Neg")</f>
        <v>Pos</v>
      </c>
      <c r="S129" s="23">
        <v>5</v>
      </c>
    </row>
    <row r="130" spans="1:19" x14ac:dyDescent="0.2">
      <c r="A130" t="s">
        <v>99</v>
      </c>
      <c r="B130" t="s">
        <v>87</v>
      </c>
      <c r="C130" s="6" t="s">
        <v>20</v>
      </c>
      <c r="D130" t="s">
        <v>23</v>
      </c>
      <c r="E130">
        <v>2.8000000000000001E-2</v>
      </c>
      <c r="F130" s="7">
        <v>2</v>
      </c>
      <c r="G130" s="16" t="s">
        <v>22</v>
      </c>
      <c r="H130" s="1" t="s">
        <v>21</v>
      </c>
      <c r="I130" s="2">
        <v>1624</v>
      </c>
      <c r="J130" s="2">
        <f>I130-'Controls-Split'!$D$7</f>
        <v>266</v>
      </c>
      <c r="K130" s="1">
        <f>J130/'Controls-Split'!$C$7</f>
        <v>4.3183921294868257E-3</v>
      </c>
      <c r="L130" s="1" t="str">
        <f>IF(K130&gt;'Controls-Split'!$I$7,"Pos","Neg")</f>
        <v>Neg</v>
      </c>
      <c r="M130" s="17">
        <v>4</v>
      </c>
      <c r="N130" t="s">
        <v>24</v>
      </c>
      <c r="O130" t="s">
        <v>23</v>
      </c>
      <c r="P130" s="23">
        <v>1312</v>
      </c>
      <c r="Q130" s="19">
        <f>P130/'Controls-Split'!$D$27</f>
        <v>0.63844282238442818</v>
      </c>
      <c r="R130" s="1" t="str">
        <f>IF(Q130&gt;'Controls-Split'!$J$28,"Pos","Neg")</f>
        <v>Neg</v>
      </c>
      <c r="S130" s="23">
        <v>5</v>
      </c>
    </row>
    <row r="131" spans="1:19" x14ac:dyDescent="0.2">
      <c r="A131" t="s">
        <v>87</v>
      </c>
      <c r="B131" t="s">
        <v>70</v>
      </c>
      <c r="C131" s="6" t="s">
        <v>20</v>
      </c>
      <c r="D131" t="s">
        <v>23</v>
      </c>
      <c r="E131">
        <v>2.8000000000000001E-2</v>
      </c>
      <c r="F131" s="7">
        <v>2</v>
      </c>
      <c r="G131" s="16" t="s">
        <v>22</v>
      </c>
      <c r="H131" s="1" t="s">
        <v>21</v>
      </c>
      <c r="I131" s="2">
        <v>1895</v>
      </c>
      <c r="J131" s="2">
        <f>I131-'Controls-Split'!$D$7</f>
        <v>537</v>
      </c>
      <c r="K131" s="1">
        <f>J131/'Controls-Split'!$C$7</f>
        <v>8.7179570433625012E-3</v>
      </c>
      <c r="L131" s="1" t="str">
        <f>IF(K131&gt;'Controls-Split'!$I$7,"Pos","Neg")</f>
        <v>Neg</v>
      </c>
      <c r="M131" s="17">
        <v>4</v>
      </c>
      <c r="N131" t="s">
        <v>24</v>
      </c>
      <c r="O131" t="s">
        <v>23</v>
      </c>
      <c r="P131">
        <v>2039</v>
      </c>
      <c r="Q131" s="19">
        <f>P131/'Controls-Split'!$D$27</f>
        <v>0.99221411192214115</v>
      </c>
      <c r="R131" s="1" t="str">
        <f>IF(Q131&gt;'Controls-Split'!$J$27,"Pos","Neg")</f>
        <v>Neg</v>
      </c>
      <c r="S131">
        <v>4</v>
      </c>
    </row>
    <row r="132" spans="1:19" x14ac:dyDescent="0.2">
      <c r="A132" t="s">
        <v>87</v>
      </c>
      <c r="B132" t="s">
        <v>87</v>
      </c>
      <c r="C132" s="6" t="s">
        <v>23</v>
      </c>
      <c r="D132" t="s">
        <v>26</v>
      </c>
      <c r="E132">
        <v>0.19700000000000001</v>
      </c>
      <c r="F132" s="7">
        <v>2</v>
      </c>
      <c r="G132" s="16" t="s">
        <v>21</v>
      </c>
      <c r="H132" s="1" t="s">
        <v>22</v>
      </c>
      <c r="I132" s="2">
        <v>10707</v>
      </c>
      <c r="J132" s="2">
        <f>I132-'Controls-Split'!$D$7</f>
        <v>9349</v>
      </c>
      <c r="K132" s="1">
        <f>J132/'Controls-Split'!$C$7</f>
        <v>0.15177687225027192</v>
      </c>
      <c r="L132" s="1" t="str">
        <f>IF(K132&gt;'Controls-Split'!$I$7,"Pos","Neg")</f>
        <v>Pos</v>
      </c>
      <c r="M132" s="17">
        <v>4</v>
      </c>
      <c r="N132" t="s">
        <v>23</v>
      </c>
      <c r="O132" t="s">
        <v>24</v>
      </c>
      <c r="P132">
        <v>14030</v>
      </c>
      <c r="Q132" s="19">
        <f>P132/'Controls-Split'!$D$27</f>
        <v>6.8272506082725064</v>
      </c>
      <c r="R132" s="1" t="str">
        <f>IF(Q132&gt;'Controls-Split'!$J$27,"Pos","Neg")</f>
        <v>Pos</v>
      </c>
      <c r="S132">
        <v>4</v>
      </c>
    </row>
    <row r="133" spans="1:19" x14ac:dyDescent="0.2">
      <c r="A133" t="s">
        <v>88</v>
      </c>
      <c r="B133" t="s">
        <v>32</v>
      </c>
      <c r="C133" s="6" t="s">
        <v>23</v>
      </c>
      <c r="D133" t="s">
        <v>20</v>
      </c>
      <c r="E133">
        <v>4.2999999999999997E-2</v>
      </c>
      <c r="F133" s="7">
        <v>2</v>
      </c>
      <c r="G133" s="16" t="s">
        <v>21</v>
      </c>
      <c r="H133" s="1" t="s">
        <v>22</v>
      </c>
      <c r="I133" s="2">
        <v>1728</v>
      </c>
      <c r="J133" s="2">
        <f>I133-'Controls-Split'!$D$7</f>
        <v>370</v>
      </c>
      <c r="K133" s="1">
        <f>J133/'Controls-Split'!$C$7</f>
        <v>6.0067860447749078E-3</v>
      </c>
      <c r="L133" s="1" t="str">
        <f>IF(K133&gt;'Controls-Split'!$I$7,"Pos","Neg")</f>
        <v>Neg</v>
      </c>
      <c r="M133" s="17">
        <v>4</v>
      </c>
      <c r="N133" t="s">
        <v>23</v>
      </c>
      <c r="O133" t="s">
        <v>24</v>
      </c>
      <c r="P133">
        <v>812</v>
      </c>
      <c r="Q133" s="19">
        <f>P133/'Controls-Split'!$D$29</f>
        <v>0.65855636658556371</v>
      </c>
      <c r="R133" s="1" t="str">
        <f>IF(Q133&gt;'Controls-Split'!$J$29,"Pos","Neg")</f>
        <v>Neg</v>
      </c>
      <c r="S133">
        <v>6</v>
      </c>
    </row>
    <row r="134" spans="1:19" x14ac:dyDescent="0.2">
      <c r="A134" t="s">
        <v>88</v>
      </c>
      <c r="B134" t="s">
        <v>56</v>
      </c>
      <c r="C134" s="6" t="s">
        <v>23</v>
      </c>
      <c r="D134" t="s">
        <v>26</v>
      </c>
      <c r="E134">
        <v>2.7E-2</v>
      </c>
      <c r="F134" s="7">
        <v>2</v>
      </c>
      <c r="G134" s="16" t="s">
        <v>21</v>
      </c>
      <c r="H134" s="1" t="s">
        <v>22</v>
      </c>
      <c r="I134" s="2">
        <v>1816</v>
      </c>
      <c r="J134" s="2">
        <f>I134-'Controls-Split'!$D$7</f>
        <v>458</v>
      </c>
      <c r="K134" s="1">
        <f>J134/'Controls-Split'!$C$7</f>
        <v>7.4354270500186694E-3</v>
      </c>
      <c r="L134" s="1" t="str">
        <f>IF(K134&gt;'Controls-Split'!$I$7,"Pos","Neg")</f>
        <v>Neg</v>
      </c>
      <c r="M134" s="17">
        <v>4</v>
      </c>
      <c r="N134" t="s">
        <v>23</v>
      </c>
      <c r="O134" t="s">
        <v>24</v>
      </c>
      <c r="P134">
        <v>1003</v>
      </c>
      <c r="Q134" s="19">
        <f>P134/'Controls-Split'!$D$28</f>
        <v>0.67045454545454541</v>
      </c>
      <c r="R134" s="1" t="str">
        <f>IF(Q134&gt;'Controls-Split'!$J$28,"Pos","Neg")</f>
        <v>Neg</v>
      </c>
      <c r="S134">
        <v>5</v>
      </c>
    </row>
    <row r="135" spans="1:19" x14ac:dyDescent="0.2">
      <c r="A135" t="s">
        <v>89</v>
      </c>
      <c r="B135" t="s">
        <v>83</v>
      </c>
      <c r="C135" s="6" t="s">
        <v>26</v>
      </c>
      <c r="D135" t="s">
        <v>23</v>
      </c>
      <c r="E135">
        <v>2.7E-2</v>
      </c>
      <c r="F135" s="7">
        <v>1</v>
      </c>
      <c r="G135" s="16" t="s">
        <v>22</v>
      </c>
      <c r="H135" s="1" t="s">
        <v>21</v>
      </c>
      <c r="I135" s="2">
        <v>7746</v>
      </c>
      <c r="J135" s="2">
        <f>I135-'Controls-Split'!$D$7</f>
        <v>6388</v>
      </c>
      <c r="K135" s="1">
        <f>J135/'Controls-Split'!$C$7</f>
        <v>0.10370634933519489</v>
      </c>
      <c r="L135" s="1" t="str">
        <f>IF(K135&gt;'Controls-Split'!$I$7,"Pos","Neg")</f>
        <v>Pos</v>
      </c>
      <c r="M135" s="17">
        <v>4</v>
      </c>
      <c r="N135" t="s">
        <v>24</v>
      </c>
      <c r="O135" t="s">
        <v>23</v>
      </c>
      <c r="P135">
        <v>16711</v>
      </c>
      <c r="Q135" s="19">
        <f>P135/'Controls-Split'!$D$27</f>
        <v>8.1318734793187346</v>
      </c>
      <c r="R135" s="1" t="str">
        <f>IF(Q135&gt;'Controls-Split'!$J$27,"Pos","Neg")</f>
        <v>Pos</v>
      </c>
      <c r="S135">
        <v>4</v>
      </c>
    </row>
    <row r="136" spans="1:19" x14ac:dyDescent="0.2">
      <c r="A136" t="s">
        <v>100</v>
      </c>
      <c r="B136" t="s">
        <v>40</v>
      </c>
      <c r="C136" s="6" t="s">
        <v>23</v>
      </c>
      <c r="D136" t="s">
        <v>26</v>
      </c>
      <c r="E136">
        <v>2.8000000000000001E-2</v>
      </c>
      <c r="F136" s="7">
        <v>1</v>
      </c>
      <c r="G136" s="16" t="s">
        <v>21</v>
      </c>
      <c r="H136" s="1" t="s">
        <v>22</v>
      </c>
      <c r="I136" s="2">
        <v>2588</v>
      </c>
      <c r="J136" s="2">
        <f>I136-'Controls-Split'!$D$7</f>
        <v>1230</v>
      </c>
      <c r="K136" s="1">
        <f>J136/'Controls-Split'!$C$7</f>
        <v>1.9968504959657126E-2</v>
      </c>
      <c r="L136" s="1" t="str">
        <f>IF(K136&gt;'Controls-Split'!$I$7,"Pos","Neg")</f>
        <v>Neg</v>
      </c>
      <c r="M136" s="17">
        <v>4</v>
      </c>
      <c r="N136" t="s">
        <v>23</v>
      </c>
      <c r="O136" t="s">
        <v>24</v>
      </c>
      <c r="P136">
        <v>786</v>
      </c>
      <c r="Q136" s="19">
        <f>P136/'Controls-Split'!$D$28</f>
        <v>0.52540106951871657</v>
      </c>
      <c r="R136" s="1" t="str">
        <f>IF(Q136&gt;'Controls-Split'!$J$28,"Pos","Neg")</f>
        <v>Neg</v>
      </c>
      <c r="S136">
        <v>5</v>
      </c>
    </row>
    <row r="137" spans="1:19" x14ac:dyDescent="0.2">
      <c r="A137" t="s">
        <v>100</v>
      </c>
      <c r="B137" t="s">
        <v>100</v>
      </c>
      <c r="C137" s="6" t="s">
        <v>23</v>
      </c>
      <c r="D137" t="s">
        <v>20</v>
      </c>
      <c r="E137">
        <v>0.08</v>
      </c>
      <c r="F137" s="7">
        <v>2</v>
      </c>
      <c r="G137" s="16" t="s">
        <v>21</v>
      </c>
      <c r="H137" s="1" t="s">
        <v>22</v>
      </c>
      <c r="I137" s="2">
        <v>1721</v>
      </c>
      <c r="J137" s="2">
        <f>I137-'Controls-Split'!$D$7</f>
        <v>363</v>
      </c>
      <c r="K137" s="1">
        <f>J137/'Controls-Split'!$C$7</f>
        <v>5.893144146630518E-3</v>
      </c>
      <c r="L137" s="1" t="str">
        <f>IF(K137&gt;'Controls-Split'!$I$7,"Pos","Neg")</f>
        <v>Neg</v>
      </c>
      <c r="M137" s="17">
        <v>4</v>
      </c>
      <c r="N137" t="s">
        <v>23</v>
      </c>
      <c r="O137" t="s">
        <v>24</v>
      </c>
      <c r="P137">
        <v>71585</v>
      </c>
      <c r="Q137" s="19">
        <f>P137/'Controls-Split'!$D$27</f>
        <v>34.834549878345499</v>
      </c>
      <c r="R137" s="1" t="str">
        <f>IF(Q137&gt;'Controls-Split'!$J$27,"Pos","Neg")</f>
        <v>Pos</v>
      </c>
      <c r="S137">
        <v>4</v>
      </c>
    </row>
    <row r="138" spans="1:19" x14ac:dyDescent="0.2">
      <c r="A138" t="s">
        <v>85</v>
      </c>
      <c r="B138" t="s">
        <v>101</v>
      </c>
      <c r="C138" s="6" t="s">
        <v>23</v>
      </c>
      <c r="D138" t="s">
        <v>26</v>
      </c>
      <c r="E138">
        <v>3.5000000000000003E-2</v>
      </c>
      <c r="F138" s="7">
        <v>1</v>
      </c>
      <c r="G138" s="16" t="s">
        <v>21</v>
      </c>
      <c r="H138" s="1" t="s">
        <v>22</v>
      </c>
      <c r="I138" s="2">
        <v>1478</v>
      </c>
      <c r="J138" s="2">
        <f>I138-'Controls-Split'!$D$7</f>
        <v>120</v>
      </c>
      <c r="K138" s="1">
        <f>J138/'Controls-Split'!$C$7</f>
        <v>1.9481468253324025E-3</v>
      </c>
      <c r="L138" s="1" t="str">
        <f>IF(K138&gt;'Controls-Split'!$I$7,"Pos","Neg")</f>
        <v>Neg</v>
      </c>
      <c r="M138" s="17">
        <v>4</v>
      </c>
      <c r="N138" s="23" t="s">
        <v>23</v>
      </c>
      <c r="O138" s="23" t="s">
        <v>24</v>
      </c>
      <c r="P138" s="23">
        <v>1376</v>
      </c>
      <c r="Q138" s="19">
        <f>P138/'Controls-Split'!$D$28</f>
        <v>0.9197860962566845</v>
      </c>
      <c r="R138" s="1" t="str">
        <f>IF(Q138&gt;'Controls-Split'!$J$28,"Pos","Neg")</f>
        <v>Neg</v>
      </c>
      <c r="S138" s="23">
        <v>5</v>
      </c>
    </row>
    <row r="139" spans="1:19" x14ac:dyDescent="0.2">
      <c r="A139" t="s">
        <v>102</v>
      </c>
      <c r="B139" t="s">
        <v>58</v>
      </c>
      <c r="C139" s="6" t="s">
        <v>23</v>
      </c>
      <c r="D139" t="s">
        <v>20</v>
      </c>
      <c r="E139">
        <v>4.5999999999999999E-2</v>
      </c>
      <c r="F139" s="7">
        <v>2</v>
      </c>
      <c r="G139" s="16" t="s">
        <v>21</v>
      </c>
      <c r="H139" s="1" t="s">
        <v>22</v>
      </c>
      <c r="I139" s="2">
        <v>11261</v>
      </c>
      <c r="J139" s="2">
        <f>I139-'Controls-Split'!$D$7</f>
        <v>9903</v>
      </c>
      <c r="K139" s="1">
        <f>J139/'Controls-Split'!$C$7</f>
        <v>0.16077081676055652</v>
      </c>
      <c r="L139" s="1" t="str">
        <f>IF(K139&gt;'Controls-Split'!$I$7,"Pos","Neg")</f>
        <v>Pos</v>
      </c>
      <c r="M139" s="17">
        <v>4</v>
      </c>
      <c r="N139" s="23" t="s">
        <v>23</v>
      </c>
      <c r="O139" s="23" t="s">
        <v>24</v>
      </c>
      <c r="P139">
        <v>3291</v>
      </c>
      <c r="Q139" s="19">
        <f>P139/'Controls-Split'!$D$31</f>
        <v>1.2202447163515018</v>
      </c>
      <c r="R139" s="1" t="str">
        <f>IF(Q139&gt;'Controls-Split'!$J$31,"Pos","Neg")</f>
        <v>Neg</v>
      </c>
      <c r="S139">
        <v>8</v>
      </c>
    </row>
    <row r="140" spans="1:19" x14ac:dyDescent="0.2">
      <c r="A140" t="s">
        <v>102</v>
      </c>
      <c r="B140" t="s">
        <v>29</v>
      </c>
      <c r="C140" s="6" t="s">
        <v>20</v>
      </c>
      <c r="D140" t="s">
        <v>19</v>
      </c>
      <c r="E140">
        <v>3.5000000000000003E-2</v>
      </c>
      <c r="F140" s="7">
        <v>2</v>
      </c>
      <c r="G140" s="16" t="s">
        <v>22</v>
      </c>
      <c r="H140" s="1" t="s">
        <v>21</v>
      </c>
      <c r="I140" s="2">
        <v>1485</v>
      </c>
      <c r="J140" s="2">
        <f>I140-'Controls-Split'!$D$7</f>
        <v>127</v>
      </c>
      <c r="K140" s="1">
        <f>J140/'Controls-Split'!$C$7</f>
        <v>2.0617887234767925E-3</v>
      </c>
      <c r="L140" s="1" t="str">
        <f>IF(K140&gt;'Controls-Split'!$I$7,"Pos","Neg")</f>
        <v>Neg</v>
      </c>
      <c r="M140" s="17">
        <v>4</v>
      </c>
      <c r="N140" t="s">
        <v>24</v>
      </c>
      <c r="O140" t="s">
        <v>23</v>
      </c>
      <c r="P140" s="23">
        <v>1937</v>
      </c>
      <c r="Q140" s="19">
        <f>P140/'Controls-Split'!$D$28</f>
        <v>1.2947860962566844</v>
      </c>
      <c r="R140" s="1" t="str">
        <f>IF(Q140&gt;'Controls-Split'!$J$28,"Pos","Neg")</f>
        <v>Neg</v>
      </c>
      <c r="S140" s="23">
        <v>5</v>
      </c>
    </row>
    <row r="141" spans="1:19" x14ac:dyDescent="0.2">
      <c r="A141" t="s">
        <v>103</v>
      </c>
      <c r="B141" t="s">
        <v>104</v>
      </c>
      <c r="C141" s="6" t="s">
        <v>23</v>
      </c>
      <c r="D141" t="s">
        <v>20</v>
      </c>
      <c r="E141">
        <v>7.2999999999999995E-2</v>
      </c>
      <c r="F141" s="7">
        <v>2</v>
      </c>
      <c r="G141" s="16" t="s">
        <v>21</v>
      </c>
      <c r="H141" s="1" t="s">
        <v>22</v>
      </c>
      <c r="I141" s="2">
        <v>1690</v>
      </c>
      <c r="J141" s="2">
        <f>I141-'Controls-Split'!$D$7</f>
        <v>332</v>
      </c>
      <c r="K141" s="1">
        <f>J141/'Controls-Split'!$C$7</f>
        <v>5.3898728834196469E-3</v>
      </c>
      <c r="L141" s="1" t="str">
        <f>IF(K141&gt;'Controls-Split'!$I$7,"Pos","Neg")</f>
        <v>Neg</v>
      </c>
      <c r="M141" s="17">
        <v>4</v>
      </c>
      <c r="N141" s="23" t="s">
        <v>23</v>
      </c>
      <c r="O141" s="23" t="s">
        <v>24</v>
      </c>
      <c r="P141">
        <v>1941</v>
      </c>
      <c r="Q141" s="19">
        <f>P141/'Controls-Split'!$D$30</f>
        <v>1.49537750385208</v>
      </c>
      <c r="R141" s="1" t="str">
        <f>IF(Q141&gt;'Controls-Split'!$J$30,"Pos","Neg")</f>
        <v>Neg</v>
      </c>
      <c r="S141">
        <v>7</v>
      </c>
    </row>
    <row r="142" spans="1:19" x14ac:dyDescent="0.2">
      <c r="A142" t="s">
        <v>103</v>
      </c>
      <c r="B142" t="s">
        <v>90</v>
      </c>
      <c r="C142" s="6" t="s">
        <v>20</v>
      </c>
      <c r="D142" t="s">
        <v>19</v>
      </c>
      <c r="E142">
        <v>3.5000000000000003E-2</v>
      </c>
      <c r="F142" s="7">
        <v>1</v>
      </c>
      <c r="G142" s="16" t="s">
        <v>22</v>
      </c>
      <c r="H142" s="1" t="s">
        <v>21</v>
      </c>
      <c r="I142" s="2">
        <v>2303</v>
      </c>
      <c r="J142" s="2">
        <f>I142-'Controls-Split'!$D$7</f>
        <v>945</v>
      </c>
      <c r="K142" s="1">
        <f>J142/'Controls-Split'!$C$7</f>
        <v>1.534165624949267E-2</v>
      </c>
      <c r="L142" s="1" t="str">
        <f>IF(K142&gt;'Controls-Split'!$I$7,"Pos","Neg")</f>
        <v>Neg</v>
      </c>
      <c r="M142" s="17">
        <v>4</v>
      </c>
      <c r="N142" t="s">
        <v>24</v>
      </c>
      <c r="O142" t="s">
        <v>23</v>
      </c>
      <c r="P142">
        <v>1205</v>
      </c>
      <c r="Q142" s="19">
        <f>P142/'Controls-Split'!$D$35</f>
        <v>0.82590815627141878</v>
      </c>
      <c r="R142" s="1" t="str">
        <f>IF(Q142&gt;'Controls-Split'!$J$35,"Pos","Neg")</f>
        <v>Neg</v>
      </c>
      <c r="S142">
        <v>12</v>
      </c>
    </row>
    <row r="143" spans="1:19" x14ac:dyDescent="0.2">
      <c r="A143" t="s">
        <v>103</v>
      </c>
      <c r="B143" t="s">
        <v>58</v>
      </c>
      <c r="C143" s="6" t="s">
        <v>23</v>
      </c>
      <c r="D143" t="s">
        <v>20</v>
      </c>
      <c r="E143">
        <v>4.2000000000000003E-2</v>
      </c>
      <c r="F143" s="7">
        <v>2</v>
      </c>
      <c r="G143" s="16" t="s">
        <v>21</v>
      </c>
      <c r="H143" s="1" t="s">
        <v>22</v>
      </c>
      <c r="I143" s="2">
        <v>21716</v>
      </c>
      <c r="J143" s="2">
        <f>I143-'Controls-Split'!$D$7</f>
        <v>20358</v>
      </c>
      <c r="K143" s="1">
        <f>J143/'Controls-Split'!$C$7</f>
        <v>0.33050310891764212</v>
      </c>
      <c r="L143" s="1" t="str">
        <f>IF(K143&gt;'Controls-Split'!$I$7,"Pos","Neg")</f>
        <v>Pos</v>
      </c>
      <c r="M143" s="17">
        <v>4</v>
      </c>
      <c r="N143" t="s">
        <v>23</v>
      </c>
      <c r="O143" t="s">
        <v>24</v>
      </c>
      <c r="P143">
        <v>7772</v>
      </c>
      <c r="Q143" s="19">
        <f>P143/'Controls-Split'!$D$33</f>
        <v>3.0217729393468118</v>
      </c>
      <c r="R143" s="1" t="str">
        <f>IF(Q143&gt;'Controls-Split'!$J$33,"Pos","Neg")</f>
        <v>Neg</v>
      </c>
      <c r="S143">
        <v>10</v>
      </c>
    </row>
    <row r="144" spans="1:19" x14ac:dyDescent="0.2">
      <c r="A144" t="s">
        <v>103</v>
      </c>
      <c r="B144" t="s">
        <v>42</v>
      </c>
      <c r="C144" s="6" t="s">
        <v>23</v>
      </c>
      <c r="D144" t="s">
        <v>20</v>
      </c>
      <c r="E144">
        <v>0.03</v>
      </c>
      <c r="F144" s="7">
        <v>2</v>
      </c>
      <c r="G144" s="16" t="s">
        <v>21</v>
      </c>
      <c r="H144" s="1" t="s">
        <v>22</v>
      </c>
      <c r="I144" s="2">
        <v>1665</v>
      </c>
      <c r="J144" s="2">
        <f>I144-'Controls-Split'!$D$7</f>
        <v>307</v>
      </c>
      <c r="K144" s="1">
        <f>J144/'Controls-Split'!$C$7</f>
        <v>4.9840089614753965E-3</v>
      </c>
      <c r="L144" s="1" t="str">
        <f>IF(K144&gt;'Controls-Split'!$I$7,"Pos","Neg")</f>
        <v>Neg</v>
      </c>
      <c r="M144" s="17">
        <v>4</v>
      </c>
      <c r="N144" t="s">
        <v>23</v>
      </c>
      <c r="O144" t="s">
        <v>24</v>
      </c>
      <c r="P144">
        <v>6207</v>
      </c>
      <c r="Q144" s="19">
        <f>P144/'Controls-Split'!$D$32</f>
        <v>2.4997986306886832</v>
      </c>
      <c r="R144" s="1" t="str">
        <f>IF(Q144&gt;'Controls-Split'!$J$32,"Pos","Neg")</f>
        <v>Pos</v>
      </c>
      <c r="S144">
        <v>9</v>
      </c>
    </row>
    <row r="145" spans="1:19" x14ac:dyDescent="0.2">
      <c r="A145" t="s">
        <v>105</v>
      </c>
      <c r="B145" t="s">
        <v>32</v>
      </c>
      <c r="C145" s="6" t="s">
        <v>23</v>
      </c>
      <c r="D145" t="s">
        <v>26</v>
      </c>
      <c r="E145">
        <v>4.2999999999999997E-2</v>
      </c>
      <c r="F145" s="7">
        <v>2</v>
      </c>
      <c r="G145" s="16" t="s">
        <v>21</v>
      </c>
      <c r="H145" s="1" t="s">
        <v>22</v>
      </c>
      <c r="I145" s="2">
        <v>2201</v>
      </c>
      <c r="J145" s="2">
        <f>I145-'Controls-Split'!$D$7</f>
        <v>843</v>
      </c>
      <c r="K145" s="1">
        <f>J145/'Controls-Split'!$C$7</f>
        <v>1.3685731447960129E-2</v>
      </c>
      <c r="L145" s="1" t="str">
        <f>IF(K145&gt;'Controls-Split'!$I$7,"Pos","Neg")</f>
        <v>Neg</v>
      </c>
      <c r="M145" s="17">
        <v>4</v>
      </c>
      <c r="N145" t="s">
        <v>23</v>
      </c>
      <c r="O145" t="s">
        <v>24</v>
      </c>
      <c r="P145">
        <v>6238</v>
      </c>
      <c r="Q145" s="19">
        <f>P145/'Controls-Split'!$D$29</f>
        <v>5.0592051905920519</v>
      </c>
      <c r="R145" s="1" t="str">
        <f>IF(Q145&gt;'Controls-Split'!$J$29,"Pos","Neg")</f>
        <v>Pos</v>
      </c>
      <c r="S145">
        <v>6</v>
      </c>
    </row>
    <row r="146" spans="1:19" x14ac:dyDescent="0.2">
      <c r="A146" t="s">
        <v>105</v>
      </c>
      <c r="B146" t="s">
        <v>105</v>
      </c>
      <c r="C146" s="6" t="s">
        <v>23</v>
      </c>
      <c r="D146" t="s">
        <v>20</v>
      </c>
      <c r="E146">
        <v>2.7E-2</v>
      </c>
      <c r="F146" s="7">
        <v>2</v>
      </c>
      <c r="G146" s="16" t="s">
        <v>21</v>
      </c>
      <c r="H146" s="1" t="s">
        <v>22</v>
      </c>
      <c r="I146" s="2">
        <v>2698</v>
      </c>
      <c r="J146" s="2">
        <f>I146-'Controls-Split'!$D$7</f>
        <v>1340</v>
      </c>
      <c r="K146" s="1">
        <f>J146/'Controls-Split'!$C$7</f>
        <v>2.1754306216211827E-2</v>
      </c>
      <c r="L146" s="1" t="str">
        <f>IF(K146&gt;'Controls-Split'!$I$7,"Pos","Neg")</f>
        <v>Neg</v>
      </c>
      <c r="M146" s="17">
        <v>4</v>
      </c>
      <c r="N146" t="s">
        <v>23</v>
      </c>
      <c r="O146" t="s">
        <v>24</v>
      </c>
      <c r="P146" s="23">
        <v>4038</v>
      </c>
      <c r="Q146" s="19">
        <f>P146/'Controls-Split'!$D$28</f>
        <v>2.6991978609625669</v>
      </c>
      <c r="R146" s="1" t="str">
        <f>IF(Q146&gt;'Controls-Split'!$J$28,"Pos","Neg")</f>
        <v>Pos</v>
      </c>
      <c r="S146" s="23">
        <v>5</v>
      </c>
    </row>
    <row r="147" spans="1:19" x14ac:dyDescent="0.2">
      <c r="A147" t="s">
        <v>106</v>
      </c>
      <c r="B147" t="s">
        <v>58</v>
      </c>
      <c r="C147" s="6" t="s">
        <v>23</v>
      </c>
      <c r="D147" t="s">
        <v>20</v>
      </c>
      <c r="E147">
        <v>0.14979999999999999</v>
      </c>
      <c r="F147" s="7">
        <v>1</v>
      </c>
      <c r="G147" s="16" t="s">
        <v>21</v>
      </c>
      <c r="H147" s="1" t="s">
        <v>22</v>
      </c>
      <c r="I147" s="2">
        <v>30106</v>
      </c>
      <c r="J147" s="2">
        <f>I147-'Controls-Split'!$D$7</f>
        <v>28748</v>
      </c>
      <c r="K147" s="1">
        <f>J147/'Controls-Split'!$C$7</f>
        <v>0.46671104112213257</v>
      </c>
      <c r="L147" s="1" t="str">
        <f>IF(K147&gt;'Controls-Split'!$I$7,"Pos","Neg")</f>
        <v>Pos</v>
      </c>
      <c r="M147" s="17">
        <v>4</v>
      </c>
      <c r="N147" t="s">
        <v>23</v>
      </c>
      <c r="O147" t="s">
        <v>24</v>
      </c>
      <c r="P147">
        <v>1868</v>
      </c>
      <c r="Q147" s="19">
        <f>P147/'Controls-Split'!$D$33</f>
        <v>0.72628304821150858</v>
      </c>
      <c r="R147" s="1" t="str">
        <f>IF(Q147&gt;'Controls-Split'!$J$33,"Pos","Neg")</f>
        <v>Neg</v>
      </c>
      <c r="S147">
        <v>10</v>
      </c>
    </row>
    <row r="148" spans="1:19" x14ac:dyDescent="0.2">
      <c r="A148" t="s">
        <v>107</v>
      </c>
      <c r="B148" t="s">
        <v>107</v>
      </c>
      <c r="C148" s="6" t="s">
        <v>23</v>
      </c>
      <c r="D148" t="s">
        <v>20</v>
      </c>
      <c r="E148">
        <v>0.44040000000000001</v>
      </c>
      <c r="F148" s="7">
        <v>1</v>
      </c>
      <c r="G148" s="16" t="s">
        <v>21</v>
      </c>
      <c r="H148" s="1" t="s">
        <v>22</v>
      </c>
      <c r="I148" s="2">
        <v>1412</v>
      </c>
      <c r="J148" s="2">
        <f>I148-'Controls-Split'!$D$7</f>
        <v>54</v>
      </c>
      <c r="K148" s="1">
        <f>J148/'Controls-Split'!$C$7</f>
        <v>8.7666607139958114E-4</v>
      </c>
      <c r="L148" s="1" t="str">
        <f>IF(K148&gt;'Controls-Split'!$I$7,"Pos","Neg")</f>
        <v>Neg</v>
      </c>
      <c r="M148" s="17">
        <v>4</v>
      </c>
      <c r="N148" t="s">
        <v>23</v>
      </c>
      <c r="O148" t="s">
        <v>24</v>
      </c>
      <c r="P148">
        <v>1531</v>
      </c>
      <c r="Q148" s="19">
        <f>P148/'Controls-Split'!$D$29</f>
        <v>1.2416869424168695</v>
      </c>
      <c r="R148" s="1" t="str">
        <f>IF(Q148&gt;'Controls-Split'!$J$29,"Pos","Neg")</f>
        <v>Neg</v>
      </c>
      <c r="S148">
        <v>6</v>
      </c>
    </row>
    <row r="149" spans="1:19" x14ac:dyDescent="0.2">
      <c r="A149" t="s">
        <v>107</v>
      </c>
      <c r="B149" t="s">
        <v>108</v>
      </c>
      <c r="C149" s="6" t="s">
        <v>26</v>
      </c>
      <c r="D149" t="s">
        <v>23</v>
      </c>
      <c r="E149">
        <v>3.5000000000000003E-2</v>
      </c>
      <c r="F149" s="7">
        <v>2</v>
      </c>
      <c r="G149" s="16" t="s">
        <v>22</v>
      </c>
      <c r="H149" s="1" t="s">
        <v>21</v>
      </c>
      <c r="I149" s="2">
        <v>1396</v>
      </c>
      <c r="J149" s="2">
        <f>I149-'Controls-Split'!$D$7</f>
        <v>38</v>
      </c>
      <c r="K149" s="1">
        <f>J149/'Controls-Split'!$C$7</f>
        <v>6.1691316135526082E-4</v>
      </c>
      <c r="L149" s="1" t="str">
        <f>IF(K149&gt;'Controls-Split'!$I$7,"Pos","Neg")</f>
        <v>Neg</v>
      </c>
      <c r="M149" s="17">
        <v>4</v>
      </c>
      <c r="N149" t="s">
        <v>24</v>
      </c>
      <c r="O149" t="s">
        <v>23</v>
      </c>
      <c r="P149">
        <v>1556</v>
      </c>
      <c r="Q149" s="19">
        <f>P149/'Controls-Split'!$D$29</f>
        <v>1.261962692619627</v>
      </c>
      <c r="R149" s="1" t="str">
        <f>IF(Q149&gt;'Controls-Split'!$J$29,"Pos","Neg")</f>
        <v>Neg</v>
      </c>
      <c r="S149">
        <v>6</v>
      </c>
    </row>
    <row r="150" spans="1:19" x14ac:dyDescent="0.2">
      <c r="A150" t="s">
        <v>109</v>
      </c>
      <c r="B150" t="s">
        <v>107</v>
      </c>
      <c r="C150" s="6" t="s">
        <v>20</v>
      </c>
      <c r="D150" t="s">
        <v>19</v>
      </c>
      <c r="E150">
        <v>4.1000000000000002E-2</v>
      </c>
      <c r="F150" s="7">
        <v>1</v>
      </c>
      <c r="G150" s="16" t="s">
        <v>22</v>
      </c>
      <c r="H150" s="1" t="s">
        <v>21</v>
      </c>
      <c r="I150" s="2">
        <v>4246</v>
      </c>
      <c r="J150" s="2">
        <f>I150-'Controls-Split'!$D$7</f>
        <v>2888</v>
      </c>
      <c r="K150" s="1">
        <f>J150/'Controls-Split'!$C$7</f>
        <v>4.6885400262999824E-2</v>
      </c>
      <c r="L150" s="1" t="str">
        <f>IF(K150&gt;'Controls-Split'!$I$7,"Pos","Neg")</f>
        <v>Pos</v>
      </c>
      <c r="M150" s="17">
        <v>4</v>
      </c>
      <c r="N150" t="s">
        <v>24</v>
      </c>
      <c r="O150" t="s">
        <v>23</v>
      </c>
      <c r="P150">
        <v>1934</v>
      </c>
      <c r="Q150" s="19">
        <f>P150/'Controls-Split'!$D$34</f>
        <v>1.481992337164751</v>
      </c>
      <c r="R150" s="1" t="str">
        <f>IF(Q150&gt;'Controls-Split'!$J$34,"Pos","Neg")</f>
        <v>Neg</v>
      </c>
      <c r="S150">
        <v>11</v>
      </c>
    </row>
    <row r="151" spans="1:19" x14ac:dyDescent="0.2">
      <c r="A151" t="s">
        <v>109</v>
      </c>
      <c r="B151" t="s">
        <v>29</v>
      </c>
      <c r="C151" s="6" t="s">
        <v>20</v>
      </c>
      <c r="D151" t="s">
        <v>19</v>
      </c>
      <c r="E151">
        <v>3.5000000000000003E-2</v>
      </c>
      <c r="F151" s="7">
        <v>2</v>
      </c>
      <c r="G151" s="16" t="s">
        <v>22</v>
      </c>
      <c r="H151" s="1" t="s">
        <v>21</v>
      </c>
      <c r="I151" s="2">
        <v>8501</v>
      </c>
      <c r="J151" s="2">
        <f>I151-'Controls-Split'!$D$7</f>
        <v>7143</v>
      </c>
      <c r="K151" s="1">
        <f>J151/'Controls-Split'!$C$7</f>
        <v>0.11596343977791126</v>
      </c>
      <c r="L151" s="1" t="str">
        <f>IF(K151&gt;'Controls-Split'!$I$7,"Pos","Neg")</f>
        <v>Pos</v>
      </c>
      <c r="M151" s="17">
        <v>4</v>
      </c>
      <c r="N151" t="s">
        <v>24</v>
      </c>
      <c r="O151" t="s">
        <v>23</v>
      </c>
      <c r="P151">
        <v>1536</v>
      </c>
      <c r="Q151" s="19">
        <f>P151/'Controls-Split'!$D$34</f>
        <v>1.1770114942528735</v>
      </c>
      <c r="R151" s="1" t="str">
        <f>IF(Q151&gt;'Controls-Split'!$J$34,"Pos","Neg")</f>
        <v>Neg</v>
      </c>
      <c r="S151">
        <v>11</v>
      </c>
    </row>
    <row r="152" spans="1:19" x14ac:dyDescent="0.2">
      <c r="A152" t="s">
        <v>109</v>
      </c>
      <c r="B152" t="s">
        <v>36</v>
      </c>
      <c r="C152" s="6" t="s">
        <v>20</v>
      </c>
      <c r="D152" t="s">
        <v>19</v>
      </c>
      <c r="E152">
        <v>2.7E-2</v>
      </c>
      <c r="F152" s="7">
        <v>2</v>
      </c>
      <c r="G152" s="16" t="s">
        <v>22</v>
      </c>
      <c r="H152" s="1" t="s">
        <v>21</v>
      </c>
      <c r="I152" s="2">
        <v>10777</v>
      </c>
      <c r="J152" s="2">
        <f>I152-'Controls-Split'!$D$7</f>
        <v>9419</v>
      </c>
      <c r="K152" s="1">
        <f>J152/'Controls-Split'!$C$7</f>
        <v>0.15291329123171582</v>
      </c>
      <c r="L152" s="1" t="str">
        <f>IF(K152&gt;'Controls-Split'!$I$7,"Pos","Neg")</f>
        <v>Pos</v>
      </c>
      <c r="M152" s="17">
        <v>4</v>
      </c>
      <c r="N152" t="s">
        <v>24</v>
      </c>
      <c r="O152" t="s">
        <v>23</v>
      </c>
      <c r="P152">
        <v>1133</v>
      </c>
      <c r="Q152" s="19">
        <f>P152/'Controls-Split'!$D$34</f>
        <v>0.86819923371647512</v>
      </c>
      <c r="R152" s="1" t="str">
        <f>IF(Q152&gt;'Controls-Split'!$J$34,"Pos","Neg")</f>
        <v>Neg</v>
      </c>
      <c r="S152">
        <v>11</v>
      </c>
    </row>
    <row r="153" spans="1:19" x14ac:dyDescent="0.2">
      <c r="A153" t="s">
        <v>29</v>
      </c>
      <c r="B153" t="s">
        <v>31</v>
      </c>
      <c r="C153" s="6" t="s">
        <v>20</v>
      </c>
      <c r="D153" t="s">
        <v>23</v>
      </c>
      <c r="E153">
        <v>5.0999999999999997E-2</v>
      </c>
      <c r="F153" s="7">
        <v>2</v>
      </c>
      <c r="G153" s="16" t="s">
        <v>22</v>
      </c>
      <c r="H153" s="1" t="s">
        <v>21</v>
      </c>
      <c r="I153" s="2">
        <v>4741</v>
      </c>
      <c r="J153" s="2">
        <f>I153-'Controls-Split'!$D$7</f>
        <v>3383</v>
      </c>
      <c r="K153" s="1">
        <f>J153/'Controls-Split'!$C$7</f>
        <v>5.4921505917495984E-2</v>
      </c>
      <c r="L153" s="1" t="str">
        <f>IF(K153&gt;'Controls-Split'!$I$7,"Pos","Neg")</f>
        <v>Pos</v>
      </c>
      <c r="M153" s="17">
        <v>4</v>
      </c>
      <c r="N153" t="s">
        <v>24</v>
      </c>
      <c r="O153" t="s">
        <v>23</v>
      </c>
      <c r="P153">
        <v>581</v>
      </c>
      <c r="Q153" s="19">
        <f>P153/'Controls-Split'!$D$34</f>
        <v>0.44521072796934869</v>
      </c>
      <c r="R153" s="1" t="str">
        <f>IF(Q153&gt;'Controls-Split'!$J$34,"Pos","Neg")</f>
        <v>Neg</v>
      </c>
      <c r="S153">
        <v>11</v>
      </c>
    </row>
    <row r="154" spans="1:19" x14ac:dyDescent="0.2">
      <c r="A154" t="s">
        <v>29</v>
      </c>
      <c r="B154" t="s">
        <v>39</v>
      </c>
      <c r="C154" s="6" t="s">
        <v>19</v>
      </c>
      <c r="D154" t="s">
        <v>20</v>
      </c>
      <c r="E154">
        <v>6.5000000000000002E-2</v>
      </c>
      <c r="F154" s="7">
        <v>2</v>
      </c>
      <c r="G154" s="16" t="s">
        <v>21</v>
      </c>
      <c r="H154" s="1" t="s">
        <v>22</v>
      </c>
      <c r="I154" s="2">
        <v>2168</v>
      </c>
      <c r="J154" s="2">
        <f>I154-'Controls-Split'!$D$7</f>
        <v>810</v>
      </c>
      <c r="K154" s="1">
        <f>J154/'Controls-Split'!$C$7</f>
        <v>1.3149991070993718E-2</v>
      </c>
      <c r="L154" s="1" t="str">
        <f>IF(K154&gt;'Controls-Split'!$I$7,"Pos","Neg")</f>
        <v>Neg</v>
      </c>
      <c r="M154" s="17">
        <v>4</v>
      </c>
    </row>
    <row r="155" spans="1:19" x14ac:dyDescent="0.2">
      <c r="A155" t="s">
        <v>29</v>
      </c>
      <c r="B155" t="s">
        <v>43</v>
      </c>
      <c r="C155" s="6" t="s">
        <v>20</v>
      </c>
      <c r="D155" t="s">
        <v>19</v>
      </c>
      <c r="E155">
        <v>4.1000000000000002E-2</v>
      </c>
      <c r="F155" s="7">
        <v>2</v>
      </c>
      <c r="G155" s="16" t="s">
        <v>22</v>
      </c>
      <c r="H155" s="1" t="s">
        <v>21</v>
      </c>
      <c r="I155" s="2">
        <v>4984</v>
      </c>
      <c r="J155" s="2">
        <f>I155-'Controls-Split'!$D$7</f>
        <v>3626</v>
      </c>
      <c r="K155" s="1">
        <f>J155/'Controls-Split'!$C$7</f>
        <v>5.8866503238794096E-2</v>
      </c>
      <c r="L155" s="1" t="str">
        <f>IF(K155&gt;'Controls-Split'!$I$7,"Pos","Neg")</f>
        <v>Pos</v>
      </c>
      <c r="M155" s="17">
        <v>4</v>
      </c>
      <c r="N155" t="s">
        <v>24</v>
      </c>
      <c r="O155" t="s">
        <v>23</v>
      </c>
      <c r="P155">
        <v>1539</v>
      </c>
      <c r="Q155" s="19">
        <f>P155/'Controls-Split'!$D$33</f>
        <v>0.59836702954898913</v>
      </c>
      <c r="R155" s="1" t="str">
        <f>IF(Q155&gt;'Controls-Split'!$J$33,"Pos","Neg")</f>
        <v>Neg</v>
      </c>
      <c r="S155">
        <v>10</v>
      </c>
    </row>
    <row r="156" spans="1:19" x14ac:dyDescent="0.2">
      <c r="A156" t="s">
        <v>29</v>
      </c>
      <c r="B156" t="s">
        <v>48</v>
      </c>
      <c r="C156" s="6" t="s">
        <v>20</v>
      </c>
      <c r="D156" t="s">
        <v>23</v>
      </c>
      <c r="E156">
        <v>2.8000000000000001E-2</v>
      </c>
      <c r="F156" s="7">
        <v>2</v>
      </c>
      <c r="G156" s="16" t="s">
        <v>22</v>
      </c>
      <c r="H156" s="1" t="s">
        <v>21</v>
      </c>
      <c r="I156" s="2">
        <v>2287</v>
      </c>
      <c r="J156" s="2">
        <f>I156-'Controls-Split'!$D$7</f>
        <v>929</v>
      </c>
      <c r="K156" s="1">
        <f>J156/'Controls-Split'!$C$7</f>
        <v>1.508190333944835E-2</v>
      </c>
      <c r="L156" s="1" t="str">
        <f>IF(K156&gt;'Controls-Split'!$I$7,"Pos","Neg")</f>
        <v>Neg</v>
      </c>
      <c r="M156" s="17">
        <v>4</v>
      </c>
      <c r="N156" t="s">
        <v>24</v>
      </c>
      <c r="O156" t="s">
        <v>23</v>
      </c>
      <c r="P156">
        <v>1908</v>
      </c>
      <c r="Q156" s="19">
        <f>P156/'Controls-Split'!$D$33</f>
        <v>0.74183514774494552</v>
      </c>
      <c r="R156" s="1" t="str">
        <f>IF(Q156&gt;'Controls-Split'!$J$33,"Pos","Neg")</f>
        <v>Neg</v>
      </c>
      <c r="S156">
        <v>10</v>
      </c>
    </row>
    <row r="157" spans="1:19" x14ac:dyDescent="0.2">
      <c r="A157" t="s">
        <v>29</v>
      </c>
      <c r="B157" t="s">
        <v>53</v>
      </c>
      <c r="C157" s="6" t="s">
        <v>20</v>
      </c>
      <c r="D157" t="s">
        <v>23</v>
      </c>
      <c r="E157">
        <v>3.5999999999999997E-2</v>
      </c>
      <c r="F157" s="7">
        <v>2</v>
      </c>
      <c r="G157" s="16" t="s">
        <v>22</v>
      </c>
      <c r="H157" s="1" t="s">
        <v>21</v>
      </c>
      <c r="I157" s="2">
        <v>16009</v>
      </c>
      <c r="J157" s="2">
        <f>I157-'Controls-Split'!$D$7</f>
        <v>14651</v>
      </c>
      <c r="K157" s="1">
        <f>J157/'Controls-Split'!$C$7</f>
        <v>0.23785249281620857</v>
      </c>
      <c r="L157" s="1" t="str">
        <f>IF(K157&gt;'Controls-Split'!$I$7,"Pos","Neg")</f>
        <v>Pos</v>
      </c>
      <c r="M157" s="17">
        <v>4</v>
      </c>
      <c r="N157" t="s">
        <v>24</v>
      </c>
      <c r="O157" t="s">
        <v>23</v>
      </c>
      <c r="P157">
        <v>2413</v>
      </c>
      <c r="Q157" s="19">
        <f>P157/'Controls-Split'!$D$33</f>
        <v>0.93818040435458783</v>
      </c>
      <c r="R157" s="1" t="str">
        <f>IF(Q157&gt;'Controls-Split'!$J$33,"Pos","Neg")</f>
        <v>Neg</v>
      </c>
      <c r="S157">
        <v>10</v>
      </c>
    </row>
    <row r="158" spans="1:19" x14ac:dyDescent="0.2">
      <c r="A158" t="s">
        <v>29</v>
      </c>
      <c r="B158" t="s">
        <v>55</v>
      </c>
      <c r="C158" s="6" t="s">
        <v>20</v>
      </c>
      <c r="D158" t="s">
        <v>23</v>
      </c>
      <c r="E158">
        <v>3.1E-2</v>
      </c>
      <c r="F158" s="7">
        <v>2</v>
      </c>
      <c r="G158" s="16" t="s">
        <v>22</v>
      </c>
      <c r="H158" s="1" t="s">
        <v>21</v>
      </c>
      <c r="I158" s="2">
        <v>14100</v>
      </c>
      <c r="J158" s="2">
        <f>I158-'Controls-Split'!$D$7</f>
        <v>12742</v>
      </c>
      <c r="K158" s="1">
        <f>J158/'Controls-Split'!$C$7</f>
        <v>0.2068607237365456</v>
      </c>
      <c r="L158" s="1" t="str">
        <f>IF(K158&gt;'Controls-Split'!$I$7,"Pos","Neg")</f>
        <v>Pos</v>
      </c>
      <c r="M158" s="17">
        <v>4</v>
      </c>
      <c r="N158" t="s">
        <v>24</v>
      </c>
      <c r="O158" t="s">
        <v>23</v>
      </c>
      <c r="P158">
        <v>1901</v>
      </c>
      <c r="Q158" s="19">
        <f>P158/'Controls-Split'!$D$33</f>
        <v>0.7391135303265941</v>
      </c>
      <c r="R158" s="1" t="str">
        <f>IF(Q158&gt;'Controls-Split'!$J$33,"Pos","Neg")</f>
        <v>Neg</v>
      </c>
      <c r="S158">
        <v>10</v>
      </c>
    </row>
    <row r="159" spans="1:19" x14ac:dyDescent="0.2">
      <c r="A159" t="s">
        <v>29</v>
      </c>
      <c r="B159" t="s">
        <v>110</v>
      </c>
      <c r="C159" s="6" t="s">
        <v>19</v>
      </c>
      <c r="D159" t="s">
        <v>26</v>
      </c>
      <c r="E159">
        <v>3.9E-2</v>
      </c>
      <c r="F159" s="7">
        <v>2</v>
      </c>
      <c r="G159" s="16" t="s">
        <v>21</v>
      </c>
      <c r="H159" s="1" t="s">
        <v>22</v>
      </c>
      <c r="I159" s="2">
        <v>2700</v>
      </c>
      <c r="J159" s="2">
        <f>I159-'Controls-Split'!$D$7</f>
        <v>1342</v>
      </c>
      <c r="K159" s="1">
        <f>J159/'Controls-Split'!$C$7</f>
        <v>2.1786775329967367E-2</v>
      </c>
      <c r="L159" s="1" t="str">
        <f>IF(K159&gt;'Controls-Split'!$I$7,"Pos","Neg")</f>
        <v>Neg</v>
      </c>
      <c r="M159" s="17">
        <v>4</v>
      </c>
      <c r="N159" t="s">
        <v>23</v>
      </c>
      <c r="O159" t="s">
        <v>24</v>
      </c>
      <c r="P159" s="23">
        <v>11805</v>
      </c>
      <c r="Q159" s="19">
        <f>P159/'Controls-Split'!$D$32</f>
        <v>4.7543294401933149</v>
      </c>
      <c r="R159" s="1" t="str">
        <f>IF(Q159&gt;'Controls-Split'!$J$32,"Pos","Neg")</f>
        <v>Pos</v>
      </c>
      <c r="S159">
        <v>9</v>
      </c>
    </row>
    <row r="160" spans="1:19" x14ac:dyDescent="0.2">
      <c r="A160" t="s">
        <v>29</v>
      </c>
      <c r="B160" t="s">
        <v>65</v>
      </c>
      <c r="C160" s="6" t="s">
        <v>20</v>
      </c>
      <c r="D160" t="s">
        <v>19</v>
      </c>
      <c r="E160">
        <v>4.9000000000000002E-2</v>
      </c>
      <c r="F160" s="7">
        <v>1</v>
      </c>
      <c r="G160" s="16" t="s">
        <v>22</v>
      </c>
      <c r="H160" s="1" t="s">
        <v>21</v>
      </c>
      <c r="I160" s="2">
        <v>4046</v>
      </c>
      <c r="J160" s="2">
        <f>I160-'Controls-Split'!$D$7</f>
        <v>2688</v>
      </c>
      <c r="K160" s="1">
        <f>J160/'Controls-Split'!$C$7</f>
        <v>4.3638488887445814E-2</v>
      </c>
      <c r="L160" s="1" t="str">
        <f>IF(K160&gt;'Controls-Split'!$I$7,"Pos","Neg")</f>
        <v>Pos</v>
      </c>
      <c r="M160" s="17">
        <v>4</v>
      </c>
      <c r="N160" t="s">
        <v>24</v>
      </c>
      <c r="O160" t="s">
        <v>23</v>
      </c>
      <c r="P160">
        <v>1445</v>
      </c>
      <c r="Q160" s="19">
        <f>P160/'Controls-Split'!$D$33</f>
        <v>0.56181959564541217</v>
      </c>
      <c r="R160" s="1" t="str">
        <f>IF(Q160&gt;'Controls-Split'!$J$33,"Pos","Neg")</f>
        <v>Neg</v>
      </c>
      <c r="S160">
        <v>10</v>
      </c>
    </row>
    <row r="161" spans="1:19" x14ac:dyDescent="0.2">
      <c r="A161" t="s">
        <v>29</v>
      </c>
      <c r="B161" t="s">
        <v>94</v>
      </c>
      <c r="C161" s="6" t="s">
        <v>20</v>
      </c>
      <c r="D161" t="s">
        <v>23</v>
      </c>
      <c r="E161">
        <v>2.7E-2</v>
      </c>
      <c r="F161" s="7">
        <v>2</v>
      </c>
      <c r="G161" s="16" t="s">
        <v>22</v>
      </c>
      <c r="H161" s="1" t="s">
        <v>21</v>
      </c>
      <c r="I161" s="2">
        <v>7492</v>
      </c>
      <c r="J161" s="2">
        <f>I161-'Controls-Split'!$D$7</f>
        <v>6134</v>
      </c>
      <c r="K161" s="1">
        <f>J161/'Controls-Split'!$C$7</f>
        <v>9.9582771888241314E-2</v>
      </c>
      <c r="L161" s="1" t="str">
        <f>IF(K161&gt;'Controls-Split'!$I$7,"Pos","Neg")</f>
        <v>Pos</v>
      </c>
      <c r="M161" s="17">
        <v>4</v>
      </c>
      <c r="N161" t="s">
        <v>24</v>
      </c>
      <c r="O161" t="s">
        <v>23</v>
      </c>
      <c r="P161">
        <v>2253</v>
      </c>
      <c r="Q161" s="19">
        <f>P161/'Controls-Split'!$D$33</f>
        <v>0.87597200622083982</v>
      </c>
      <c r="R161" s="1" t="str">
        <f>IF(Q161&gt;'Controls-Split'!$J$33,"Pos","Neg")</f>
        <v>Neg</v>
      </c>
      <c r="S161">
        <v>10</v>
      </c>
    </row>
    <row r="162" spans="1:19" x14ac:dyDescent="0.2">
      <c r="A162" t="s">
        <v>107</v>
      </c>
      <c r="B162" t="s">
        <v>58</v>
      </c>
      <c r="C162" s="6" t="s">
        <v>23</v>
      </c>
      <c r="D162" t="s">
        <v>20</v>
      </c>
      <c r="E162">
        <v>0.12089999999999999</v>
      </c>
      <c r="F162" s="7">
        <v>2</v>
      </c>
      <c r="G162" s="16" t="s">
        <v>21</v>
      </c>
      <c r="H162" s="1" t="s">
        <v>22</v>
      </c>
      <c r="I162" s="2">
        <v>20409</v>
      </c>
      <c r="J162" s="2">
        <f>I162-'Controls-Split'!$D$8</f>
        <v>19774.599999999999</v>
      </c>
      <c r="K162" s="1">
        <f>J162/'Controls-Split'!$C$8</f>
        <v>0.4362499613930278</v>
      </c>
      <c r="L162" s="1" t="str">
        <f>IF(K162&gt;'Controls-Split'!$I$8,"Pos","Neg")</f>
        <v>Pos</v>
      </c>
      <c r="M162" s="17">
        <v>5</v>
      </c>
      <c r="N162" t="s">
        <v>23</v>
      </c>
      <c r="O162" t="s">
        <v>24</v>
      </c>
      <c r="P162">
        <v>11915</v>
      </c>
      <c r="Q162" s="19">
        <f>P162/'Controls-Split'!$D$33</f>
        <v>4.6325816485225504</v>
      </c>
      <c r="R162" s="1" t="str">
        <f>IF(Q162&gt;'Controls-Split'!$J$33,"Pos","Neg")</f>
        <v>Pos</v>
      </c>
      <c r="S162">
        <v>10</v>
      </c>
    </row>
    <row r="163" spans="1:19" x14ac:dyDescent="0.2">
      <c r="A163" t="s">
        <v>107</v>
      </c>
      <c r="B163" t="s">
        <v>111</v>
      </c>
      <c r="C163" s="6" t="s">
        <v>20</v>
      </c>
      <c r="D163" t="s">
        <v>23</v>
      </c>
      <c r="E163">
        <v>6.1499999999999999E-2</v>
      </c>
      <c r="F163" s="7">
        <v>2</v>
      </c>
      <c r="G163" s="16" t="s">
        <v>22</v>
      </c>
      <c r="H163" s="1" t="s">
        <v>21</v>
      </c>
      <c r="I163" s="2">
        <v>1079</v>
      </c>
      <c r="J163" s="2">
        <f>I163-'Controls-Split'!$D$8</f>
        <v>444.6</v>
      </c>
      <c r="K163" s="1">
        <f>J163/'Controls-Split'!$C$8</f>
        <v>9.8083770511332817E-3</v>
      </c>
      <c r="L163" s="1" t="str">
        <f>IF(K163&gt;'Controls-Split'!$I$8,"Pos","Neg")</f>
        <v>Neg</v>
      </c>
      <c r="M163" s="17">
        <v>5</v>
      </c>
      <c r="N163" t="s">
        <v>24</v>
      </c>
      <c r="O163" t="s">
        <v>23</v>
      </c>
      <c r="P163">
        <v>1941</v>
      </c>
      <c r="Q163" s="19">
        <f>P163/'Controls-Split'!$D$29</f>
        <v>1.5742092457420924</v>
      </c>
      <c r="R163" s="1" t="str">
        <f>IF(Q163&gt;'Controls-Split'!$J$29,"Pos","Neg")</f>
        <v>Neg</v>
      </c>
      <c r="S163">
        <v>6</v>
      </c>
    </row>
    <row r="164" spans="1:19" x14ac:dyDescent="0.2">
      <c r="A164" t="s">
        <v>107</v>
      </c>
      <c r="B164" t="s">
        <v>29</v>
      </c>
      <c r="C164" s="6" t="s">
        <v>23</v>
      </c>
      <c r="D164" t="s">
        <v>20</v>
      </c>
      <c r="E164">
        <v>6.0400000000000002E-2</v>
      </c>
      <c r="F164" s="7">
        <v>2</v>
      </c>
      <c r="G164" s="16" t="s">
        <v>21</v>
      </c>
      <c r="H164" s="1" t="s">
        <v>22</v>
      </c>
      <c r="I164" s="2">
        <v>4297</v>
      </c>
      <c r="J164" s="2">
        <f>I164-'Controls-Split'!$D$8</f>
        <v>3662.6</v>
      </c>
      <c r="K164" s="1">
        <f>J164/'Controls-Split'!$C$8</f>
        <v>8.0801083642556795E-2</v>
      </c>
      <c r="L164" s="1" t="str">
        <f>IF(K164&gt;'Controls-Split'!$I$8,"Pos","Neg")</f>
        <v>Pos</v>
      </c>
      <c r="M164" s="17">
        <v>5</v>
      </c>
      <c r="N164" t="s">
        <v>23</v>
      </c>
      <c r="O164" t="s">
        <v>24</v>
      </c>
      <c r="P164">
        <v>1150</v>
      </c>
      <c r="Q164" s="19">
        <f>P164/'Controls-Split'!$D$34</f>
        <v>0.88122605363984674</v>
      </c>
      <c r="R164" s="1" t="str">
        <f>IF(Q164&gt;'Controls-Split'!$J$34,"Pos","Neg")</f>
        <v>Neg</v>
      </c>
      <c r="S164">
        <v>11</v>
      </c>
    </row>
    <row r="165" spans="1:19" x14ac:dyDescent="0.2">
      <c r="A165" t="s">
        <v>107</v>
      </c>
      <c r="B165" t="s">
        <v>36</v>
      </c>
      <c r="C165" s="6" t="s">
        <v>23</v>
      </c>
      <c r="D165" t="s">
        <v>26</v>
      </c>
      <c r="E165">
        <v>5.62E-2</v>
      </c>
      <c r="F165" s="7">
        <v>2</v>
      </c>
      <c r="G165" s="16" t="s">
        <v>21</v>
      </c>
      <c r="H165" s="1" t="s">
        <v>22</v>
      </c>
      <c r="I165" s="2">
        <v>600</v>
      </c>
      <c r="J165" s="2">
        <f>I165-'Controls-Split'!$D$8</f>
        <v>-34.399999999999977</v>
      </c>
      <c r="K165" s="1">
        <f>J165/'Controls-Split'!$C$8</f>
        <v>-7.5890276778898928E-4</v>
      </c>
      <c r="L165" s="1" t="str">
        <f>IF(K165&gt;'Controls-Split'!$I$8,"Pos","Neg")</f>
        <v>Neg</v>
      </c>
      <c r="M165" s="17">
        <v>5</v>
      </c>
      <c r="N165" t="s">
        <v>23</v>
      </c>
      <c r="O165" t="s">
        <v>24</v>
      </c>
      <c r="P165">
        <v>2238</v>
      </c>
      <c r="Q165" s="19">
        <f>P165/'Controls-Split'!$D$26</f>
        <v>1.1553949406298401</v>
      </c>
      <c r="R165" s="1" t="str">
        <f>IF(Q165&gt;'Controls-Split'!$J$26,"Pos","Neg")</f>
        <v>Neg</v>
      </c>
      <c r="S165">
        <v>3</v>
      </c>
    </row>
    <row r="166" spans="1:19" x14ac:dyDescent="0.2">
      <c r="A166" t="s">
        <v>107</v>
      </c>
      <c r="B166" t="s">
        <v>38</v>
      </c>
      <c r="C166" s="6" t="s">
        <v>23</v>
      </c>
      <c r="D166" t="s">
        <v>20</v>
      </c>
      <c r="E166">
        <v>3.7199999999999997E-2</v>
      </c>
      <c r="F166" s="7">
        <v>2</v>
      </c>
      <c r="G166" s="16" t="s">
        <v>21</v>
      </c>
      <c r="H166" s="1" t="s">
        <v>22</v>
      </c>
      <c r="I166" s="2">
        <v>2716</v>
      </c>
      <c r="J166" s="2">
        <f>I166-'Controls-Split'!$D$8</f>
        <v>2081.6</v>
      </c>
      <c r="K166" s="1">
        <f>J166/'Controls-Split'!$C$8</f>
        <v>4.5922441902022125E-2</v>
      </c>
      <c r="L166" s="1" t="str">
        <f>IF(K166&gt;'Controls-Split'!$I$8,"Pos","Neg")</f>
        <v>Pos</v>
      </c>
      <c r="M166" s="17">
        <v>5</v>
      </c>
      <c r="N166" t="s">
        <v>23</v>
      </c>
      <c r="O166" t="s">
        <v>24</v>
      </c>
      <c r="P166">
        <v>1418</v>
      </c>
      <c r="Q166" s="19">
        <f>P166/'Controls-Split'!$D$30</f>
        <v>1.0924499229583975</v>
      </c>
      <c r="R166" s="1" t="str">
        <f>IF(Q166&gt;'Controls-Split'!$J$30,"Pos","Neg")</f>
        <v>Neg</v>
      </c>
      <c r="S166">
        <v>7</v>
      </c>
    </row>
    <row r="167" spans="1:19" x14ac:dyDescent="0.2">
      <c r="A167" t="s">
        <v>108</v>
      </c>
      <c r="B167" t="s">
        <v>43</v>
      </c>
      <c r="C167" s="6" t="s">
        <v>23</v>
      </c>
      <c r="D167" t="s">
        <v>20</v>
      </c>
      <c r="E167">
        <v>3.5700000000000003E-2</v>
      </c>
      <c r="F167" s="7">
        <v>2</v>
      </c>
      <c r="G167" s="16" t="s">
        <v>21</v>
      </c>
      <c r="H167" s="1" t="s">
        <v>22</v>
      </c>
      <c r="I167" s="2">
        <v>880</v>
      </c>
      <c r="J167" s="2">
        <f>I167-'Controls-Split'!$D$8</f>
        <v>245.60000000000002</v>
      </c>
      <c r="K167" s="1">
        <f>J167/'Controls-Split'!$C$8</f>
        <v>5.4182127839818572E-3</v>
      </c>
      <c r="L167" s="1" t="str">
        <f>IF(K167&gt;'Controls-Split'!$I$8,"Pos","Neg")</f>
        <v>Neg</v>
      </c>
      <c r="M167" s="17">
        <v>5</v>
      </c>
      <c r="N167" s="23" t="s">
        <v>23</v>
      </c>
      <c r="O167" s="23" t="s">
        <v>24</v>
      </c>
      <c r="P167" s="23">
        <v>1712</v>
      </c>
      <c r="Q167" s="19">
        <f>P167/'Controls-Split'!$D$34</f>
        <v>1.3118773946360154</v>
      </c>
      <c r="R167" s="1" t="str">
        <f>IF(Q167&gt;'Controls-Split'!$J$34,"Pos","Neg")</f>
        <v>Neg</v>
      </c>
      <c r="S167">
        <v>11</v>
      </c>
    </row>
    <row r="168" spans="1:19" x14ac:dyDescent="0.2">
      <c r="A168" t="s">
        <v>108</v>
      </c>
      <c r="B168" t="s">
        <v>69</v>
      </c>
      <c r="C168" s="6" t="s">
        <v>23</v>
      </c>
      <c r="D168" t="s">
        <v>20</v>
      </c>
      <c r="E168">
        <v>3.6200000000000003E-2</v>
      </c>
      <c r="F168" s="7">
        <v>1</v>
      </c>
      <c r="G168" s="16" t="s">
        <v>21</v>
      </c>
      <c r="H168" s="1" t="s">
        <v>22</v>
      </c>
      <c r="I168" s="2">
        <v>1008</v>
      </c>
      <c r="J168" s="2">
        <f>I168-'Controls-Split'!$D$8</f>
        <v>373.6</v>
      </c>
      <c r="K168" s="1">
        <f>J168/'Controls-Split'!$C$8</f>
        <v>8.2420370362199583E-3</v>
      </c>
      <c r="L168" s="1" t="str">
        <f>IF(K168&gt;'Controls-Split'!$I$8,"Pos","Neg")</f>
        <v>Neg</v>
      </c>
      <c r="M168" s="17">
        <v>5</v>
      </c>
      <c r="N168" s="23" t="s">
        <v>23</v>
      </c>
      <c r="O168" s="23" t="s">
        <v>24</v>
      </c>
      <c r="P168" s="23">
        <v>1980</v>
      </c>
      <c r="Q168" s="19">
        <f>P168/'Controls-Split'!$D$34</f>
        <v>1.5172413793103448</v>
      </c>
      <c r="R168" s="1" t="str">
        <f>IF(Q168&gt;'Controls-Split'!$J$34,"Pos","Neg")</f>
        <v>Neg</v>
      </c>
      <c r="S168">
        <v>11</v>
      </c>
    </row>
    <row r="169" spans="1:19" x14ac:dyDescent="0.2">
      <c r="A169" t="s">
        <v>108</v>
      </c>
      <c r="B169" t="s">
        <v>74</v>
      </c>
      <c r="C169" s="6" t="s">
        <v>23</v>
      </c>
      <c r="D169" t="s">
        <v>26</v>
      </c>
      <c r="E169">
        <v>3.5400000000000001E-2</v>
      </c>
      <c r="F169" s="7">
        <v>2</v>
      </c>
      <c r="G169" s="16" t="s">
        <v>21</v>
      </c>
      <c r="H169" s="1" t="s">
        <v>22</v>
      </c>
      <c r="I169" s="2">
        <v>603</v>
      </c>
      <c r="J169" s="2">
        <f>I169-'Controls-Split'!$D$8</f>
        <v>-31.399999999999977</v>
      </c>
      <c r="K169" s="1">
        <f>J169/'Controls-Split'!$C$8</f>
        <v>-6.9271938687715873E-4</v>
      </c>
      <c r="L169" s="1" t="str">
        <f>IF(K169&gt;'Controls-Split'!$I$8,"Pos","Neg")</f>
        <v>Neg</v>
      </c>
      <c r="M169" s="17">
        <v>5</v>
      </c>
      <c r="N169" s="23" t="s">
        <v>23</v>
      </c>
      <c r="O169" s="23" t="s">
        <v>24</v>
      </c>
      <c r="P169" s="23">
        <v>2648</v>
      </c>
      <c r="Q169" s="19">
        <f>P169/'Controls-Split'!$D$27</f>
        <v>1.2885644768856448</v>
      </c>
      <c r="R169" s="1" t="str">
        <f>IF(Q169&gt;'Controls-Split'!$J$27,"Pos","Neg")</f>
        <v>Neg</v>
      </c>
      <c r="S169" s="23">
        <v>4</v>
      </c>
    </row>
    <row r="170" spans="1:19" x14ac:dyDescent="0.2">
      <c r="A170" t="s">
        <v>108</v>
      </c>
      <c r="B170" t="s">
        <v>112</v>
      </c>
      <c r="C170" s="6" t="s">
        <v>23</v>
      </c>
      <c r="D170" t="s">
        <v>20</v>
      </c>
      <c r="E170">
        <v>4.0500000000000001E-2</v>
      </c>
      <c r="F170" s="7">
        <v>1</v>
      </c>
      <c r="G170" s="16" t="s">
        <v>21</v>
      </c>
      <c r="H170" s="1" t="s">
        <v>22</v>
      </c>
      <c r="I170" s="2">
        <v>801</v>
      </c>
      <c r="J170" s="2">
        <f>I170-'Controls-Split'!$D$8</f>
        <v>166.60000000000002</v>
      </c>
      <c r="K170" s="1">
        <f>J170/'Controls-Split'!$C$8</f>
        <v>3.6753837533036542E-3</v>
      </c>
      <c r="L170" s="1" t="str">
        <f>IF(K170&gt;'Controls-Split'!$I$8,"Pos","Neg")</f>
        <v>Neg</v>
      </c>
      <c r="M170" s="17">
        <v>5</v>
      </c>
      <c r="N170" t="s">
        <v>23</v>
      </c>
      <c r="O170" t="s">
        <v>24</v>
      </c>
      <c r="P170">
        <v>2300</v>
      </c>
      <c r="Q170" s="19">
        <f>P170/'Controls-Split'!$D$26</f>
        <v>1.1874032008260196</v>
      </c>
      <c r="R170" s="1" t="str">
        <f>IF(Q170&gt;'Controls-Split'!$J$26,"Pos","Neg")</f>
        <v>Pos</v>
      </c>
      <c r="S170">
        <v>3</v>
      </c>
    </row>
    <row r="171" spans="1:19" x14ac:dyDescent="0.2">
      <c r="A171" t="s">
        <v>108</v>
      </c>
      <c r="B171" t="s">
        <v>108</v>
      </c>
      <c r="C171" s="6" t="s">
        <v>19</v>
      </c>
      <c r="D171" t="s">
        <v>26</v>
      </c>
      <c r="E171">
        <v>0.28499999999999998</v>
      </c>
      <c r="F171" s="7">
        <v>2</v>
      </c>
      <c r="G171" s="16" t="s">
        <v>21</v>
      </c>
      <c r="H171" s="1" t="s">
        <v>22</v>
      </c>
      <c r="I171" s="2">
        <v>1527</v>
      </c>
      <c r="J171" s="2">
        <f>I171-'Controls-Split'!$D$8</f>
        <v>892.6</v>
      </c>
      <c r="K171" s="1">
        <f>J171/'Controls-Split'!$C$8</f>
        <v>1.9691761933966635E-2</v>
      </c>
      <c r="L171" s="1" t="str">
        <f>IF(K171&gt;'Controls-Split'!$I$8,"Pos","Neg")</f>
        <v>Neg</v>
      </c>
      <c r="M171" s="17">
        <v>5</v>
      </c>
      <c r="N171" t="s">
        <v>23</v>
      </c>
      <c r="O171" t="s">
        <v>24</v>
      </c>
      <c r="P171">
        <v>1985</v>
      </c>
      <c r="Q171" s="19">
        <f>P171/'Controls-Split'!$D$29</f>
        <v>1.6098945660989457</v>
      </c>
      <c r="R171" s="1" t="str">
        <f>IF(Q171&gt;'Controls-Split'!$J$29,"Pos","Neg")</f>
        <v>Neg</v>
      </c>
      <c r="S171">
        <v>6</v>
      </c>
    </row>
    <row r="172" spans="1:19" x14ac:dyDescent="0.2">
      <c r="A172" t="s">
        <v>108</v>
      </c>
      <c r="B172" t="s">
        <v>92</v>
      </c>
      <c r="C172" s="6" t="s">
        <v>23</v>
      </c>
      <c r="D172" t="s">
        <v>20</v>
      </c>
      <c r="E172">
        <v>4.9799999999999997E-2</v>
      </c>
      <c r="F172" s="7">
        <v>2</v>
      </c>
      <c r="G172" s="16" t="s">
        <v>21</v>
      </c>
      <c r="H172" s="1" t="s">
        <v>22</v>
      </c>
      <c r="I172" s="2">
        <v>484</v>
      </c>
      <c r="J172" s="2">
        <f>I172-'Controls-Split'!$D$8</f>
        <v>-150.39999999999998</v>
      </c>
      <c r="K172" s="1">
        <f>J172/'Controls-Split'!$C$8</f>
        <v>-3.3179934963797689E-3</v>
      </c>
      <c r="L172" s="1" t="str">
        <f>IF(K172&gt;'Controls-Split'!$I$8,"Pos","Neg")</f>
        <v>Neg</v>
      </c>
      <c r="M172" s="17">
        <v>5</v>
      </c>
      <c r="N172" t="s">
        <v>23</v>
      </c>
      <c r="O172" t="s">
        <v>24</v>
      </c>
      <c r="P172">
        <v>4404</v>
      </c>
      <c r="Q172" s="19">
        <f>P172/'Controls-Split'!$D$32</f>
        <v>1.7736608940797423</v>
      </c>
      <c r="R172" s="1" t="str">
        <f>IF(Q172&gt;'Controls-Split'!$J$32,"Pos","Neg")</f>
        <v>Neg</v>
      </c>
      <c r="S172">
        <v>9</v>
      </c>
    </row>
    <row r="173" spans="1:19" x14ac:dyDescent="0.2">
      <c r="A173" t="s">
        <v>108</v>
      </c>
      <c r="B173" t="s">
        <v>113</v>
      </c>
      <c r="C173" s="6" t="s">
        <v>23</v>
      </c>
      <c r="D173" t="s">
        <v>20</v>
      </c>
      <c r="E173">
        <v>3.15E-2</v>
      </c>
      <c r="F173" s="7">
        <v>1</v>
      </c>
      <c r="G173" s="16" t="s">
        <v>21</v>
      </c>
      <c r="H173" s="1" t="s">
        <v>22</v>
      </c>
      <c r="I173" s="2">
        <v>571</v>
      </c>
      <c r="J173" s="2">
        <f>I173-'Controls-Split'!$D$8</f>
        <v>-63.399999999999977</v>
      </c>
      <c r="K173" s="1">
        <f>J173/'Controls-Split'!$C$8</f>
        <v>-1.3986754499366841E-3</v>
      </c>
      <c r="L173" s="1" t="str">
        <f>IF(K173&gt;'Controls-Split'!$I$8,"Pos","Neg")</f>
        <v>Neg</v>
      </c>
      <c r="M173" s="17">
        <v>5</v>
      </c>
      <c r="N173" t="s">
        <v>23</v>
      </c>
      <c r="O173" t="s">
        <v>24</v>
      </c>
      <c r="P173">
        <v>1900</v>
      </c>
      <c r="Q173" s="19">
        <f>P173/'Controls-Split'!$D$26</f>
        <v>0.98089829633453796</v>
      </c>
      <c r="R173" s="1" t="str">
        <f>IF(Q173&gt;'Controls-Split'!$J$26,"Pos","Neg")</f>
        <v>Neg</v>
      </c>
      <c r="S173">
        <v>3</v>
      </c>
    </row>
    <row r="174" spans="1:19" x14ac:dyDescent="0.2">
      <c r="A174" t="s">
        <v>104</v>
      </c>
      <c r="B174" t="s">
        <v>45</v>
      </c>
      <c r="C174" s="6" t="s">
        <v>20</v>
      </c>
      <c r="D174" t="s">
        <v>19</v>
      </c>
      <c r="E174">
        <v>3.1E-2</v>
      </c>
      <c r="F174" s="7">
        <v>2</v>
      </c>
      <c r="G174" s="16" t="s">
        <v>22</v>
      </c>
      <c r="H174" s="1" t="s">
        <v>21</v>
      </c>
      <c r="I174" s="2">
        <v>877</v>
      </c>
      <c r="J174" s="2">
        <f>I174-'Controls-Split'!$D$8</f>
        <v>242.60000000000002</v>
      </c>
      <c r="K174" s="1">
        <f>J174/'Controls-Split'!$C$8</f>
        <v>5.3520294030700273E-3</v>
      </c>
      <c r="L174" s="1" t="str">
        <f>IF(K174&gt;'Controls-Split'!$I$8,"Pos","Neg")</f>
        <v>Neg</v>
      </c>
      <c r="M174" s="17">
        <v>5</v>
      </c>
      <c r="N174" t="s">
        <v>24</v>
      </c>
      <c r="O174" t="s">
        <v>23</v>
      </c>
      <c r="P174">
        <v>1883</v>
      </c>
      <c r="Q174" s="19">
        <f>P174/'Controls-Split'!$D$29</f>
        <v>1.5271695052716951</v>
      </c>
      <c r="R174" s="1" t="str">
        <f>IF(Q174&gt;'Controls-Split'!$J$29,"Pos","Neg")</f>
        <v>Neg</v>
      </c>
      <c r="S174">
        <v>6</v>
      </c>
    </row>
    <row r="175" spans="1:19" x14ac:dyDescent="0.2">
      <c r="A175" t="s">
        <v>104</v>
      </c>
      <c r="B175" t="s">
        <v>105</v>
      </c>
      <c r="C175" s="6" t="s">
        <v>20</v>
      </c>
      <c r="D175" t="s">
        <v>23</v>
      </c>
      <c r="E175">
        <v>0.16200000000000001</v>
      </c>
      <c r="F175" s="7">
        <v>2</v>
      </c>
      <c r="G175" s="16" t="s">
        <v>22</v>
      </c>
      <c r="H175" s="1" t="s">
        <v>21</v>
      </c>
      <c r="I175" s="2">
        <v>1003</v>
      </c>
      <c r="J175" s="2">
        <f>I175-'Controls-Split'!$D$8</f>
        <v>368.6</v>
      </c>
      <c r="K175" s="1">
        <f>J175/'Controls-Split'!$C$8</f>
        <v>8.1317314013669081E-3</v>
      </c>
      <c r="L175" s="1" t="str">
        <f>IF(K175&gt;'Controls-Split'!$I$8,"Pos","Neg")</f>
        <v>Neg</v>
      </c>
      <c r="M175" s="17">
        <v>5</v>
      </c>
      <c r="N175" s="23" t="s">
        <v>24</v>
      </c>
      <c r="O175" s="23" t="s">
        <v>23</v>
      </c>
      <c r="P175">
        <v>3658</v>
      </c>
      <c r="Q175" s="19">
        <f>P175/'Controls-Split'!$D$30</f>
        <v>2.8181818181818183</v>
      </c>
      <c r="R175" s="1" t="str">
        <f>IF(Q175&gt;'Controls-Split'!$J$30,"Pos","Neg")</f>
        <v>Pos</v>
      </c>
      <c r="S175">
        <v>7</v>
      </c>
    </row>
    <row r="176" spans="1:19" x14ac:dyDescent="0.2">
      <c r="A176" t="s">
        <v>104</v>
      </c>
      <c r="B176" t="s">
        <v>104</v>
      </c>
      <c r="C176" s="6" t="s">
        <v>23</v>
      </c>
      <c r="D176" t="s">
        <v>20</v>
      </c>
      <c r="E176">
        <v>0.218</v>
      </c>
      <c r="F176" s="7">
        <v>2</v>
      </c>
      <c r="G176" s="16" t="s">
        <v>21</v>
      </c>
      <c r="H176" s="1" t="s">
        <v>22</v>
      </c>
      <c r="I176" s="2">
        <v>971</v>
      </c>
      <c r="J176" s="2">
        <f>I176-'Controls-Split'!$D$8</f>
        <v>336.6</v>
      </c>
      <c r="K176" s="1">
        <f>J176/'Controls-Split'!$C$8</f>
        <v>7.4257753383073829E-3</v>
      </c>
      <c r="L176" s="1" t="str">
        <f>IF(K176&gt;'Controls-Split'!$I$8,"Pos","Neg")</f>
        <v>Neg</v>
      </c>
      <c r="M176" s="17">
        <v>5</v>
      </c>
      <c r="N176" s="23" t="s">
        <v>23</v>
      </c>
      <c r="O176" s="23" t="s">
        <v>24</v>
      </c>
      <c r="P176">
        <v>1065</v>
      </c>
      <c r="Q176" s="19">
        <f>P176/'Controls-Split'!$D$30</f>
        <v>0.82049306625577811</v>
      </c>
      <c r="R176" s="1" t="str">
        <f>IF(Q176&gt;'Controls-Split'!$J$30,"Pos","Neg")</f>
        <v>Neg</v>
      </c>
      <c r="S176">
        <v>7</v>
      </c>
    </row>
    <row r="177" spans="1:19" x14ac:dyDescent="0.2">
      <c r="A177" t="s">
        <v>104</v>
      </c>
      <c r="B177" t="s">
        <v>29</v>
      </c>
      <c r="C177" s="6" t="s">
        <v>23</v>
      </c>
      <c r="D177" t="s">
        <v>20</v>
      </c>
      <c r="E177">
        <v>3.5999999999999997E-2</v>
      </c>
      <c r="F177" s="7">
        <v>2</v>
      </c>
      <c r="G177" s="16" t="s">
        <v>21</v>
      </c>
      <c r="H177" s="1" t="s">
        <v>22</v>
      </c>
      <c r="I177" s="2">
        <v>7600</v>
      </c>
      <c r="J177" s="2">
        <f>I177-'Controls-Split'!$D$8</f>
        <v>6965.6</v>
      </c>
      <c r="K177" s="1">
        <f>J177/'Controls-Split'!$C$8</f>
        <v>0.15366898602648218</v>
      </c>
      <c r="L177" s="1" t="str">
        <f>IF(K177&gt;'Controls-Split'!$I$8,"Pos","Neg")</f>
        <v>Pos</v>
      </c>
      <c r="M177" s="17">
        <v>5</v>
      </c>
      <c r="N177" t="s">
        <v>23</v>
      </c>
      <c r="O177" t="s">
        <v>24</v>
      </c>
      <c r="P177">
        <v>10446</v>
      </c>
      <c r="Q177" s="19">
        <f>P177/'Controls-Split'!$D$33</f>
        <v>4.0614307931570766</v>
      </c>
      <c r="R177" s="1" t="str">
        <f>IF(Q177&gt;'Controls-Split'!$J$33,"Pos","Neg")</f>
        <v>Pos</v>
      </c>
      <c r="S177">
        <v>10</v>
      </c>
    </row>
    <row r="178" spans="1:19" x14ac:dyDescent="0.2">
      <c r="A178" t="s">
        <v>104</v>
      </c>
      <c r="B178" t="s">
        <v>61</v>
      </c>
      <c r="C178" s="6" t="s">
        <v>20</v>
      </c>
      <c r="D178" t="s">
        <v>23</v>
      </c>
      <c r="E178">
        <v>5.8999999999999997E-2</v>
      </c>
      <c r="F178" s="7">
        <v>2</v>
      </c>
      <c r="G178" s="16" t="s">
        <v>22</v>
      </c>
      <c r="H178" s="1" t="s">
        <v>21</v>
      </c>
      <c r="I178" s="2">
        <v>874</v>
      </c>
      <c r="J178" s="2">
        <f>I178-'Controls-Split'!$D$8</f>
        <v>239.60000000000002</v>
      </c>
      <c r="K178" s="1">
        <f>J178/'Controls-Split'!$C$8</f>
        <v>5.2858460221581966E-3</v>
      </c>
      <c r="L178" s="1" t="str">
        <f>IF(K178&gt;'Controls-Split'!$I$8,"Pos","Neg")</f>
        <v>Neg</v>
      </c>
      <c r="M178" s="17">
        <v>5</v>
      </c>
      <c r="N178" t="s">
        <v>24</v>
      </c>
      <c r="O178" t="s">
        <v>23</v>
      </c>
      <c r="P178">
        <v>1385</v>
      </c>
      <c r="Q178" s="19">
        <f>P178/'Controls-Split'!$D$35</f>
        <v>0.94928032899246062</v>
      </c>
      <c r="R178" s="1" t="str">
        <f>IF(Q178&gt;'Controls-Split'!$J$35,"Pos","Neg")</f>
        <v>Neg</v>
      </c>
      <c r="S178">
        <v>12</v>
      </c>
    </row>
    <row r="179" spans="1:19" x14ac:dyDescent="0.2">
      <c r="A179" t="s">
        <v>104</v>
      </c>
      <c r="B179" t="s">
        <v>92</v>
      </c>
      <c r="C179" s="6" t="s">
        <v>20</v>
      </c>
      <c r="D179" t="s">
        <v>23</v>
      </c>
      <c r="E179">
        <v>3.2000000000000001E-2</v>
      </c>
      <c r="F179" s="7">
        <v>2</v>
      </c>
      <c r="G179" s="16" t="s">
        <v>22</v>
      </c>
      <c r="H179" s="1" t="s">
        <v>21</v>
      </c>
      <c r="I179" s="2">
        <v>676</v>
      </c>
      <c r="J179" s="2">
        <f>I179-'Controls-Split'!$D$8</f>
        <v>41.600000000000023</v>
      </c>
      <c r="K179" s="1">
        <f>J179/'Controls-Split'!$C$8</f>
        <v>9.1774288197738342E-4</v>
      </c>
      <c r="L179" s="1" t="str">
        <f>IF(K179&gt;'Controls-Split'!$I$8,"Pos","Neg")</f>
        <v>Neg</v>
      </c>
      <c r="M179" s="17">
        <v>5</v>
      </c>
      <c r="N179" t="s">
        <v>24</v>
      </c>
      <c r="O179" t="s">
        <v>23</v>
      </c>
      <c r="P179">
        <v>1095</v>
      </c>
      <c r="Q179" s="19">
        <f>P179/'Controls-Split'!$D$29</f>
        <v>0.88807785888077861</v>
      </c>
      <c r="R179" s="1" t="str">
        <f>IF(Q179&gt;'Controls-Split'!$J$29,"Pos","Neg")</f>
        <v>Neg</v>
      </c>
      <c r="S179">
        <v>6</v>
      </c>
    </row>
    <row r="180" spans="1:19" x14ac:dyDescent="0.2">
      <c r="A180" t="s">
        <v>104</v>
      </c>
      <c r="B180" t="s">
        <v>77</v>
      </c>
      <c r="C180" s="6" t="s">
        <v>20</v>
      </c>
      <c r="D180" t="s">
        <v>19</v>
      </c>
      <c r="E180">
        <v>2.7E-2</v>
      </c>
      <c r="F180" s="7">
        <v>1</v>
      </c>
      <c r="G180" s="16" t="s">
        <v>22</v>
      </c>
      <c r="H180" s="1" t="s">
        <v>21</v>
      </c>
      <c r="I180" s="2">
        <v>948</v>
      </c>
      <c r="J180" s="2">
        <f>I180-'Controls-Split'!$D$8</f>
        <v>313.60000000000002</v>
      </c>
      <c r="K180" s="1">
        <f>J180/'Controls-Split'!$C$8</f>
        <v>6.9183694179833491E-3</v>
      </c>
      <c r="L180" s="1" t="str">
        <f>IF(K180&gt;'Controls-Split'!$I$8,"Pos","Neg")</f>
        <v>Neg</v>
      </c>
      <c r="M180" s="17">
        <v>5</v>
      </c>
      <c r="N180" t="s">
        <v>24</v>
      </c>
      <c r="O180" t="s">
        <v>23</v>
      </c>
      <c r="P180">
        <v>1144</v>
      </c>
      <c r="Q180" s="19">
        <f>P180/'Controls-Split'!$D$29</f>
        <v>0.92781832927818331</v>
      </c>
      <c r="R180" s="1" t="str">
        <f>IF(Q180&gt;'Controls-Split'!$J$29,"Pos","Neg")</f>
        <v>Neg</v>
      </c>
      <c r="S180">
        <v>6</v>
      </c>
    </row>
    <row r="181" spans="1:19" x14ac:dyDescent="0.2">
      <c r="A181" t="s">
        <v>28</v>
      </c>
      <c r="B181" t="s">
        <v>29</v>
      </c>
      <c r="C181" s="6" t="s">
        <v>23</v>
      </c>
      <c r="D181" t="s">
        <v>20</v>
      </c>
      <c r="E181">
        <v>4.9000000000000002E-2</v>
      </c>
      <c r="F181" s="7">
        <v>2</v>
      </c>
      <c r="G181" s="16" t="s">
        <v>21</v>
      </c>
      <c r="H181" s="1" t="s">
        <v>22</v>
      </c>
      <c r="I181" s="2">
        <v>1291</v>
      </c>
      <c r="J181" s="2">
        <f>I181-'Controls-Split'!$D$8</f>
        <v>656.6</v>
      </c>
      <c r="K181" s="1">
        <f>J181/'Controls-Split'!$C$8</f>
        <v>1.4485335968902637E-2</v>
      </c>
      <c r="L181" s="1" t="str">
        <f>IF(K181&gt;'Controls-Split'!$I$8,"Pos","Neg")</f>
        <v>Neg</v>
      </c>
      <c r="M181" s="17">
        <v>5</v>
      </c>
      <c r="N181" t="s">
        <v>23</v>
      </c>
      <c r="O181" t="s">
        <v>24</v>
      </c>
      <c r="P181">
        <v>671</v>
      </c>
      <c r="Q181" s="19">
        <f>P181/'Controls-Split'!$D$34</f>
        <v>0.51417624521072802</v>
      </c>
      <c r="R181" s="1" t="str">
        <f>IF(Q181&gt;'Controls-Split'!$J$34,"Pos","Neg")</f>
        <v>Neg</v>
      </c>
      <c r="S181">
        <v>11</v>
      </c>
    </row>
    <row r="182" spans="1:19" x14ac:dyDescent="0.2">
      <c r="A182" t="s">
        <v>114</v>
      </c>
      <c r="B182" t="s">
        <v>32</v>
      </c>
      <c r="C182" s="6" t="s">
        <v>26</v>
      </c>
      <c r="D182" t="s">
        <v>23</v>
      </c>
      <c r="E182">
        <v>3.7999999999999999E-2</v>
      </c>
      <c r="F182" s="7">
        <v>2</v>
      </c>
      <c r="G182" s="16" t="s">
        <v>22</v>
      </c>
      <c r="H182" s="1" t="s">
        <v>21</v>
      </c>
      <c r="I182" s="2">
        <v>1947</v>
      </c>
      <c r="J182" s="2">
        <f>I182-'Controls-Split'!$D$8</f>
        <v>1312.6</v>
      </c>
      <c r="K182" s="1">
        <f>J182/'Controls-Split'!$C$8</f>
        <v>2.8957435261622904E-2</v>
      </c>
      <c r="L182" s="1" t="str">
        <f>IF(K182&gt;'Controls-Split'!$I$8,"Pos","Neg")</f>
        <v>Pos</v>
      </c>
      <c r="M182" s="17">
        <v>5</v>
      </c>
      <c r="N182" s="23" t="s">
        <v>24</v>
      </c>
      <c r="O182" s="23" t="s">
        <v>23</v>
      </c>
      <c r="P182">
        <v>577</v>
      </c>
      <c r="Q182" s="19">
        <f>P182/'Controls-Split'!$D$30</f>
        <v>0.44453004622496151</v>
      </c>
      <c r="R182" s="1" t="str">
        <f>IF(Q182&gt;'Controls-Split'!$J$30,"Pos","Neg")</f>
        <v>Neg</v>
      </c>
      <c r="S182">
        <v>7</v>
      </c>
    </row>
    <row r="183" spans="1:19" x14ac:dyDescent="0.2">
      <c r="A183" t="s">
        <v>114</v>
      </c>
      <c r="B183" t="s">
        <v>28</v>
      </c>
      <c r="C183" s="6" t="s">
        <v>20</v>
      </c>
      <c r="D183" t="s">
        <v>23</v>
      </c>
      <c r="E183">
        <v>4.7E-2</v>
      </c>
      <c r="F183" s="7">
        <v>2</v>
      </c>
      <c r="G183" s="16" t="s">
        <v>22</v>
      </c>
      <c r="H183" s="1" t="s">
        <v>21</v>
      </c>
      <c r="I183" s="2">
        <v>761</v>
      </c>
      <c r="J183" s="2">
        <f>I183-'Controls-Split'!$D$8</f>
        <v>126.60000000000002</v>
      </c>
      <c r="K183" s="1">
        <f>J183/'Controls-Split'!$C$8</f>
        <v>2.7929386744792476E-3</v>
      </c>
      <c r="L183" s="1" t="str">
        <f>IF(K183&gt;'Controls-Split'!$I$8,"Pos","Neg")</f>
        <v>Neg</v>
      </c>
      <c r="M183" s="17">
        <v>5</v>
      </c>
      <c r="N183" s="23" t="s">
        <v>24</v>
      </c>
      <c r="O183" s="23" t="s">
        <v>23</v>
      </c>
      <c r="P183">
        <v>877</v>
      </c>
      <c r="Q183" s="19">
        <f>P183/'Controls-Split'!$D$30</f>
        <v>0.67565485362095534</v>
      </c>
      <c r="R183" s="1" t="str">
        <f>IF(Q183&gt;'Controls-Split'!$J$30,"Pos","Neg")</f>
        <v>Neg</v>
      </c>
      <c r="S183">
        <v>7</v>
      </c>
    </row>
    <row r="184" spans="1:19" x14ac:dyDescent="0.2">
      <c r="A184" t="s">
        <v>114</v>
      </c>
      <c r="B184" t="s">
        <v>114</v>
      </c>
      <c r="C184" s="6" t="s">
        <v>19</v>
      </c>
      <c r="D184" t="s">
        <v>26</v>
      </c>
      <c r="E184">
        <v>0.121</v>
      </c>
      <c r="F184" s="7">
        <v>2</v>
      </c>
      <c r="G184" s="16" t="s">
        <v>21</v>
      </c>
      <c r="H184" s="1" t="s">
        <v>22</v>
      </c>
      <c r="I184" s="2">
        <v>1089</v>
      </c>
      <c r="J184" s="2">
        <f>I184-'Controls-Split'!$D$8</f>
        <v>454.6</v>
      </c>
      <c r="K184" s="1">
        <f>J184/'Controls-Split'!$C$8</f>
        <v>1.0028988320839382E-2</v>
      </c>
      <c r="L184" s="1" t="str">
        <f>IF(K184&gt;'Controls-Split'!$I$8,"Pos","Neg")</f>
        <v>Neg</v>
      </c>
      <c r="M184" s="17">
        <v>5</v>
      </c>
      <c r="N184" s="23" t="s">
        <v>23</v>
      </c>
      <c r="O184" s="23" t="s">
        <v>24</v>
      </c>
      <c r="P184">
        <v>680</v>
      </c>
      <c r="Q184" s="19">
        <f>P184/'Controls-Split'!$D$30</f>
        <v>0.5238828967642527</v>
      </c>
      <c r="R184" s="1" t="str">
        <f>IF(Q184&gt;'Controls-Split'!$J$30,"Pos","Neg")</f>
        <v>Neg</v>
      </c>
      <c r="S184">
        <v>7</v>
      </c>
    </row>
    <row r="185" spans="1:19" x14ac:dyDescent="0.2">
      <c r="A185" t="s">
        <v>114</v>
      </c>
      <c r="B185" t="s">
        <v>58</v>
      </c>
      <c r="C185" s="6" t="s">
        <v>20</v>
      </c>
      <c r="D185" t="s">
        <v>19</v>
      </c>
      <c r="E185">
        <v>4.1000000000000002E-2</v>
      </c>
      <c r="F185" s="7">
        <v>2</v>
      </c>
      <c r="G185" s="16" t="s">
        <v>22</v>
      </c>
      <c r="H185" s="1" t="s">
        <v>21</v>
      </c>
      <c r="I185" s="2">
        <v>1511</v>
      </c>
      <c r="J185" s="2">
        <f>I185-'Controls-Split'!$D$8</f>
        <v>876.6</v>
      </c>
      <c r="K185" s="1">
        <f>J185/'Controls-Split'!$C$8</f>
        <v>1.9338783902436874E-2</v>
      </c>
      <c r="L185" s="1" t="str">
        <f>IF(K185&gt;'Controls-Split'!$I$8,"Pos","Neg")</f>
        <v>Neg</v>
      </c>
      <c r="M185" s="17">
        <v>5</v>
      </c>
      <c r="N185" s="23" t="s">
        <v>24</v>
      </c>
      <c r="O185" s="23" t="s">
        <v>23</v>
      </c>
      <c r="P185">
        <v>1092</v>
      </c>
      <c r="Q185" s="19">
        <f>P185/'Controls-Split'!$D$30</f>
        <v>0.8412942989214176</v>
      </c>
      <c r="R185" s="1" t="str">
        <f>IF(Q185&gt;'Controls-Split'!$J$30,"Pos","Neg")</f>
        <v>Neg</v>
      </c>
      <c r="S185">
        <v>7</v>
      </c>
    </row>
    <row r="186" spans="1:19" x14ac:dyDescent="0.2">
      <c r="A186" t="s">
        <v>114</v>
      </c>
      <c r="B186" t="s">
        <v>109</v>
      </c>
      <c r="C186" s="6" t="s">
        <v>26</v>
      </c>
      <c r="D186" t="s">
        <v>19</v>
      </c>
      <c r="E186">
        <v>5.8999999999999997E-2</v>
      </c>
      <c r="F186" s="7">
        <v>1</v>
      </c>
      <c r="G186" s="16" t="s">
        <v>22</v>
      </c>
      <c r="H186" s="1" t="s">
        <v>21</v>
      </c>
      <c r="I186" s="2">
        <v>664</v>
      </c>
      <c r="J186" s="2">
        <f>I186-'Controls-Split'!$D$8</f>
        <v>29.600000000000023</v>
      </c>
      <c r="K186" s="1">
        <f>J186/'Controls-Split'!$C$8</f>
        <v>6.5300935833006145E-4</v>
      </c>
      <c r="L186" s="1" t="str">
        <f>IF(K186&gt;'Controls-Split'!$I$8,"Pos","Neg")</f>
        <v>Neg</v>
      </c>
      <c r="M186" s="17">
        <v>5</v>
      </c>
      <c r="N186" s="23" t="s">
        <v>24</v>
      </c>
      <c r="O186" s="23" t="s">
        <v>23</v>
      </c>
      <c r="P186">
        <v>1793</v>
      </c>
      <c r="Q186" s="19">
        <f>P186/'Controls-Split'!$D$30</f>
        <v>1.3813559322033899</v>
      </c>
      <c r="R186" s="1" t="str">
        <f>IF(Q186&gt;'Controls-Split'!$J$30,"Pos","Neg")</f>
        <v>Neg</v>
      </c>
      <c r="S186">
        <v>7</v>
      </c>
    </row>
    <row r="187" spans="1:19" x14ac:dyDescent="0.2">
      <c r="A187" t="s">
        <v>114</v>
      </c>
      <c r="B187" t="s">
        <v>29</v>
      </c>
      <c r="C187" s="6" t="s">
        <v>20</v>
      </c>
      <c r="D187" t="s">
        <v>23</v>
      </c>
      <c r="E187">
        <v>0.10199999999999999</v>
      </c>
      <c r="F187" s="7">
        <v>2</v>
      </c>
      <c r="G187" s="16" t="s">
        <v>22</v>
      </c>
      <c r="H187" s="1" t="s">
        <v>21</v>
      </c>
      <c r="I187" s="2">
        <v>973</v>
      </c>
      <c r="J187" s="2">
        <f>I187-'Controls-Split'!$D$8</f>
        <v>338.6</v>
      </c>
      <c r="K187" s="1">
        <f>J187/'Controls-Split'!$C$8</f>
        <v>7.4698975922486031E-3</v>
      </c>
      <c r="L187" s="1" t="str">
        <f>IF(K187&gt;'Controls-Split'!$I$8,"Pos","Neg")</f>
        <v>Neg</v>
      </c>
      <c r="M187" s="17">
        <v>5</v>
      </c>
      <c r="N187" s="23" t="s">
        <v>24</v>
      </c>
      <c r="O187" s="23" t="s">
        <v>23</v>
      </c>
      <c r="P187">
        <v>2826</v>
      </c>
      <c r="Q187" s="19">
        <f>P187/'Controls-Split'!$D$30</f>
        <v>2.1771956856702621</v>
      </c>
      <c r="R187" s="1" t="str">
        <f>IF(Q187&gt;'Controls-Split'!$J$30,"Pos","Neg")</f>
        <v>Pos</v>
      </c>
      <c r="S187">
        <v>7</v>
      </c>
    </row>
    <row r="188" spans="1:19" x14ac:dyDescent="0.2">
      <c r="A188" t="s">
        <v>90</v>
      </c>
      <c r="B188" t="s">
        <v>18</v>
      </c>
      <c r="C188" s="6" t="s">
        <v>23</v>
      </c>
      <c r="D188" t="s">
        <v>20</v>
      </c>
      <c r="E188">
        <v>5.5E-2</v>
      </c>
      <c r="F188" s="7">
        <v>2</v>
      </c>
      <c r="G188" s="16" t="s">
        <v>21</v>
      </c>
      <c r="H188" s="1" t="s">
        <v>22</v>
      </c>
      <c r="I188" s="2">
        <v>591</v>
      </c>
      <c r="J188" s="2">
        <f>I188-'Controls-Split'!$D$8</f>
        <v>-43.399999999999977</v>
      </c>
      <c r="K188" s="1">
        <f>J188/'Controls-Split'!$C$8</f>
        <v>-9.5745291052448081E-4</v>
      </c>
      <c r="L188" s="1" t="str">
        <f>IF(K188&gt;'Controls-Split'!$I$8,"Pos","Neg")</f>
        <v>Neg</v>
      </c>
      <c r="M188" s="17">
        <v>5</v>
      </c>
      <c r="N188" t="s">
        <v>23</v>
      </c>
      <c r="O188" t="s">
        <v>24</v>
      </c>
      <c r="P188">
        <v>2609</v>
      </c>
      <c r="Q188" s="19">
        <f>P188/'Controls-Split'!$D$35</f>
        <v>1.7882111034955448</v>
      </c>
      <c r="R188" s="1" t="str">
        <f>IF(Q188&gt;'Controls-Split'!$J$35,"Pos","Neg")</f>
        <v>Neg</v>
      </c>
      <c r="S188">
        <v>12</v>
      </c>
    </row>
    <row r="189" spans="1:19" x14ac:dyDescent="0.2">
      <c r="A189" t="s">
        <v>90</v>
      </c>
      <c r="B189" t="s">
        <v>32</v>
      </c>
      <c r="C189" s="6" t="s">
        <v>23</v>
      </c>
      <c r="D189" t="s">
        <v>20</v>
      </c>
      <c r="E189">
        <v>3.4000000000000002E-2</v>
      </c>
      <c r="F189" s="7">
        <v>2</v>
      </c>
      <c r="G189" s="16" t="s">
        <v>21</v>
      </c>
      <c r="H189" s="1" t="s">
        <v>22</v>
      </c>
      <c r="I189" s="2">
        <v>465</v>
      </c>
      <c r="J189" s="2">
        <f>I189-'Controls-Split'!$D$8</f>
        <v>-169.39999999999998</v>
      </c>
      <c r="K189" s="1">
        <f>J189/'Controls-Split'!$C$8</f>
        <v>-3.7371549088213618E-3</v>
      </c>
      <c r="L189" s="1" t="str">
        <f>IF(K189&gt;'Controls-Split'!$I$8,"Pos","Neg")</f>
        <v>Neg</v>
      </c>
      <c r="M189" s="17">
        <v>5</v>
      </c>
      <c r="N189" t="s">
        <v>23</v>
      </c>
      <c r="O189" t="s">
        <v>24</v>
      </c>
      <c r="P189">
        <v>1632</v>
      </c>
      <c r="Q189" s="19">
        <f>P189/'Controls-Split'!$D$35</f>
        <v>1.1185743660041123</v>
      </c>
      <c r="R189" s="1" t="str">
        <f>IF(Q189&gt;'Controls-Split'!$J$35,"Pos","Neg")</f>
        <v>Neg</v>
      </c>
      <c r="S189">
        <v>12</v>
      </c>
    </row>
    <row r="190" spans="1:19" x14ac:dyDescent="0.2">
      <c r="A190" t="s">
        <v>29</v>
      </c>
      <c r="B190" t="s">
        <v>66</v>
      </c>
      <c r="C190" s="6" t="s">
        <v>19</v>
      </c>
      <c r="D190" t="s">
        <v>20</v>
      </c>
      <c r="E190">
        <v>3.5999999999999997E-2</v>
      </c>
      <c r="F190" s="7">
        <v>2</v>
      </c>
      <c r="G190" s="16" t="s">
        <v>21</v>
      </c>
      <c r="H190" s="1" t="s">
        <v>22</v>
      </c>
      <c r="I190" s="2">
        <v>2775</v>
      </c>
      <c r="J190" s="2">
        <f>I190-'Controls-Split'!$D$8</f>
        <v>2140.6</v>
      </c>
      <c r="K190" s="1">
        <f>J190/'Controls-Split'!$C$8</f>
        <v>4.7224048393288122E-2</v>
      </c>
      <c r="L190" s="1" t="str">
        <f>IF(K190&gt;'Controls-Split'!$I$8,"Pos","Neg")</f>
        <v>Pos</v>
      </c>
      <c r="M190" s="17">
        <v>5</v>
      </c>
      <c r="N190" t="s">
        <v>23</v>
      </c>
      <c r="O190" t="s">
        <v>24</v>
      </c>
      <c r="P190" s="23">
        <v>1568</v>
      </c>
      <c r="Q190" s="19">
        <f>P190/'Controls-Split'!$D$28</f>
        <v>1.0481283422459893</v>
      </c>
      <c r="R190" s="1" t="str">
        <f>IF(Q190&gt;'Controls-Split'!$J$28,"Pos","Neg")</f>
        <v>Neg</v>
      </c>
      <c r="S190" s="23">
        <v>5</v>
      </c>
    </row>
    <row r="191" spans="1:19" x14ac:dyDescent="0.2">
      <c r="A191" t="s">
        <v>29</v>
      </c>
      <c r="B191" t="s">
        <v>68</v>
      </c>
      <c r="C191" s="6" t="s">
        <v>20</v>
      </c>
      <c r="D191" t="s">
        <v>19</v>
      </c>
      <c r="E191">
        <v>3.5999999999999997E-2</v>
      </c>
      <c r="F191" s="7">
        <v>2</v>
      </c>
      <c r="G191" s="16" t="s">
        <v>22</v>
      </c>
      <c r="H191" s="1" t="s">
        <v>21</v>
      </c>
      <c r="I191" s="2">
        <v>3250</v>
      </c>
      <c r="J191" s="2">
        <f>I191-'Controls-Split'!$D$8</f>
        <v>2615.6</v>
      </c>
      <c r="K191" s="1">
        <f>J191/'Controls-Split'!$C$8</f>
        <v>5.7703083704327952E-2</v>
      </c>
      <c r="L191" s="1" t="str">
        <f>IF(K191&gt;'Controls-Split'!$I$8,"Pos","Neg")</f>
        <v>Pos</v>
      </c>
      <c r="M191" s="17">
        <v>5</v>
      </c>
      <c r="N191" t="s">
        <v>24</v>
      </c>
      <c r="O191" t="s">
        <v>23</v>
      </c>
      <c r="P191">
        <v>5646</v>
      </c>
      <c r="Q191" s="19">
        <f>P191/'Controls-Split'!$D$33</f>
        <v>2.1951788491446345</v>
      </c>
      <c r="R191" s="1" t="str">
        <f>IF(Q191&gt;'Controls-Split'!$J$33,"Pos","Neg")</f>
        <v>Neg</v>
      </c>
      <c r="S191">
        <v>10</v>
      </c>
    </row>
    <row r="192" spans="1:19" x14ac:dyDescent="0.2">
      <c r="A192" t="s">
        <v>29</v>
      </c>
      <c r="B192" t="s">
        <v>70</v>
      </c>
      <c r="C192" s="6" t="s">
        <v>20</v>
      </c>
      <c r="D192" t="s">
        <v>23</v>
      </c>
      <c r="E192">
        <v>4.2000000000000003E-2</v>
      </c>
      <c r="F192" s="7">
        <v>1</v>
      </c>
      <c r="G192" s="16" t="s">
        <v>22</v>
      </c>
      <c r="H192" s="1" t="s">
        <v>21</v>
      </c>
      <c r="I192" s="2">
        <v>4877</v>
      </c>
      <c r="J192" s="2">
        <f>I192-'Controls-Split'!$D$8</f>
        <v>4242.6000000000004</v>
      </c>
      <c r="K192" s="1">
        <f>J192/'Controls-Split'!$C$8</f>
        <v>9.3596537285510706E-2</v>
      </c>
      <c r="L192" s="1" t="str">
        <f>IF(K192&gt;'Controls-Split'!$I$8,"Pos","Neg")</f>
        <v>Pos</v>
      </c>
      <c r="M192" s="17">
        <v>5</v>
      </c>
      <c r="N192" t="s">
        <v>24</v>
      </c>
      <c r="O192" t="s">
        <v>23</v>
      </c>
      <c r="P192">
        <v>25169</v>
      </c>
      <c r="Q192" s="19">
        <f>P192/'Controls-Split'!$D$33</f>
        <v>9.7857698289269059</v>
      </c>
      <c r="R192" s="1" t="str">
        <f>IF(Q192&gt;'Controls-Split'!$J$33,"Pos","Neg")</f>
        <v>Pos</v>
      </c>
      <c r="S192">
        <v>10</v>
      </c>
    </row>
    <row r="193" spans="1:19" x14ac:dyDescent="0.2">
      <c r="A193" t="s">
        <v>29</v>
      </c>
      <c r="B193" t="s">
        <v>45</v>
      </c>
      <c r="C193" s="6" t="s">
        <v>19</v>
      </c>
      <c r="D193" t="s">
        <v>20</v>
      </c>
      <c r="E193">
        <v>0.09</v>
      </c>
      <c r="F193" s="7">
        <v>2</v>
      </c>
      <c r="G193" s="16" t="s">
        <v>21</v>
      </c>
      <c r="H193" s="1" t="s">
        <v>22</v>
      </c>
      <c r="I193" s="2">
        <v>3857</v>
      </c>
      <c r="J193" s="2">
        <f>I193-'Controls-Split'!$D$8</f>
        <v>3222.6</v>
      </c>
      <c r="K193" s="1">
        <f>J193/'Controls-Split'!$C$8</f>
        <v>7.1094187775488329E-2</v>
      </c>
      <c r="L193" s="1" t="str">
        <f>IF(K193&gt;'Controls-Split'!$I$8,"Pos","Neg")</f>
        <v>Pos</v>
      </c>
      <c r="M193" s="17">
        <v>5</v>
      </c>
      <c r="N193" t="s">
        <v>23</v>
      </c>
      <c r="O193" t="s">
        <v>24</v>
      </c>
      <c r="P193">
        <v>2560</v>
      </c>
      <c r="Q193" s="19">
        <f>P193/'Controls-Split'!$D$35</f>
        <v>1.7546264564770391</v>
      </c>
      <c r="R193" s="1" t="str">
        <f>IF(Q193&gt;'Controls-Split'!$J$35,"Pos","Neg")</f>
        <v>Neg</v>
      </c>
      <c r="S193">
        <v>12</v>
      </c>
    </row>
    <row r="194" spans="1:19" x14ac:dyDescent="0.2">
      <c r="A194" t="s">
        <v>29</v>
      </c>
      <c r="B194" t="s">
        <v>72</v>
      </c>
      <c r="C194" s="6" t="s">
        <v>20</v>
      </c>
      <c r="D194" t="s">
        <v>23</v>
      </c>
      <c r="E194">
        <v>4.3999999999999997E-2</v>
      </c>
      <c r="F194" s="7">
        <v>2</v>
      </c>
      <c r="G194" s="16" t="s">
        <v>22</v>
      </c>
      <c r="H194" s="1" t="s">
        <v>21</v>
      </c>
      <c r="I194" s="2">
        <v>17695</v>
      </c>
      <c r="J194" s="2">
        <f>I194-'Controls-Split'!$D$8</f>
        <v>17060.599999999999</v>
      </c>
      <c r="K194" s="1">
        <f>J194/'Controls-Split'!$C$8</f>
        <v>0.3763760627947918</v>
      </c>
      <c r="L194" s="1" t="str">
        <f>IF(K194&gt;'Controls-Split'!$I$8,"Pos","Neg")</f>
        <v>Pos</v>
      </c>
      <c r="M194" s="17">
        <v>5</v>
      </c>
      <c r="N194" t="s">
        <v>24</v>
      </c>
      <c r="O194" t="s">
        <v>23</v>
      </c>
      <c r="P194">
        <v>1261</v>
      </c>
      <c r="Q194" s="19">
        <f>P194/'Controls-Split'!$D$34</f>
        <v>0.96628352490421454</v>
      </c>
      <c r="R194" s="1" t="str">
        <f>IF(Q194&gt;'Controls-Split'!$J$34,"Pos","Neg")</f>
        <v>Neg</v>
      </c>
      <c r="S194">
        <v>11</v>
      </c>
    </row>
    <row r="195" spans="1:19" x14ac:dyDescent="0.2">
      <c r="A195" t="s">
        <v>29</v>
      </c>
      <c r="B195" t="s">
        <v>27</v>
      </c>
      <c r="C195" s="6" t="s">
        <v>20</v>
      </c>
      <c r="D195" t="s">
        <v>23</v>
      </c>
      <c r="E195">
        <v>2.9000000000000001E-2</v>
      </c>
      <c r="F195" s="7">
        <v>2</v>
      </c>
      <c r="G195" s="16" t="s">
        <v>22</v>
      </c>
      <c r="H195" s="1" t="s">
        <v>21</v>
      </c>
      <c r="I195" s="2">
        <v>957</v>
      </c>
      <c r="J195" s="2">
        <f>I195-'Controls-Split'!$D$8</f>
        <v>322.60000000000002</v>
      </c>
      <c r="K195" s="1">
        <f>J195/'Controls-Split'!$C$8</f>
        <v>7.1169195607188405E-3</v>
      </c>
      <c r="L195" s="1" t="str">
        <f>IF(K195&gt;'Controls-Split'!$I$8,"Pos","Neg")</f>
        <v>Neg</v>
      </c>
      <c r="M195" s="17">
        <v>5</v>
      </c>
      <c r="N195" t="s">
        <v>24</v>
      </c>
      <c r="O195" t="s">
        <v>23</v>
      </c>
      <c r="P195">
        <v>2150</v>
      </c>
      <c r="Q195" s="19">
        <f>P195/'Controls-Split'!$D$33</f>
        <v>0.83592534992223955</v>
      </c>
      <c r="R195" s="1" t="str">
        <f>IF(Q195&gt;'Controls-Split'!$J$33,"Pos","Neg")</f>
        <v>Neg</v>
      </c>
      <c r="S195">
        <v>10</v>
      </c>
    </row>
    <row r="196" spans="1:19" x14ac:dyDescent="0.2">
      <c r="A196" t="s">
        <v>29</v>
      </c>
      <c r="B196" t="s">
        <v>112</v>
      </c>
      <c r="C196" s="6" t="s">
        <v>20</v>
      </c>
      <c r="D196" t="s">
        <v>23</v>
      </c>
      <c r="E196">
        <v>4.1000000000000002E-2</v>
      </c>
      <c r="F196" s="7">
        <v>2</v>
      </c>
      <c r="G196" s="16" t="s">
        <v>22</v>
      </c>
      <c r="H196" s="1" t="s">
        <v>21</v>
      </c>
      <c r="I196" s="2">
        <v>778</v>
      </c>
      <c r="J196" s="2">
        <f>I196-'Controls-Split'!$D$8</f>
        <v>143.60000000000002</v>
      </c>
      <c r="K196" s="1">
        <f>J196/'Controls-Split'!$C$8</f>
        <v>3.1679778329796204E-3</v>
      </c>
      <c r="L196" s="1" t="str">
        <f>IF(K196&gt;'Controls-Split'!$I$8,"Pos","Neg")</f>
        <v>Neg</v>
      </c>
      <c r="M196" s="17">
        <v>5</v>
      </c>
      <c r="N196" t="s">
        <v>24</v>
      </c>
      <c r="O196" t="s">
        <v>23</v>
      </c>
      <c r="P196">
        <v>1744</v>
      </c>
      <c r="Q196" s="19">
        <f>P196/'Controls-Split'!$D$33</f>
        <v>0.67807153965785383</v>
      </c>
      <c r="R196" s="1" t="str">
        <f>IF(Q196&gt;'Controls-Split'!$J$33,"Pos","Neg")</f>
        <v>Neg</v>
      </c>
      <c r="S196">
        <v>10</v>
      </c>
    </row>
    <row r="197" spans="1:19" x14ac:dyDescent="0.2">
      <c r="A197" t="s">
        <v>29</v>
      </c>
      <c r="B197" t="s">
        <v>32</v>
      </c>
      <c r="C197" s="6" t="s">
        <v>19</v>
      </c>
      <c r="D197" t="s">
        <v>26</v>
      </c>
      <c r="E197">
        <v>0.115</v>
      </c>
      <c r="F197" s="7">
        <v>2</v>
      </c>
      <c r="G197" s="16" t="s">
        <v>21</v>
      </c>
      <c r="H197" s="1" t="s">
        <v>22</v>
      </c>
      <c r="I197" s="2">
        <v>691</v>
      </c>
      <c r="J197" s="2">
        <f>I197-'Controls-Split'!$D$8</f>
        <v>56.600000000000023</v>
      </c>
      <c r="K197" s="1">
        <f>J197/'Controls-Split'!$C$8</f>
        <v>1.248659786536536E-3</v>
      </c>
      <c r="L197" s="1" t="str">
        <f>IF(K197&gt;'Controls-Split'!$I$8,"Pos","Neg")</f>
        <v>Neg</v>
      </c>
      <c r="M197" s="17">
        <v>5</v>
      </c>
      <c r="N197" t="s">
        <v>23</v>
      </c>
      <c r="O197" t="s">
        <v>24</v>
      </c>
      <c r="P197">
        <v>1547</v>
      </c>
      <c r="Q197" s="19">
        <f>P197/'Controls-Split'!$D$29</f>
        <v>1.2546634225466342</v>
      </c>
      <c r="R197" s="1" t="str">
        <f>IF(Q197&gt;'Controls-Split'!$J$29,"Pos","Neg")</f>
        <v>Neg</v>
      </c>
      <c r="S197">
        <v>6</v>
      </c>
    </row>
    <row r="198" spans="1:19" x14ac:dyDescent="0.2">
      <c r="A198" t="s">
        <v>43</v>
      </c>
      <c r="B198" t="s">
        <v>81</v>
      </c>
      <c r="C198" s="6" t="s">
        <v>23</v>
      </c>
      <c r="D198" t="s">
        <v>20</v>
      </c>
      <c r="E198">
        <v>5.2999999999999999E-2</v>
      </c>
      <c r="F198" s="7">
        <v>1</v>
      </c>
      <c r="G198" s="16" t="s">
        <v>21</v>
      </c>
      <c r="H198" s="1" t="s">
        <v>22</v>
      </c>
      <c r="I198" s="2">
        <v>2156</v>
      </c>
      <c r="J198" s="2">
        <f>I198-'Controls-Split'!$D$9</f>
        <v>-395</v>
      </c>
      <c r="K198" s="1">
        <f>J198/'Controls-Split'!$C$9</f>
        <v>-5.7159395123362999E-3</v>
      </c>
      <c r="L198" s="1" t="str">
        <f>IF(K198&gt;'Controls-Split'!$I$9,"Pos","Neg")</f>
        <v>Neg</v>
      </c>
      <c r="M198" s="17">
        <v>6</v>
      </c>
      <c r="N198" t="s">
        <v>23</v>
      </c>
      <c r="O198" t="s">
        <v>24</v>
      </c>
      <c r="P198">
        <v>1001</v>
      </c>
      <c r="Q198" s="19">
        <f>P198/'Controls-Split'!$D$30</f>
        <v>0.77118644067796616</v>
      </c>
      <c r="R198" s="1" t="str">
        <f>IF(Q198&gt;'Controls-Split'!$J$30,"Pos","Neg")</f>
        <v>Neg</v>
      </c>
      <c r="S198">
        <v>7</v>
      </c>
    </row>
    <row r="199" spans="1:19" x14ac:dyDescent="0.2">
      <c r="A199" t="s">
        <v>90</v>
      </c>
      <c r="B199" t="s">
        <v>90</v>
      </c>
      <c r="C199" s="6" t="s">
        <v>19</v>
      </c>
      <c r="D199" t="s">
        <v>20</v>
      </c>
      <c r="E199">
        <v>6.5000000000000002E-2</v>
      </c>
      <c r="F199" s="7">
        <v>2</v>
      </c>
      <c r="G199" s="16" t="s">
        <v>21</v>
      </c>
      <c r="H199" s="1" t="s">
        <v>22</v>
      </c>
      <c r="I199" s="2">
        <v>2300</v>
      </c>
      <c r="J199" s="2">
        <f>I199-'Controls-Split'!$D$9</f>
        <v>-251</v>
      </c>
      <c r="K199" s="1">
        <f>J199/'Controls-Split'!$C$9</f>
        <v>-3.6321539685985095E-3</v>
      </c>
      <c r="L199" s="1" t="str">
        <f>IF(K199&gt;'Controls-Split'!$I$9,"Pos","Neg")</f>
        <v>Neg</v>
      </c>
      <c r="M199" s="17">
        <v>6</v>
      </c>
      <c r="N199" t="s">
        <v>23</v>
      </c>
      <c r="O199" t="s">
        <v>24</v>
      </c>
      <c r="P199">
        <v>3324</v>
      </c>
      <c r="Q199" s="19">
        <f>P199/'Controls-Split'!$D$35</f>
        <v>2.2782727895819055</v>
      </c>
      <c r="R199" s="1" t="str">
        <f>IF(Q199&gt;'Controls-Split'!$J$35,"Pos","Neg")</f>
        <v>Neg</v>
      </c>
      <c r="S199">
        <v>12</v>
      </c>
    </row>
    <row r="200" spans="1:19" x14ac:dyDescent="0.2">
      <c r="A200" t="s">
        <v>90</v>
      </c>
      <c r="B200" t="s">
        <v>61</v>
      </c>
      <c r="C200" s="6" t="s">
        <v>23</v>
      </c>
      <c r="D200" t="s">
        <v>26</v>
      </c>
      <c r="E200">
        <v>0.111</v>
      </c>
      <c r="F200" s="7">
        <v>2</v>
      </c>
      <c r="G200" s="16" t="s">
        <v>21</v>
      </c>
      <c r="H200" s="1" t="s">
        <v>22</v>
      </c>
      <c r="I200" s="2">
        <v>2842</v>
      </c>
      <c r="J200" s="2">
        <f>I200-'Controls-Split'!$D$9</f>
        <v>291</v>
      </c>
      <c r="K200" s="1">
        <f>J200/'Controls-Split'!$C$9</f>
        <v>4.2109832863034512E-3</v>
      </c>
      <c r="L200" s="1" t="str">
        <f>IF(K200&gt;'Controls-Split'!$I$9,"Pos","Neg")</f>
        <v>Neg</v>
      </c>
      <c r="M200" s="17">
        <v>6</v>
      </c>
      <c r="N200" t="s">
        <v>23</v>
      </c>
      <c r="O200" t="s">
        <v>24</v>
      </c>
      <c r="P200">
        <v>2262</v>
      </c>
      <c r="Q200" s="19">
        <f>P200/'Controls-Split'!$D$35</f>
        <v>1.5503769705277588</v>
      </c>
      <c r="R200" s="1" t="str">
        <f>IF(Q200&gt;'Controls-Split'!$J$35,"Pos","Neg")</f>
        <v>Neg</v>
      </c>
      <c r="S200">
        <v>12</v>
      </c>
    </row>
    <row r="201" spans="1:19" x14ac:dyDescent="0.2">
      <c r="A201" t="s">
        <v>58</v>
      </c>
      <c r="B201" t="s">
        <v>17</v>
      </c>
      <c r="C201" s="6" t="s">
        <v>20</v>
      </c>
      <c r="D201" t="s">
        <v>23</v>
      </c>
      <c r="E201">
        <v>0.105</v>
      </c>
      <c r="F201" s="7">
        <v>2</v>
      </c>
      <c r="G201" s="16" t="s">
        <v>22</v>
      </c>
      <c r="H201" s="1" t="s">
        <v>21</v>
      </c>
      <c r="I201" s="2">
        <v>6187</v>
      </c>
      <c r="J201" s="2">
        <f>I201-'Controls-Split'!$D$9</f>
        <v>3636</v>
      </c>
      <c r="K201" s="1">
        <f>J201/'Controls-Split'!$C$9</f>
        <v>5.2615584979379203E-2</v>
      </c>
      <c r="L201" s="1" t="str">
        <f>IF(K201&gt;'Controls-Split'!$I$9,"Pos","Neg")</f>
        <v>Neg</v>
      </c>
      <c r="M201" s="17">
        <v>6</v>
      </c>
      <c r="N201" t="s">
        <v>24</v>
      </c>
      <c r="O201" t="s">
        <v>23</v>
      </c>
      <c r="P201">
        <v>9488</v>
      </c>
      <c r="Q201" s="19">
        <f>P201/'Controls-Split'!$D$33</f>
        <v>3.6889580093312597</v>
      </c>
      <c r="R201" s="1" t="str">
        <f>IF(Q201&gt;'Controls-Split'!$J$33,"Pos","Neg")</f>
        <v>Neg</v>
      </c>
      <c r="S201">
        <v>10</v>
      </c>
    </row>
    <row r="202" spans="1:19" x14ac:dyDescent="0.2">
      <c r="A202" t="s">
        <v>58</v>
      </c>
      <c r="B202" t="s">
        <v>115</v>
      </c>
      <c r="C202" s="6" t="s">
        <v>20</v>
      </c>
      <c r="D202" t="s">
        <v>23</v>
      </c>
      <c r="E202">
        <v>0.11600000000000001</v>
      </c>
      <c r="F202" s="7">
        <v>2</v>
      </c>
      <c r="G202" s="16" t="s">
        <v>22</v>
      </c>
      <c r="H202" s="1" t="s">
        <v>21</v>
      </c>
      <c r="I202" s="2">
        <v>2445</v>
      </c>
      <c r="J202" s="2">
        <f>I202-'Controls-Split'!$D$9</f>
        <v>-106</v>
      </c>
      <c r="K202" s="1">
        <f>J202/'Controls-Split'!$C$9</f>
        <v>-1.5338976919180957E-3</v>
      </c>
      <c r="L202" s="1" t="str">
        <f>IF(K202&gt;'Controls-Split'!$I$9,"Pos","Neg")</f>
        <v>Neg</v>
      </c>
      <c r="M202" s="17">
        <v>6</v>
      </c>
      <c r="N202" t="s">
        <v>24</v>
      </c>
      <c r="O202" t="s">
        <v>23</v>
      </c>
      <c r="P202">
        <v>2629</v>
      </c>
      <c r="Q202" s="19">
        <f>P202/'Controls-Split'!$D$31</f>
        <v>0.97478680014831298</v>
      </c>
      <c r="R202" s="1" t="str">
        <f>IF(Q202&gt;'Controls-Split'!$J$31,"Pos","Neg")</f>
        <v>Neg</v>
      </c>
      <c r="S202">
        <v>8</v>
      </c>
    </row>
    <row r="203" spans="1:19" x14ac:dyDescent="0.2">
      <c r="A203" t="s">
        <v>58</v>
      </c>
      <c r="B203" t="s">
        <v>31</v>
      </c>
      <c r="C203" s="6" t="s">
        <v>20</v>
      </c>
      <c r="D203" t="s">
        <v>23</v>
      </c>
      <c r="E203">
        <v>9.5000000000000001E-2</v>
      </c>
      <c r="F203" s="7">
        <v>2</v>
      </c>
      <c r="G203" s="16" t="s">
        <v>22</v>
      </c>
      <c r="H203" s="1" t="s">
        <v>21</v>
      </c>
      <c r="I203" s="2">
        <v>7080</v>
      </c>
      <c r="J203" s="2">
        <f>I203-'Controls-Split'!$D$9</f>
        <v>4529</v>
      </c>
      <c r="K203" s="1">
        <f>J203/'Controls-Split'!$C$9</f>
        <v>6.5537949497142034E-2</v>
      </c>
      <c r="L203" s="1" t="str">
        <f>IF(K203&gt;'Controls-Split'!$I$9,"Pos","Neg")</f>
        <v>Neg</v>
      </c>
      <c r="M203" s="17">
        <v>6</v>
      </c>
      <c r="N203" t="s">
        <v>24</v>
      </c>
      <c r="O203" t="s">
        <v>23</v>
      </c>
      <c r="P203">
        <v>903</v>
      </c>
      <c r="Q203" s="19">
        <f>P203/'Controls-Split'!$D$33</f>
        <v>0.3510886469673406</v>
      </c>
      <c r="R203" s="1" t="str">
        <f>IF(Q203&gt;'Controls-Split'!$J$33,"Pos","Neg")</f>
        <v>Neg</v>
      </c>
      <c r="S203">
        <v>10</v>
      </c>
    </row>
    <row r="204" spans="1:19" x14ac:dyDescent="0.2">
      <c r="A204" t="s">
        <v>58</v>
      </c>
      <c r="B204" t="s">
        <v>39</v>
      </c>
      <c r="C204" s="6" t="s">
        <v>20</v>
      </c>
      <c r="D204" t="s">
        <v>19</v>
      </c>
      <c r="E204">
        <v>0.03</v>
      </c>
      <c r="F204" s="7">
        <v>2</v>
      </c>
      <c r="G204" s="16" t="s">
        <v>22</v>
      </c>
      <c r="H204" s="1" t="s">
        <v>21</v>
      </c>
      <c r="I204" s="2">
        <v>15092</v>
      </c>
      <c r="J204" s="2">
        <f>I204-'Controls-Split'!$D$9</f>
        <v>12541</v>
      </c>
      <c r="K204" s="1">
        <f>J204/'Controls-Split'!$C$9</f>
        <v>0.18147746183344188</v>
      </c>
      <c r="L204" s="1" t="str">
        <f>IF(K204&gt;'Controls-Split'!$I$9,"Pos","Neg")</f>
        <v>Pos</v>
      </c>
      <c r="M204" s="17">
        <v>6</v>
      </c>
      <c r="N204" s="23" t="s">
        <v>24</v>
      </c>
      <c r="O204" s="23" t="s">
        <v>23</v>
      </c>
      <c r="P204">
        <v>814</v>
      </c>
      <c r="Q204" s="19">
        <f>P204/'Controls-Split'!$D$31</f>
        <v>0.30181683351872451</v>
      </c>
      <c r="R204" s="1" t="str">
        <f>IF(Q204&gt;'Controls-Split'!$J$31,"Pos","Neg")</f>
        <v>Neg</v>
      </c>
      <c r="S204">
        <v>8</v>
      </c>
    </row>
    <row r="205" spans="1:19" x14ac:dyDescent="0.2">
      <c r="A205" t="s">
        <v>58</v>
      </c>
      <c r="B205" t="s">
        <v>43</v>
      </c>
      <c r="C205" s="6" t="s">
        <v>26</v>
      </c>
      <c r="D205" t="s">
        <v>19</v>
      </c>
      <c r="E205">
        <v>3.6999999999999998E-2</v>
      </c>
      <c r="F205" s="7">
        <v>2</v>
      </c>
      <c r="G205" s="16" t="s">
        <v>22</v>
      </c>
      <c r="H205" s="1" t="s">
        <v>21</v>
      </c>
      <c r="I205" s="2">
        <v>8922</v>
      </c>
      <c r="J205" s="2">
        <f>I205-'Controls-Split'!$D$9</f>
        <v>6371</v>
      </c>
      <c r="K205" s="1">
        <f>J205/'Controls-Split'!$C$9</f>
        <v>9.2193039577454602E-2</v>
      </c>
      <c r="L205" s="1" t="str">
        <f>IF(K205&gt;'Controls-Split'!$I$9,"Pos","Neg")</f>
        <v>Pos</v>
      </c>
      <c r="M205" s="17">
        <v>6</v>
      </c>
      <c r="N205" s="23" t="s">
        <v>24</v>
      </c>
      <c r="O205" s="23" t="s">
        <v>23</v>
      </c>
      <c r="P205">
        <v>1298</v>
      </c>
      <c r="Q205" s="19">
        <f>P205/'Controls-Split'!$D$31</f>
        <v>0.48127549128661473</v>
      </c>
      <c r="R205" s="1" t="str">
        <f>IF(Q205&gt;'Controls-Split'!$J$31,"Pos","Neg")</f>
        <v>Neg</v>
      </c>
      <c r="S205">
        <v>8</v>
      </c>
    </row>
    <row r="206" spans="1:19" x14ac:dyDescent="0.2">
      <c r="A206" t="s">
        <v>58</v>
      </c>
      <c r="B206" t="s">
        <v>49</v>
      </c>
      <c r="C206" s="6" t="s">
        <v>20</v>
      </c>
      <c r="D206" t="s">
        <v>19</v>
      </c>
      <c r="E206">
        <v>0.03</v>
      </c>
      <c r="F206" s="7">
        <v>2</v>
      </c>
      <c r="G206" s="16" t="s">
        <v>22</v>
      </c>
      <c r="H206" s="1" t="s">
        <v>21</v>
      </c>
      <c r="I206" s="2">
        <v>4844</v>
      </c>
      <c r="J206" s="2">
        <f>I206-'Controls-Split'!$D$9</f>
        <v>2293</v>
      </c>
      <c r="K206" s="1">
        <f>J206/'Controls-Split'!$C$9</f>
        <v>3.3181390637435783E-2</v>
      </c>
      <c r="L206" s="1" t="str">
        <f>IF(K206&gt;'Controls-Split'!$I$9,"Pos","Neg")</f>
        <v>Neg</v>
      </c>
      <c r="M206" s="17">
        <v>6</v>
      </c>
      <c r="N206" s="23" t="s">
        <v>24</v>
      </c>
      <c r="O206" s="23" t="s">
        <v>23</v>
      </c>
      <c r="P206">
        <v>637</v>
      </c>
      <c r="Q206" s="19">
        <f>P206/'Controls-Split'!$D$31</f>
        <v>0.23618835743418612</v>
      </c>
      <c r="R206" s="1" t="str">
        <f>IF(Q206&gt;'Controls-Split'!$J$31,"Pos","Neg")</f>
        <v>Neg</v>
      </c>
      <c r="S206">
        <v>8</v>
      </c>
    </row>
    <row r="207" spans="1:19" x14ac:dyDescent="0.2">
      <c r="A207" t="s">
        <v>58</v>
      </c>
      <c r="B207" t="s">
        <v>55</v>
      </c>
      <c r="C207" s="6" t="s">
        <v>20</v>
      </c>
      <c r="D207" t="s">
        <v>23</v>
      </c>
      <c r="E207">
        <v>4.5999999999999999E-2</v>
      </c>
      <c r="F207" s="7">
        <v>2</v>
      </c>
      <c r="G207" s="16" t="s">
        <v>22</v>
      </c>
      <c r="H207" s="1" t="s">
        <v>21</v>
      </c>
      <c r="I207" s="2">
        <v>18143</v>
      </c>
      <c r="J207" s="2">
        <f>I207-'Controls-Split'!$D$9</f>
        <v>15592</v>
      </c>
      <c r="K207" s="1">
        <f>J207/'Controls-Split'!$C$9</f>
        <v>0.22562766804138629</v>
      </c>
      <c r="L207" s="1" t="str">
        <f>IF(K207&gt;'Controls-Split'!$I$9,"Pos","Neg")</f>
        <v>Pos</v>
      </c>
      <c r="M207" s="17">
        <v>6</v>
      </c>
      <c r="N207" s="23" t="s">
        <v>24</v>
      </c>
      <c r="O207" s="23" t="s">
        <v>23</v>
      </c>
      <c r="P207">
        <v>1304</v>
      </c>
      <c r="Q207" s="19">
        <f>P207/'Controls-Split'!$D$31</f>
        <v>0.4835001853911754</v>
      </c>
      <c r="R207" s="1" t="str">
        <f>IF(Q207&gt;'Controls-Split'!$J$31,"Pos","Neg")</f>
        <v>Neg</v>
      </c>
      <c r="S207">
        <v>8</v>
      </c>
    </row>
    <row r="208" spans="1:19" x14ac:dyDescent="0.2">
      <c r="A208" t="s">
        <v>58</v>
      </c>
      <c r="B208" t="s">
        <v>35</v>
      </c>
      <c r="C208" s="6" t="s">
        <v>20</v>
      </c>
      <c r="D208" t="s">
        <v>23</v>
      </c>
      <c r="E208">
        <v>3.6999999999999998E-2</v>
      </c>
      <c r="F208" s="7">
        <v>2</v>
      </c>
      <c r="G208" s="16" t="s">
        <v>22</v>
      </c>
      <c r="H208" s="1" t="s">
        <v>21</v>
      </c>
      <c r="I208" s="2">
        <v>8638</v>
      </c>
      <c r="J208" s="2">
        <f>I208-'Controls-Split'!$D$9</f>
        <v>6087</v>
      </c>
      <c r="K208" s="1">
        <f>J208/'Controls-Split'!$C$9</f>
        <v>8.8083351421749514E-2</v>
      </c>
      <c r="L208" s="1" t="str">
        <f>IF(K208&gt;'Controls-Split'!$I$9,"Pos","Neg")</f>
        <v>Pos</v>
      </c>
      <c r="M208" s="17">
        <v>6</v>
      </c>
      <c r="N208" s="23" t="s">
        <v>24</v>
      </c>
      <c r="O208" s="23" t="s">
        <v>23</v>
      </c>
      <c r="P208">
        <v>4059</v>
      </c>
      <c r="Q208" s="19">
        <f>P208/'Controls-Split'!$D$31</f>
        <v>1.5050055617352613</v>
      </c>
      <c r="R208" s="1" t="str">
        <f>IF(Q208&gt;'Controls-Split'!$J$31,"Pos","Neg")</f>
        <v>Pos</v>
      </c>
      <c r="S208">
        <v>8</v>
      </c>
    </row>
    <row r="209" spans="1:19" x14ac:dyDescent="0.2">
      <c r="A209" t="s">
        <v>58</v>
      </c>
      <c r="B209" t="s">
        <v>110</v>
      </c>
      <c r="C209" s="6" t="s">
        <v>26</v>
      </c>
      <c r="D209" t="s">
        <v>19</v>
      </c>
      <c r="E209">
        <v>0.104</v>
      </c>
      <c r="F209" s="7">
        <v>1</v>
      </c>
      <c r="G209" s="16" t="s">
        <v>22</v>
      </c>
      <c r="H209" s="1" t="s">
        <v>21</v>
      </c>
      <c r="I209" s="2">
        <v>9119</v>
      </c>
      <c r="J209" s="2">
        <f>I209-'Controls-Split'!$D$9</f>
        <v>6568</v>
      </c>
      <c r="K209" s="1">
        <f>J209/'Controls-Split'!$C$9</f>
        <v>9.504377396715144E-2</v>
      </c>
      <c r="L209" s="1" t="str">
        <f>IF(K209&gt;'Controls-Split'!$I$9,"Pos","Neg")</f>
        <v>Pos</v>
      </c>
      <c r="M209" s="17">
        <v>6</v>
      </c>
      <c r="N209" s="23" t="s">
        <v>24</v>
      </c>
      <c r="O209" s="23" t="s">
        <v>23</v>
      </c>
      <c r="P209">
        <v>5749</v>
      </c>
      <c r="Q209" s="19">
        <f>P209/'Controls-Split'!$D$31</f>
        <v>2.1316277345198369</v>
      </c>
      <c r="R209" s="1" t="str">
        <f>IF(Q209&gt;'Controls-Split'!$J$31,"Pos","Neg")</f>
        <v>Pos</v>
      </c>
      <c r="S209">
        <v>8</v>
      </c>
    </row>
    <row r="210" spans="1:19" x14ac:dyDescent="0.2">
      <c r="A210" t="s">
        <v>58</v>
      </c>
      <c r="B210" t="s">
        <v>116</v>
      </c>
      <c r="C210" s="6" t="s">
        <v>20</v>
      </c>
      <c r="D210" t="s">
        <v>23</v>
      </c>
      <c r="E210">
        <v>3.5000000000000003E-2</v>
      </c>
      <c r="F210" s="7">
        <v>2</v>
      </c>
      <c r="G210" s="16" t="s">
        <v>22</v>
      </c>
      <c r="H210" s="1" t="s">
        <v>21</v>
      </c>
      <c r="I210" s="2">
        <v>5242</v>
      </c>
      <c r="J210" s="2">
        <f>I210-'Controls-Split'!$D$9</f>
        <v>2691</v>
      </c>
      <c r="K210" s="1">
        <f>J210/'Controls-Split'!$C$9</f>
        <v>3.8940742348599955E-2</v>
      </c>
      <c r="L210" s="1" t="str">
        <f>IF(K210&gt;'Controls-Split'!$I$9,"Pos","Neg")</f>
        <v>Neg</v>
      </c>
      <c r="M210" s="17">
        <v>6</v>
      </c>
      <c r="N210" t="s">
        <v>24</v>
      </c>
      <c r="O210" t="s">
        <v>23</v>
      </c>
      <c r="P210">
        <v>782</v>
      </c>
      <c r="Q210" s="19">
        <f>P210/'Controls-Split'!$D$35</f>
        <v>0.53598355037697054</v>
      </c>
      <c r="R210" s="1" t="str">
        <f>IF(Q210&gt;'Controls-Split'!$J$35,"Pos","Neg")</f>
        <v>Neg</v>
      </c>
      <c r="S210">
        <v>12</v>
      </c>
    </row>
    <row r="211" spans="1:19" x14ac:dyDescent="0.2">
      <c r="A211" t="s">
        <v>58</v>
      </c>
      <c r="B211" t="s">
        <v>117</v>
      </c>
      <c r="C211" s="6" t="s">
        <v>20</v>
      </c>
      <c r="D211" t="s">
        <v>23</v>
      </c>
      <c r="E211">
        <v>3.2000000000000001E-2</v>
      </c>
      <c r="F211" s="7">
        <v>2</v>
      </c>
      <c r="G211" s="16" t="s">
        <v>22</v>
      </c>
      <c r="H211" s="1" t="s">
        <v>21</v>
      </c>
      <c r="I211" s="2">
        <v>7457</v>
      </c>
      <c r="J211" s="2">
        <f>I211-'Controls-Split'!$D$9</f>
        <v>4906</v>
      </c>
      <c r="K211" s="1">
        <f>J211/'Controls-Split'!$C$9</f>
        <v>7.0993415816511113E-2</v>
      </c>
      <c r="L211" s="1" t="str">
        <f>IF(K211&gt;'Controls-Split'!$I$9,"Pos","Neg")</f>
        <v>Neg</v>
      </c>
      <c r="M211" s="17">
        <v>6</v>
      </c>
      <c r="N211" s="23" t="s">
        <v>24</v>
      </c>
      <c r="O211" s="23" t="s">
        <v>23</v>
      </c>
      <c r="P211">
        <v>2110</v>
      </c>
      <c r="Q211" s="19">
        <f>P211/'Controls-Split'!$D$31</f>
        <v>0.7823507601038191</v>
      </c>
      <c r="R211" s="1" t="str">
        <f>IF(Q211&gt;'Controls-Split'!$J$31,"Pos","Neg")</f>
        <v>Neg</v>
      </c>
      <c r="S211">
        <v>8</v>
      </c>
    </row>
    <row r="212" spans="1:19" x14ac:dyDescent="0.2">
      <c r="A212" t="s">
        <v>58</v>
      </c>
      <c r="B212" t="s">
        <v>94</v>
      </c>
      <c r="C212" s="6" t="s">
        <v>20</v>
      </c>
      <c r="D212" t="s">
        <v>23</v>
      </c>
      <c r="E212">
        <v>2.7E-2</v>
      </c>
      <c r="F212" s="7">
        <v>2</v>
      </c>
      <c r="G212" s="16" t="s">
        <v>22</v>
      </c>
      <c r="H212" s="1" t="s">
        <v>21</v>
      </c>
      <c r="I212" s="2">
        <v>9205</v>
      </c>
      <c r="J212" s="2">
        <f>I212-'Controls-Split'!$D$9</f>
        <v>6654</v>
      </c>
      <c r="K212" s="1">
        <f>J212/'Controls-Split'!$C$9</f>
        <v>9.6288257000217065E-2</v>
      </c>
      <c r="L212" s="1" t="str">
        <f>IF(K212&gt;'Controls-Split'!$I$9,"Pos","Neg")</f>
        <v>Pos</v>
      </c>
      <c r="M212" s="17">
        <v>6</v>
      </c>
      <c r="N212" t="s">
        <v>24</v>
      </c>
      <c r="O212" t="s">
        <v>23</v>
      </c>
      <c r="P212">
        <v>1018</v>
      </c>
      <c r="Q212" s="19">
        <f>P212/'Controls-Split'!$D$31</f>
        <v>0.37745643307378568</v>
      </c>
      <c r="R212" s="1" t="str">
        <f>IF(Q212&gt;'Controls-Split'!$J$31,"Pos","Neg")</f>
        <v>Neg</v>
      </c>
      <c r="S212">
        <v>8</v>
      </c>
    </row>
    <row r="213" spans="1:19" x14ac:dyDescent="0.2">
      <c r="A213" t="s">
        <v>58</v>
      </c>
      <c r="B213" t="s">
        <v>72</v>
      </c>
      <c r="C213" s="6" t="s">
        <v>20</v>
      </c>
      <c r="D213" t="s">
        <v>19</v>
      </c>
      <c r="E213">
        <v>3.3000000000000002E-2</v>
      </c>
      <c r="F213" s="7">
        <v>2</v>
      </c>
      <c r="G213" s="16" t="s">
        <v>22</v>
      </c>
      <c r="H213" s="1" t="s">
        <v>21</v>
      </c>
      <c r="I213" s="2">
        <v>31656</v>
      </c>
      <c r="J213" s="2">
        <f>I213-'Controls-Split'!$D$9</f>
        <v>29105</v>
      </c>
      <c r="K213" s="1">
        <f>J213/'Controls-Split'!$C$9</f>
        <v>0.42117068229505822</v>
      </c>
      <c r="L213" s="1" t="str">
        <f>IF(K213&gt;'Controls-Split'!$I$9,"Pos","Neg")</f>
        <v>Pos</v>
      </c>
      <c r="M213" s="17">
        <v>6</v>
      </c>
      <c r="N213" t="s">
        <v>24</v>
      </c>
      <c r="O213" t="s">
        <v>23</v>
      </c>
      <c r="P213">
        <v>931</v>
      </c>
      <c r="Q213" s="19">
        <f>P213/'Controls-Split'!$D$33</f>
        <v>0.3619751166407465</v>
      </c>
      <c r="R213" s="1" t="str">
        <f>IF(Q213&gt;'Controls-Split'!$J$33,"Pos","Neg")</f>
        <v>Neg</v>
      </c>
      <c r="S213">
        <v>10</v>
      </c>
    </row>
    <row r="214" spans="1:19" x14ac:dyDescent="0.2">
      <c r="A214" t="s">
        <v>58</v>
      </c>
      <c r="B214" t="s">
        <v>52</v>
      </c>
      <c r="C214" s="6" t="s">
        <v>20</v>
      </c>
      <c r="D214" t="s">
        <v>23</v>
      </c>
      <c r="E214">
        <v>5.1999999999999998E-2</v>
      </c>
      <c r="F214" s="7">
        <v>2</v>
      </c>
      <c r="G214" s="16" t="s">
        <v>22</v>
      </c>
      <c r="H214" s="1" t="s">
        <v>21</v>
      </c>
      <c r="I214" s="2">
        <v>25431</v>
      </c>
      <c r="J214" s="2">
        <f>I214-'Controls-Split'!$D$9</f>
        <v>22880</v>
      </c>
      <c r="K214" s="1">
        <f>J214/'Controls-Split'!$C$9</f>
        <v>0.33109036972722666</v>
      </c>
      <c r="L214" s="1" t="str">
        <f>IF(K214&gt;'Controls-Split'!$I$9,"Pos","Neg")</f>
        <v>Pos</v>
      </c>
      <c r="M214" s="17">
        <v>6</v>
      </c>
      <c r="N214" t="s">
        <v>24</v>
      </c>
      <c r="O214" t="s">
        <v>23</v>
      </c>
      <c r="P214">
        <v>1090</v>
      </c>
      <c r="Q214" s="19">
        <f>P214/'Controls-Split'!$D$31</f>
        <v>0.40415276232851316</v>
      </c>
      <c r="R214" s="1" t="str">
        <f>IF(Q214&gt;'Controls-Split'!$J$31,"Pos","Neg")</f>
        <v>Neg</v>
      </c>
      <c r="S214">
        <v>8</v>
      </c>
    </row>
    <row r="215" spans="1:19" x14ac:dyDescent="0.2">
      <c r="A215" t="s">
        <v>58</v>
      </c>
      <c r="B215" t="s">
        <v>118</v>
      </c>
      <c r="C215" s="6" t="s">
        <v>20</v>
      </c>
      <c r="D215" t="s">
        <v>23</v>
      </c>
      <c r="E215">
        <v>3.2000000000000001E-2</v>
      </c>
      <c r="F215" s="7">
        <v>2</v>
      </c>
      <c r="G215" s="16" t="s">
        <v>22</v>
      </c>
      <c r="H215" s="1" t="s">
        <v>21</v>
      </c>
      <c r="I215" s="2">
        <v>17729</v>
      </c>
      <c r="J215" s="2">
        <f>I215-'Controls-Split'!$D$9</f>
        <v>15178</v>
      </c>
      <c r="K215" s="1">
        <f>J215/'Controls-Split'!$C$9</f>
        <v>0.21963678460314015</v>
      </c>
      <c r="L215" s="1" t="str">
        <f>IF(K215&gt;'Controls-Split'!$I$9,"Pos","Neg")</f>
        <v>Pos</v>
      </c>
      <c r="M215" s="17">
        <v>6</v>
      </c>
      <c r="N215" t="s">
        <v>24</v>
      </c>
      <c r="O215" t="s">
        <v>23</v>
      </c>
      <c r="P215">
        <v>1002</v>
      </c>
      <c r="Q215" s="19">
        <f>P215/'Controls-Split'!$D$31</f>
        <v>0.371523915461624</v>
      </c>
      <c r="R215" s="1" t="str">
        <f>IF(Q215&gt;'Controls-Split'!$J$31,"Pos","Neg")</f>
        <v>Neg</v>
      </c>
      <c r="S215">
        <v>8</v>
      </c>
    </row>
    <row r="216" spans="1:19" x14ac:dyDescent="0.2">
      <c r="A216" t="s">
        <v>58</v>
      </c>
      <c r="B216" t="s">
        <v>119</v>
      </c>
      <c r="C216" s="6" t="s">
        <v>20</v>
      </c>
      <c r="D216" t="s">
        <v>23</v>
      </c>
      <c r="E216">
        <v>5.1999999999999998E-2</v>
      </c>
      <c r="F216" s="7">
        <v>2</v>
      </c>
      <c r="G216" s="16" t="s">
        <v>22</v>
      </c>
      <c r="H216" s="1" t="s">
        <v>21</v>
      </c>
      <c r="I216" s="2">
        <v>6388</v>
      </c>
      <c r="J216" s="2">
        <f>I216-'Controls-Split'!$D$9</f>
        <v>3837</v>
      </c>
      <c r="K216" s="1">
        <f>J216/'Controls-Split'!$C$9</f>
        <v>5.5524202300846537E-2</v>
      </c>
      <c r="L216" s="1" t="str">
        <f>IF(K216&gt;'Controls-Split'!$I$9,"Pos","Neg")</f>
        <v>Neg</v>
      </c>
      <c r="M216" s="17">
        <v>6</v>
      </c>
      <c r="N216" s="23" t="s">
        <v>24</v>
      </c>
      <c r="O216" s="23" t="s">
        <v>23</v>
      </c>
      <c r="P216">
        <v>947</v>
      </c>
      <c r="Q216" s="19">
        <f>P216/'Controls-Split'!$D$31</f>
        <v>0.3511308861698183</v>
      </c>
      <c r="R216" s="1" t="str">
        <f>IF(Q216&gt;'Controls-Split'!$J$31,"Pos","Neg")</f>
        <v>Neg</v>
      </c>
      <c r="S216">
        <v>8</v>
      </c>
    </row>
    <row r="217" spans="1:19" x14ac:dyDescent="0.2">
      <c r="A217" t="s">
        <v>58</v>
      </c>
      <c r="B217" t="s">
        <v>62</v>
      </c>
      <c r="C217" s="6" t="s">
        <v>20</v>
      </c>
      <c r="D217" t="s">
        <v>23</v>
      </c>
      <c r="E217">
        <v>5.0999999999999997E-2</v>
      </c>
      <c r="F217" s="7">
        <v>2</v>
      </c>
      <c r="G217" s="16" t="s">
        <v>22</v>
      </c>
      <c r="H217" s="1" t="s">
        <v>21</v>
      </c>
      <c r="I217" s="2">
        <v>3993</v>
      </c>
      <c r="J217" s="2">
        <f>I217-'Controls-Split'!$D$9</f>
        <v>1442</v>
      </c>
      <c r="K217" s="1">
        <f>J217/'Controls-Split'!$C$9</f>
        <v>2.0866796903263152E-2</v>
      </c>
      <c r="L217" s="1" t="str">
        <f>IF(K217&gt;'Controls-Split'!$I$9,"Pos","Neg")</f>
        <v>Neg</v>
      </c>
      <c r="M217" s="17">
        <v>6</v>
      </c>
      <c r="N217" s="23" t="s">
        <v>24</v>
      </c>
      <c r="O217" s="23" t="s">
        <v>23</v>
      </c>
      <c r="P217">
        <v>1919</v>
      </c>
      <c r="Q217" s="19">
        <f>P217/'Controls-Split'!$D$31</f>
        <v>0.7115313311086392</v>
      </c>
      <c r="R217" s="1" t="str">
        <f>IF(Q217&gt;'Controls-Split'!$J$31,"Pos","Neg")</f>
        <v>Neg</v>
      </c>
      <c r="S217">
        <v>8</v>
      </c>
    </row>
    <row r="218" spans="1:19" x14ac:dyDescent="0.2">
      <c r="A218" t="s">
        <v>58</v>
      </c>
      <c r="B218" t="s">
        <v>84</v>
      </c>
      <c r="C218" s="6" t="s">
        <v>20</v>
      </c>
      <c r="D218" t="s">
        <v>23</v>
      </c>
      <c r="E218">
        <v>5.2999999999999999E-2</v>
      </c>
      <c r="F218" s="7">
        <v>2</v>
      </c>
      <c r="G218" s="16" t="s">
        <v>22</v>
      </c>
      <c r="H218" s="1" t="s">
        <v>21</v>
      </c>
      <c r="I218" s="2">
        <v>18033</v>
      </c>
      <c r="J218" s="2">
        <f>I218-'Controls-Split'!$D$9</f>
        <v>15482</v>
      </c>
      <c r="K218" s="1">
        <f>J218/'Controls-Split'!$C$9</f>
        <v>0.2240358874176977</v>
      </c>
      <c r="L218" s="1" t="str">
        <f>IF(K218&gt;'Controls-Split'!$I$9,"Pos","Neg")</f>
        <v>Pos</v>
      </c>
      <c r="M218" s="17">
        <v>6</v>
      </c>
      <c r="N218" s="23" t="s">
        <v>24</v>
      </c>
      <c r="O218" s="23" t="s">
        <v>23</v>
      </c>
      <c r="P218">
        <v>5743</v>
      </c>
      <c r="Q218" s="19">
        <f>P218/'Controls-Split'!$D$31</f>
        <v>2.1294030404152764</v>
      </c>
      <c r="R218" s="1" t="str">
        <f>IF(Q218&gt;'Controls-Split'!$J$31,"Pos","Neg")</f>
        <v>Pos</v>
      </c>
      <c r="S218">
        <v>8</v>
      </c>
    </row>
    <row r="219" spans="1:19" x14ac:dyDescent="0.2">
      <c r="A219" t="s">
        <v>58</v>
      </c>
      <c r="B219" t="s">
        <v>87</v>
      </c>
      <c r="C219" s="6" t="s">
        <v>20</v>
      </c>
      <c r="D219" t="s">
        <v>23</v>
      </c>
      <c r="E219">
        <v>3.4000000000000002E-2</v>
      </c>
      <c r="F219" s="7">
        <v>2</v>
      </c>
      <c r="G219" s="16" t="s">
        <v>22</v>
      </c>
      <c r="H219" s="1" t="s">
        <v>21</v>
      </c>
      <c r="I219" s="2">
        <v>10407</v>
      </c>
      <c r="J219" s="2">
        <f>I219-'Controls-Split'!$D$9</f>
        <v>7856</v>
      </c>
      <c r="K219" s="1">
        <f>J219/'Controls-Split'!$C$9</f>
        <v>0.11368207799725057</v>
      </c>
      <c r="L219" s="1" t="str">
        <f>IF(K219&gt;'Controls-Split'!$I$9,"Pos","Neg")</f>
        <v>Pos</v>
      </c>
      <c r="M219" s="17">
        <v>6</v>
      </c>
      <c r="N219" s="23" t="s">
        <v>24</v>
      </c>
      <c r="O219" s="23" t="s">
        <v>23</v>
      </c>
      <c r="P219">
        <v>1349</v>
      </c>
      <c r="Q219" s="19">
        <f>P219/'Controls-Split'!$D$31</f>
        <v>0.50018539117538008</v>
      </c>
      <c r="R219" s="1" t="str">
        <f>IF(Q219&gt;'Controls-Split'!$J$31,"Pos","Neg")</f>
        <v>Neg</v>
      </c>
      <c r="S219">
        <v>8</v>
      </c>
    </row>
    <row r="220" spans="1:19" x14ac:dyDescent="0.2">
      <c r="A220" t="s">
        <v>58</v>
      </c>
      <c r="B220" t="s">
        <v>88</v>
      </c>
      <c r="C220" s="6" t="s">
        <v>20</v>
      </c>
      <c r="D220" t="s">
        <v>23</v>
      </c>
      <c r="E220">
        <v>4.3999999999999997E-2</v>
      </c>
      <c r="F220" s="7">
        <v>2</v>
      </c>
      <c r="G220" s="16" t="s">
        <v>22</v>
      </c>
      <c r="H220" s="1" t="s">
        <v>21</v>
      </c>
      <c r="I220" s="2">
        <v>10866</v>
      </c>
      <c r="J220" s="2">
        <f>I220-'Controls-Split'!$D$9</f>
        <v>8315</v>
      </c>
      <c r="K220" s="1">
        <f>J220/'Controls-Split'!$C$9</f>
        <v>0.12032414441791477</v>
      </c>
      <c r="L220" s="1" t="str">
        <f>IF(K220&gt;'Controls-Split'!$I$9,"Pos","Neg")</f>
        <v>Pos</v>
      </c>
      <c r="M220" s="17">
        <v>6</v>
      </c>
      <c r="N220" s="23" t="s">
        <v>24</v>
      </c>
      <c r="O220" s="23" t="s">
        <v>23</v>
      </c>
      <c r="P220">
        <v>1922</v>
      </c>
      <c r="Q220" s="19">
        <f>P220/'Controls-Split'!$D$31</f>
        <v>0.71264367816091956</v>
      </c>
      <c r="R220" s="1" t="str">
        <f>IF(Q220&gt;'Controls-Split'!$J$31,"Pos","Neg")</f>
        <v>Neg</v>
      </c>
      <c r="S220">
        <v>8</v>
      </c>
    </row>
    <row r="221" spans="1:19" x14ac:dyDescent="0.2">
      <c r="A221" t="s">
        <v>58</v>
      </c>
      <c r="B221" t="s">
        <v>85</v>
      </c>
      <c r="C221" s="6" t="s">
        <v>20</v>
      </c>
      <c r="D221" t="s">
        <v>23</v>
      </c>
      <c r="E221">
        <v>4.1000000000000002E-2</v>
      </c>
      <c r="F221" s="7">
        <v>2</v>
      </c>
      <c r="G221" s="16" t="s">
        <v>22</v>
      </c>
      <c r="H221" s="1" t="s">
        <v>21</v>
      </c>
      <c r="I221" s="2">
        <v>22118</v>
      </c>
      <c r="J221" s="2">
        <f>I221-'Controls-Split'!$D$9</f>
        <v>19567</v>
      </c>
      <c r="K221" s="1">
        <f>J221/'Controls-Split'!$C$9</f>
        <v>0.28314883148831488</v>
      </c>
      <c r="L221" s="1" t="str">
        <f>IF(K221&gt;'Controls-Split'!$I$9,"Pos","Neg")</f>
        <v>Pos</v>
      </c>
      <c r="M221" s="17">
        <v>6</v>
      </c>
      <c r="N221" s="23" t="s">
        <v>24</v>
      </c>
      <c r="O221" s="23" t="s">
        <v>23</v>
      </c>
      <c r="P221">
        <v>2902</v>
      </c>
      <c r="Q221" s="19">
        <f>P221/'Controls-Split'!$D$31</f>
        <v>1.0760103819058213</v>
      </c>
      <c r="R221" s="1" t="str">
        <f>IF(Q221&gt;'Controls-Split'!$J$31,"Pos","Neg")</f>
        <v>Neg</v>
      </c>
      <c r="S221">
        <v>8</v>
      </c>
    </row>
    <row r="222" spans="1:19" x14ac:dyDescent="0.2">
      <c r="A222" t="s">
        <v>58</v>
      </c>
      <c r="B222" t="s">
        <v>105</v>
      </c>
      <c r="C222" s="6" t="s">
        <v>20</v>
      </c>
      <c r="D222" t="s">
        <v>23</v>
      </c>
      <c r="E222">
        <v>0.10299999999999999</v>
      </c>
      <c r="F222" s="7">
        <v>2</v>
      </c>
      <c r="G222" s="16" t="s">
        <v>22</v>
      </c>
      <c r="H222" s="1" t="s">
        <v>21</v>
      </c>
      <c r="I222" s="2">
        <v>20833</v>
      </c>
      <c r="J222" s="2">
        <f>I222-'Controls-Split'!$D$9</f>
        <v>18282</v>
      </c>
      <c r="K222" s="1">
        <f>J222/'Controls-Split'!$C$9</f>
        <v>0.2645539396570436</v>
      </c>
      <c r="L222" s="1" t="str">
        <f>IF(K222&gt;'Controls-Split'!$I$9,"Pos","Neg")</f>
        <v>Pos</v>
      </c>
      <c r="M222" s="17">
        <v>6</v>
      </c>
      <c r="N222" t="s">
        <v>24</v>
      </c>
      <c r="O222" t="s">
        <v>23</v>
      </c>
      <c r="P222">
        <v>11763</v>
      </c>
      <c r="Q222" s="19">
        <f>P222/'Controls-Split'!$D$33</f>
        <v>4.5734836702954897</v>
      </c>
      <c r="R222" s="1" t="str">
        <f>IF(Q222&gt;'Controls-Split'!$J$33,"Pos","Neg")</f>
        <v>Pos</v>
      </c>
      <c r="S222">
        <v>10</v>
      </c>
    </row>
    <row r="223" spans="1:19" x14ac:dyDescent="0.2">
      <c r="A223" t="s">
        <v>58</v>
      </c>
      <c r="B223" t="s">
        <v>104</v>
      </c>
      <c r="C223" s="6" t="s">
        <v>20</v>
      </c>
      <c r="D223" t="s">
        <v>23</v>
      </c>
      <c r="E223">
        <v>0.115</v>
      </c>
      <c r="F223" s="7">
        <v>2</v>
      </c>
      <c r="G223" s="16" t="s">
        <v>22</v>
      </c>
      <c r="H223" s="1" t="s">
        <v>21</v>
      </c>
      <c r="I223" s="2">
        <v>21875</v>
      </c>
      <c r="J223" s="2">
        <f>I223-'Controls-Split'!$D$9</f>
        <v>19324</v>
      </c>
      <c r="K223" s="1">
        <f>J223/'Controls-Split'!$C$9</f>
        <v>0.27963244338325738</v>
      </c>
      <c r="L223" s="1" t="str">
        <f>IF(K223&gt;'Controls-Split'!$I$9,"Pos","Neg")</f>
        <v>Pos</v>
      </c>
      <c r="M223" s="17">
        <v>6</v>
      </c>
      <c r="N223" t="s">
        <v>24</v>
      </c>
      <c r="O223" t="s">
        <v>23</v>
      </c>
      <c r="P223">
        <v>1795</v>
      </c>
      <c r="Q223" s="19">
        <f>P223/'Controls-Split'!$D$33</f>
        <v>0.69790046656298599</v>
      </c>
      <c r="R223" s="1" t="str">
        <f>IF(Q223&gt;'Controls-Split'!$J$33,"Pos","Neg")</f>
        <v>Neg</v>
      </c>
      <c r="S223">
        <v>10</v>
      </c>
    </row>
    <row r="224" spans="1:19" x14ac:dyDescent="0.2">
      <c r="A224" t="s">
        <v>58</v>
      </c>
      <c r="B224" t="s">
        <v>28</v>
      </c>
      <c r="C224" s="6" t="s">
        <v>20</v>
      </c>
      <c r="D224" t="s">
        <v>23</v>
      </c>
      <c r="E224">
        <v>0.06</v>
      </c>
      <c r="F224" s="7">
        <v>2</v>
      </c>
      <c r="G224" s="16" t="s">
        <v>22</v>
      </c>
      <c r="H224" s="1" t="s">
        <v>21</v>
      </c>
      <c r="I224" s="2">
        <v>2694</v>
      </c>
      <c r="J224" s="2">
        <f>I224-'Controls-Split'!$D$9</f>
        <v>143</v>
      </c>
      <c r="K224" s="1">
        <f>J224/'Controls-Split'!$C$9</f>
        <v>2.0693148107951667E-3</v>
      </c>
      <c r="L224" s="1" t="str">
        <f>IF(K224&gt;'Controls-Split'!$I$9,"Pos","Neg")</f>
        <v>Neg</v>
      </c>
      <c r="M224" s="17">
        <v>6</v>
      </c>
      <c r="N224" t="s">
        <v>24</v>
      </c>
      <c r="O224" t="s">
        <v>23</v>
      </c>
      <c r="P224">
        <v>712</v>
      </c>
      <c r="Q224" s="19">
        <f>P224/'Controls-Split'!$D$33</f>
        <v>0.27682737169517885</v>
      </c>
      <c r="R224" s="1" t="str">
        <f>IF(Q224&gt;'Controls-Split'!$J$33,"Pos","Neg")</f>
        <v>Neg</v>
      </c>
      <c r="S224">
        <v>10</v>
      </c>
    </row>
    <row r="225" spans="1:19" x14ac:dyDescent="0.2">
      <c r="A225" t="s">
        <v>58</v>
      </c>
      <c r="B225" t="s">
        <v>90</v>
      </c>
      <c r="C225" s="6" t="s">
        <v>26</v>
      </c>
      <c r="D225" t="s">
        <v>19</v>
      </c>
      <c r="E225">
        <v>0.20200000000000001</v>
      </c>
      <c r="F225" s="7">
        <v>1</v>
      </c>
      <c r="G225" s="16" t="s">
        <v>22</v>
      </c>
      <c r="H225" s="1" t="s">
        <v>21</v>
      </c>
      <c r="I225" s="2">
        <v>9640</v>
      </c>
      <c r="J225" s="2">
        <f>I225-'Controls-Split'!$D$9</f>
        <v>7089</v>
      </c>
      <c r="K225" s="1">
        <f>J225/'Controls-Split'!$C$9</f>
        <v>0.1025830258302583</v>
      </c>
      <c r="L225" s="1" t="str">
        <f>IF(K225&gt;'Controls-Split'!$I$9,"Pos","Neg")</f>
        <v>Pos</v>
      </c>
      <c r="M225" s="17">
        <v>6</v>
      </c>
      <c r="N225" t="s">
        <v>24</v>
      </c>
      <c r="O225" t="s">
        <v>23</v>
      </c>
      <c r="P225">
        <v>3122</v>
      </c>
      <c r="Q225" s="19">
        <f>P225/'Controls-Split'!$D$35</f>
        <v>2.1398217957505139</v>
      </c>
      <c r="R225" s="1" t="str">
        <f>IF(Q225&gt;'Controls-Split'!$J$35,"Pos","Neg")</f>
        <v>Neg</v>
      </c>
      <c r="S225">
        <v>12</v>
      </c>
    </row>
    <row r="226" spans="1:19" x14ac:dyDescent="0.2">
      <c r="A226" t="s">
        <v>58</v>
      </c>
      <c r="B226" t="s">
        <v>111</v>
      </c>
      <c r="C226" s="6" t="s">
        <v>26</v>
      </c>
      <c r="D226" t="s">
        <v>19</v>
      </c>
      <c r="E226">
        <v>0.17799999999999999</v>
      </c>
      <c r="F226" s="7">
        <v>2</v>
      </c>
      <c r="G226" s="16" t="s">
        <v>22</v>
      </c>
      <c r="H226" s="1" t="s">
        <v>21</v>
      </c>
      <c r="I226" s="2">
        <v>26304</v>
      </c>
      <c r="J226" s="2">
        <f>I226-'Controls-Split'!$D$9</f>
        <v>23753</v>
      </c>
      <c r="K226" s="1">
        <f>J226/'Controls-Split'!$C$9</f>
        <v>0.34372331958613705</v>
      </c>
      <c r="L226" s="1" t="str">
        <f>IF(K226&gt;'Controls-Split'!$I$9,"Pos","Neg")</f>
        <v>Pos</v>
      </c>
      <c r="M226" s="17">
        <v>6</v>
      </c>
      <c r="N226" t="s">
        <v>24</v>
      </c>
      <c r="O226" t="s">
        <v>23</v>
      </c>
      <c r="P226">
        <v>1506</v>
      </c>
      <c r="Q226" s="19">
        <f>P226/'Controls-Split'!$D$33</f>
        <v>0.5855365474339036</v>
      </c>
      <c r="R226" s="1" t="str">
        <f>IF(Q226&gt;'Controls-Split'!$J$33,"Pos","Neg")</f>
        <v>Neg</v>
      </c>
      <c r="S226">
        <v>10</v>
      </c>
    </row>
    <row r="227" spans="1:19" x14ac:dyDescent="0.2">
      <c r="A227" t="s">
        <v>29</v>
      </c>
      <c r="B227" t="s">
        <v>33</v>
      </c>
      <c r="C227" s="6" t="s">
        <v>20</v>
      </c>
      <c r="D227" t="s">
        <v>23</v>
      </c>
      <c r="E227">
        <v>3.6999999999999998E-2</v>
      </c>
      <c r="F227" s="7">
        <v>2</v>
      </c>
      <c r="G227" s="16" t="s">
        <v>22</v>
      </c>
      <c r="H227" s="1" t="s">
        <v>21</v>
      </c>
      <c r="I227" s="2">
        <v>2909</v>
      </c>
      <c r="J227" s="2">
        <f>I227-'Controls-Split'!$D$9</f>
        <v>358</v>
      </c>
      <c r="K227" s="1">
        <f>J227/'Controls-Split'!$C$9</f>
        <v>5.1805223934592286E-3</v>
      </c>
      <c r="L227" s="1" t="str">
        <f>IF(K227&gt;'Controls-Split'!$I$9,"Pos","Neg")</f>
        <v>Neg</v>
      </c>
      <c r="M227" s="17">
        <v>6</v>
      </c>
      <c r="N227" t="s">
        <v>24</v>
      </c>
      <c r="O227" t="s">
        <v>23</v>
      </c>
      <c r="P227">
        <v>1031</v>
      </c>
      <c r="Q227" s="19">
        <f>P227/'Controls-Split'!$D$34</f>
        <v>0.79003831417624526</v>
      </c>
      <c r="R227" s="1" t="str">
        <f>IF(Q227&gt;'Controls-Split'!$J$34,"Pos","Neg")</f>
        <v>Neg</v>
      </c>
      <c r="S227">
        <v>11</v>
      </c>
    </row>
    <row r="228" spans="1:19" x14ac:dyDescent="0.2">
      <c r="A228" t="s">
        <v>29</v>
      </c>
      <c r="B228" t="s">
        <v>56</v>
      </c>
      <c r="C228" s="6" t="s">
        <v>19</v>
      </c>
      <c r="D228" t="s">
        <v>26</v>
      </c>
      <c r="E228">
        <v>3.9E-2</v>
      </c>
      <c r="F228" s="7">
        <v>2</v>
      </c>
      <c r="G228" s="16" t="s">
        <v>21</v>
      </c>
      <c r="H228" s="1" t="s">
        <v>22</v>
      </c>
      <c r="I228" s="2">
        <v>8029</v>
      </c>
      <c r="J228" s="2">
        <f>I228-'Controls-Split'!$D$9</f>
        <v>5478</v>
      </c>
      <c r="K228" s="1">
        <f>J228/'Controls-Split'!$C$9</f>
        <v>7.9270675059691778E-2</v>
      </c>
      <c r="L228" s="1" t="str">
        <f>IF(K228&gt;'Controls-Split'!$I$9,"Pos","Neg")</f>
        <v>Pos</v>
      </c>
      <c r="M228" s="17">
        <v>6</v>
      </c>
      <c r="N228" s="23" t="s">
        <v>23</v>
      </c>
      <c r="O228" s="23" t="s">
        <v>24</v>
      </c>
      <c r="P228">
        <v>2219</v>
      </c>
      <c r="Q228" s="19">
        <f>P228/'Controls-Split'!$D$28</f>
        <v>1.483288770053476</v>
      </c>
      <c r="R228" s="1" t="str">
        <f>IF(Q228&gt;'Controls-Split'!$J$28,"Pos","Neg")</f>
        <v>Neg</v>
      </c>
      <c r="S228">
        <v>5</v>
      </c>
    </row>
    <row r="229" spans="1:19" x14ac:dyDescent="0.2">
      <c r="A229" t="s">
        <v>29</v>
      </c>
      <c r="B229" t="s">
        <v>120</v>
      </c>
      <c r="C229" s="6" t="s">
        <v>20</v>
      </c>
      <c r="D229" t="s">
        <v>23</v>
      </c>
      <c r="E229">
        <v>2.7E-2</v>
      </c>
      <c r="F229" s="7">
        <v>2</v>
      </c>
      <c r="G229" s="16" t="s">
        <v>22</v>
      </c>
      <c r="H229" s="1" t="s">
        <v>21</v>
      </c>
      <c r="I229" s="2">
        <v>3515</v>
      </c>
      <c r="J229" s="2">
        <f>I229-'Controls-Split'!$D$9</f>
        <v>964</v>
      </c>
      <c r="K229" s="1">
        <f>J229/'Controls-Split'!$C$9</f>
        <v>1.3949786556689096E-2</v>
      </c>
      <c r="L229" s="1" t="str">
        <f>IF(K229&gt;'Controls-Split'!$I$9,"Pos","Neg")</f>
        <v>Neg</v>
      </c>
      <c r="M229" s="17">
        <v>6</v>
      </c>
      <c r="N229" t="s">
        <v>24</v>
      </c>
      <c r="O229" t="s">
        <v>23</v>
      </c>
      <c r="P229">
        <v>971</v>
      </c>
      <c r="Q229" s="19">
        <f>P229/'Controls-Split'!$D$33</f>
        <v>0.3775272161741835</v>
      </c>
      <c r="R229" s="1" t="str">
        <f>IF(Q229&gt;'Controls-Split'!$J$33,"Pos","Neg")</f>
        <v>Neg</v>
      </c>
      <c r="S229">
        <v>10</v>
      </c>
    </row>
    <row r="230" spans="1:19" x14ac:dyDescent="0.2">
      <c r="A230" t="s">
        <v>29</v>
      </c>
      <c r="B230" t="s">
        <v>119</v>
      </c>
      <c r="C230" s="6" t="s">
        <v>19</v>
      </c>
      <c r="D230" t="s">
        <v>20</v>
      </c>
      <c r="E230">
        <v>4.5999999999999999E-2</v>
      </c>
      <c r="F230" s="7">
        <v>2</v>
      </c>
      <c r="G230" s="16" t="s">
        <v>21</v>
      </c>
      <c r="H230" s="1" t="s">
        <v>22</v>
      </c>
      <c r="I230" s="2">
        <v>2529</v>
      </c>
      <c r="J230" s="2">
        <f>I230-'Controls-Split'!$D$9</f>
        <v>-22</v>
      </c>
      <c r="K230" s="1">
        <f>J230/'Controls-Split'!$C$9</f>
        <v>-3.1835612473771798E-4</v>
      </c>
      <c r="L230" s="1" t="str">
        <f>IF(K230&gt;'Controls-Split'!$I$9,"Pos","Neg")</f>
        <v>Neg</v>
      </c>
      <c r="M230" s="17">
        <v>6</v>
      </c>
    </row>
    <row r="231" spans="1:19" x14ac:dyDescent="0.2">
      <c r="A231" t="s">
        <v>29</v>
      </c>
      <c r="B231" t="s">
        <v>57</v>
      </c>
      <c r="C231" s="6" t="s">
        <v>20</v>
      </c>
      <c r="D231" t="s">
        <v>19</v>
      </c>
      <c r="E231">
        <v>2.7E-2</v>
      </c>
      <c r="F231" s="7">
        <v>2</v>
      </c>
      <c r="G231" s="16" t="s">
        <v>22</v>
      </c>
      <c r="H231" s="1" t="s">
        <v>21</v>
      </c>
      <c r="I231" s="2">
        <v>6114</v>
      </c>
      <c r="J231" s="2">
        <f>I231-'Controls-Split'!$D$9</f>
        <v>3563</v>
      </c>
      <c r="K231" s="1">
        <f>J231/'Controls-Split'!$C$9</f>
        <v>5.1559221474567686E-2</v>
      </c>
      <c r="L231" s="1" t="str">
        <f>IF(K231&gt;'Controls-Split'!$I$9,"Pos","Neg")</f>
        <v>Neg</v>
      </c>
      <c r="M231" s="17">
        <v>6</v>
      </c>
      <c r="N231" t="s">
        <v>24</v>
      </c>
      <c r="O231" t="s">
        <v>23</v>
      </c>
      <c r="P231">
        <v>1040</v>
      </c>
      <c r="Q231" s="19">
        <f>P231/'Controls-Split'!$D$33</f>
        <v>0.40435458786936235</v>
      </c>
      <c r="R231" s="1" t="str">
        <f>IF(Q231&gt;'Controls-Split'!$J$33,"Pos","Neg")</f>
        <v>Neg</v>
      </c>
      <c r="S231">
        <v>10</v>
      </c>
    </row>
    <row r="232" spans="1:19" x14ac:dyDescent="0.2">
      <c r="A232" t="s">
        <v>29</v>
      </c>
      <c r="B232" t="s">
        <v>121</v>
      </c>
      <c r="C232" s="6" t="s">
        <v>19</v>
      </c>
      <c r="D232" t="s">
        <v>20</v>
      </c>
      <c r="E232">
        <v>2.7E-2</v>
      </c>
      <c r="F232" s="7">
        <v>2</v>
      </c>
      <c r="G232" s="16" t="s">
        <v>21</v>
      </c>
      <c r="H232" s="1" t="s">
        <v>22</v>
      </c>
      <c r="I232" s="2">
        <v>3617</v>
      </c>
      <c r="J232" s="2">
        <f>I232-'Controls-Split'!$D$9</f>
        <v>1066</v>
      </c>
      <c r="K232" s="1">
        <f>J232/'Controls-Split'!$C$9</f>
        <v>1.5425801316836699E-2</v>
      </c>
      <c r="L232" s="1" t="str">
        <f>IF(K232&gt;'Controls-Split'!$I$9,"Pos","Neg")</f>
        <v>Neg</v>
      </c>
      <c r="M232" s="17">
        <v>6</v>
      </c>
      <c r="N232" s="23" t="s">
        <v>23</v>
      </c>
      <c r="O232" s="23" t="s">
        <v>24</v>
      </c>
      <c r="P232" s="23">
        <v>1754</v>
      </c>
      <c r="Q232" s="19">
        <f>P232/'Controls-Split'!$D$28</f>
        <v>1.1724598930481283</v>
      </c>
      <c r="R232" s="1" t="str">
        <f>IF(Q232&gt;'Controls-Split'!$J$28,"Pos","Neg")</f>
        <v>Neg</v>
      </c>
      <c r="S232">
        <v>5</v>
      </c>
    </row>
    <row r="233" spans="1:19" x14ac:dyDescent="0.2">
      <c r="A233" t="s">
        <v>102</v>
      </c>
      <c r="B233" t="s">
        <v>38</v>
      </c>
      <c r="C233" s="6" t="s">
        <v>23</v>
      </c>
      <c r="D233" t="s">
        <v>26</v>
      </c>
      <c r="E233">
        <v>3.1E-2</v>
      </c>
      <c r="F233" s="7">
        <v>2</v>
      </c>
      <c r="G233" s="16" t="s">
        <v>21</v>
      </c>
      <c r="H233" s="1" t="s">
        <v>22</v>
      </c>
      <c r="I233" s="2">
        <v>4192.5</v>
      </c>
      <c r="J233" s="2">
        <f>I233-'Controls-Split'!$D$10</f>
        <v>3119.625</v>
      </c>
      <c r="K233" s="1">
        <f>J233/'Controls-Split'!$C$10</f>
        <v>5.3207660606887551E-2</v>
      </c>
      <c r="L233" s="1" t="str">
        <f>IF(K233&gt;'Controls-Split'!$I$10,"Pos","Neg")</f>
        <v>Pos</v>
      </c>
      <c r="M233" s="17">
        <v>7</v>
      </c>
      <c r="N233" s="23" t="s">
        <v>23</v>
      </c>
      <c r="O233" s="23" t="s">
        <v>24</v>
      </c>
      <c r="P233">
        <v>1270</v>
      </c>
      <c r="Q233" s="19">
        <f>P233/'Controls-Split'!$D$30</f>
        <v>0.97842835130970729</v>
      </c>
      <c r="R233" s="1" t="str">
        <f>IF(Q233&gt;'Controls-Split'!$J$30,"Pos","Neg")</f>
        <v>Neg</v>
      </c>
      <c r="S233">
        <v>7</v>
      </c>
    </row>
    <row r="234" spans="1:19" x14ac:dyDescent="0.2">
      <c r="A234" t="s">
        <v>105</v>
      </c>
      <c r="B234" t="s">
        <v>29</v>
      </c>
      <c r="C234" s="6" t="s">
        <v>23</v>
      </c>
      <c r="D234" t="s">
        <v>20</v>
      </c>
      <c r="E234">
        <v>4.2000000000000003E-2</v>
      </c>
      <c r="F234" s="7">
        <v>2</v>
      </c>
      <c r="G234" s="16" t="s">
        <v>21</v>
      </c>
      <c r="H234" s="1" t="s">
        <v>22</v>
      </c>
      <c r="I234" s="2">
        <v>5410.5</v>
      </c>
      <c r="J234" s="2">
        <f>I234-'Controls-Split'!$D$10</f>
        <v>4337.625</v>
      </c>
      <c r="K234" s="1">
        <f>J234/'Controls-Split'!$C$10</f>
        <v>7.3981609597291539E-2</v>
      </c>
      <c r="L234" s="1" t="str">
        <f>IF(K234&gt;'Controls-Split'!$I$10,"Pos","Neg")</f>
        <v>Pos</v>
      </c>
      <c r="M234" s="17">
        <v>7</v>
      </c>
      <c r="N234" t="s">
        <v>23</v>
      </c>
      <c r="O234" t="s">
        <v>24</v>
      </c>
      <c r="P234">
        <v>5631</v>
      </c>
      <c r="Q234" s="19">
        <f>P234/'Controls-Split'!$D$34</f>
        <v>4.3149425287356324</v>
      </c>
      <c r="R234" s="1" t="str">
        <f>IF(Q234&gt;'Controls-Split'!$J$34,"Pos","Neg")</f>
        <v>Pos</v>
      </c>
      <c r="S234">
        <v>11</v>
      </c>
    </row>
    <row r="235" spans="1:19" x14ac:dyDescent="0.2">
      <c r="A235" t="s">
        <v>106</v>
      </c>
      <c r="B235" t="s">
        <v>120</v>
      </c>
      <c r="C235" s="6" t="s">
        <v>20</v>
      </c>
      <c r="D235" t="s">
        <v>23</v>
      </c>
      <c r="E235">
        <v>3.5499999999999997E-2</v>
      </c>
      <c r="F235" s="7">
        <v>2</v>
      </c>
      <c r="G235" s="16" t="s">
        <v>22</v>
      </c>
      <c r="H235" s="1" t="s">
        <v>21</v>
      </c>
      <c r="I235" s="2">
        <v>1062</v>
      </c>
      <c r="J235" s="2">
        <f>I235-'Controls-Split'!$D$10</f>
        <v>-10.875</v>
      </c>
      <c r="K235" s="1">
        <f>J235/'Controls-Split'!$C$10</f>
        <v>-1.8548168741432133E-4</v>
      </c>
      <c r="L235" s="1" t="str">
        <f>IF(K235&gt;'Controls-Split'!$I$10,"Pos","Neg")</f>
        <v>Neg</v>
      </c>
      <c r="M235" s="17">
        <v>7</v>
      </c>
      <c r="N235" t="s">
        <v>24</v>
      </c>
      <c r="O235" t="s">
        <v>23</v>
      </c>
      <c r="P235">
        <v>739</v>
      </c>
      <c r="Q235" s="19">
        <f>P235/'Controls-Split'!$D$29</f>
        <v>0.59935117599351173</v>
      </c>
      <c r="R235" s="1" t="str">
        <f>IF(Q235&gt;'Controls-Split'!$J$29,"Pos","Neg")</f>
        <v>Neg</v>
      </c>
      <c r="S235">
        <v>6</v>
      </c>
    </row>
    <row r="236" spans="1:19" x14ac:dyDescent="0.2">
      <c r="A236" t="s">
        <v>107</v>
      </c>
      <c r="B236" t="s">
        <v>122</v>
      </c>
      <c r="C236" s="6" t="s">
        <v>20</v>
      </c>
      <c r="D236" t="s">
        <v>23</v>
      </c>
      <c r="E236">
        <v>3.3399999999999999E-2</v>
      </c>
      <c r="F236" s="7">
        <v>2</v>
      </c>
      <c r="G236" s="16" t="s">
        <v>22</v>
      </c>
      <c r="H236" s="1" t="s">
        <v>21</v>
      </c>
      <c r="I236" s="2">
        <v>1311.5</v>
      </c>
      <c r="J236" s="2">
        <f>I236-'Controls-Split'!$D$10</f>
        <v>238.625</v>
      </c>
      <c r="K236" s="1">
        <f>J236/'Controls-Split'!$C$10</f>
        <v>4.0699372560222919E-3</v>
      </c>
      <c r="L236" s="1" t="str">
        <f>IF(K236&gt;'Controls-Split'!$I$10,"Pos","Neg")</f>
        <v>Neg</v>
      </c>
      <c r="M236" s="17">
        <v>7</v>
      </c>
      <c r="N236" t="s">
        <v>24</v>
      </c>
      <c r="O236" t="s">
        <v>23</v>
      </c>
      <c r="P236">
        <v>1752</v>
      </c>
      <c r="Q236" s="19">
        <f>P236/'Controls-Split'!$D$29</f>
        <v>1.4209245742092458</v>
      </c>
      <c r="R236" s="1" t="str">
        <f>IF(Q236&gt;'Controls-Split'!$J$29,"Pos","Neg")</f>
        <v>Neg</v>
      </c>
      <c r="S236">
        <v>6</v>
      </c>
    </row>
    <row r="237" spans="1:19" x14ac:dyDescent="0.2">
      <c r="A237" t="s">
        <v>107</v>
      </c>
      <c r="B237" t="s">
        <v>80</v>
      </c>
      <c r="C237" s="6" t="s">
        <v>23</v>
      </c>
      <c r="D237" t="s">
        <v>26</v>
      </c>
      <c r="E237">
        <v>3.32E-2</v>
      </c>
      <c r="F237" s="7">
        <v>2</v>
      </c>
      <c r="G237" s="16" t="s">
        <v>21</v>
      </c>
      <c r="H237" s="1" t="s">
        <v>22</v>
      </c>
      <c r="I237" s="2">
        <v>1116</v>
      </c>
      <c r="J237" s="2">
        <f>I237-'Controls-Split'!$D$10</f>
        <v>43.125</v>
      </c>
      <c r="K237" s="1">
        <f>J237/'Controls-Split'!$C$10</f>
        <v>7.3553082940161897E-4</v>
      </c>
      <c r="L237" s="1" t="str">
        <f>IF(K237&gt;'Controls-Split'!$I$10,"Pos","Neg")</f>
        <v>Neg</v>
      </c>
      <c r="M237" s="17">
        <v>7</v>
      </c>
      <c r="N237" t="s">
        <v>23</v>
      </c>
      <c r="O237" t="s">
        <v>24</v>
      </c>
      <c r="P237">
        <v>2361</v>
      </c>
      <c r="Q237" s="19">
        <f>P237/'Controls-Split'!$D$26</f>
        <v>1.2188951987609706</v>
      </c>
      <c r="R237" s="1" t="str">
        <f>IF(Q237&gt;'Controls-Split'!$J$26,"Pos","Neg")</f>
        <v>Pos</v>
      </c>
      <c r="S237">
        <v>3</v>
      </c>
    </row>
    <row r="238" spans="1:19" x14ac:dyDescent="0.2">
      <c r="A238" t="s">
        <v>58</v>
      </c>
      <c r="B238" t="s">
        <v>95</v>
      </c>
      <c r="C238" s="6" t="s">
        <v>20</v>
      </c>
      <c r="D238" t="s">
        <v>23</v>
      </c>
      <c r="E238">
        <v>4.7E-2</v>
      </c>
      <c r="F238" s="7">
        <v>2</v>
      </c>
      <c r="G238" s="16" t="s">
        <v>22</v>
      </c>
      <c r="H238" s="1" t="s">
        <v>21</v>
      </c>
      <c r="I238" s="2">
        <v>23008.5</v>
      </c>
      <c r="J238" s="2">
        <f>I238-'Controls-Split'!$D$10</f>
        <v>21935.625</v>
      </c>
      <c r="K238" s="1">
        <f>J238/'Controls-Split'!$C$10</f>
        <v>0.37412935535519742</v>
      </c>
      <c r="L238" s="1" t="str">
        <f>IF(K238&gt;'Controls-Split'!$I$10,"Pos","Neg")</f>
        <v>Pos</v>
      </c>
      <c r="M238" s="17">
        <v>7</v>
      </c>
      <c r="N238" s="23" t="s">
        <v>24</v>
      </c>
      <c r="O238" s="23" t="s">
        <v>23</v>
      </c>
      <c r="P238">
        <v>813</v>
      </c>
      <c r="Q238" s="19">
        <f>P238/'Controls-Split'!$D$31</f>
        <v>0.30144605116796441</v>
      </c>
      <c r="R238" s="1" t="str">
        <f>IF(Q238&gt;'Controls-Split'!$J$31,"Pos","Neg")</f>
        <v>Neg</v>
      </c>
      <c r="S238">
        <v>8</v>
      </c>
    </row>
    <row r="239" spans="1:19" x14ac:dyDescent="0.2">
      <c r="A239" t="s">
        <v>58</v>
      </c>
      <c r="B239" t="s">
        <v>91</v>
      </c>
      <c r="C239" s="6" t="s">
        <v>20</v>
      </c>
      <c r="D239" t="s">
        <v>23</v>
      </c>
      <c r="E239">
        <v>4.2999999999999997E-2</v>
      </c>
      <c r="F239" s="7">
        <v>2</v>
      </c>
      <c r="G239" s="16" t="s">
        <v>22</v>
      </c>
      <c r="H239" s="1" t="s">
        <v>21</v>
      </c>
      <c r="I239" s="2">
        <v>5357</v>
      </c>
      <c r="J239" s="2">
        <f>I239-'Controls-Split'!$D$10</f>
        <v>4284.125</v>
      </c>
      <c r="K239" s="1">
        <f>J239/'Controls-Split'!$C$10</f>
        <v>7.3069124974149816E-2</v>
      </c>
      <c r="L239" s="1" t="str">
        <f>IF(K239&gt;'Controls-Split'!$I$10,"Pos","Neg")</f>
        <v>Pos</v>
      </c>
      <c r="M239" s="17">
        <v>7</v>
      </c>
      <c r="N239" s="23" t="s">
        <v>24</v>
      </c>
      <c r="O239" s="23" t="s">
        <v>23</v>
      </c>
      <c r="P239">
        <v>9745</v>
      </c>
      <c r="Q239" s="19">
        <f>P239/'Controls-Split'!$D$31</f>
        <v>3.6132740081572119</v>
      </c>
      <c r="R239" s="1" t="str">
        <f>IF(Q239&gt;'Controls-Split'!$J$31,"Pos","Neg")</f>
        <v>Pos</v>
      </c>
      <c r="S239">
        <v>8</v>
      </c>
    </row>
    <row r="240" spans="1:19" x14ac:dyDescent="0.2">
      <c r="A240" t="s">
        <v>58</v>
      </c>
      <c r="B240" t="s">
        <v>36</v>
      </c>
      <c r="C240" s="6" t="s">
        <v>20</v>
      </c>
      <c r="D240" t="s">
        <v>19</v>
      </c>
      <c r="E240">
        <v>2.9000000000000001E-2</v>
      </c>
      <c r="F240" s="7">
        <v>2</v>
      </c>
      <c r="G240" s="16" t="s">
        <v>22</v>
      </c>
      <c r="H240" s="1" t="s">
        <v>21</v>
      </c>
      <c r="I240" s="2">
        <v>11119.5</v>
      </c>
      <c r="J240" s="2">
        <f>I240-'Controls-Split'!$D$10</f>
        <v>10046.625</v>
      </c>
      <c r="K240" s="1">
        <f>J240/'Controls-Split'!$C$10</f>
        <v>0.17135309956955458</v>
      </c>
      <c r="L240" s="1" t="str">
        <f>IF(K240&gt;'Controls-Split'!$I$10,"Pos","Neg")</f>
        <v>Pos</v>
      </c>
      <c r="M240" s="17">
        <v>7</v>
      </c>
      <c r="N240" t="s">
        <v>24</v>
      </c>
      <c r="O240" t="s">
        <v>23</v>
      </c>
      <c r="P240">
        <v>1456</v>
      </c>
      <c r="Q240" s="19">
        <f>P240/'Controls-Split'!$D$33</f>
        <v>0.56609642301710728</v>
      </c>
      <c r="R240" s="1" t="str">
        <f>IF(Q240&gt;'Controls-Split'!$J$33,"Pos","Neg")</f>
        <v>Neg</v>
      </c>
      <c r="S240">
        <v>10</v>
      </c>
    </row>
    <row r="241" spans="1:19" x14ac:dyDescent="0.2">
      <c r="A241" t="s">
        <v>58</v>
      </c>
      <c r="B241" t="s">
        <v>61</v>
      </c>
      <c r="C241" s="6" t="s">
        <v>26</v>
      </c>
      <c r="D241" t="s">
        <v>19</v>
      </c>
      <c r="E241">
        <v>0.16800000000000001</v>
      </c>
      <c r="F241" s="7">
        <v>2</v>
      </c>
      <c r="G241" s="16" t="s">
        <v>22</v>
      </c>
      <c r="H241" s="1" t="s">
        <v>21</v>
      </c>
      <c r="I241" s="2">
        <v>13884.5</v>
      </c>
      <c r="J241" s="2">
        <f>I241-'Controls-Split'!$D$10</f>
        <v>12811.625</v>
      </c>
      <c r="K241" s="1">
        <f>J241/'Controls-Split'!$C$10</f>
        <v>0.21851235158800039</v>
      </c>
      <c r="L241" s="1" t="str">
        <f>IF(K241&gt;'Controls-Split'!$I$10,"Pos","Neg")</f>
        <v>Pos</v>
      </c>
      <c r="M241" s="17">
        <v>7</v>
      </c>
      <c r="N241" t="s">
        <v>24</v>
      </c>
      <c r="O241" t="s">
        <v>23</v>
      </c>
      <c r="P241">
        <v>2522</v>
      </c>
      <c r="Q241" s="19">
        <f>P241/'Controls-Split'!$D$35</f>
        <v>1.7285812200137081</v>
      </c>
      <c r="R241" s="1" t="str">
        <f>IF(Q241&gt;'Controls-Split'!$J$35,"Pos","Neg")</f>
        <v>Neg</v>
      </c>
      <c r="S241">
        <v>12</v>
      </c>
    </row>
    <row r="242" spans="1:19" x14ac:dyDescent="0.2">
      <c r="A242" t="s">
        <v>58</v>
      </c>
      <c r="B242" t="s">
        <v>92</v>
      </c>
      <c r="C242" s="6" t="s">
        <v>20</v>
      </c>
      <c r="D242" t="s">
        <v>19</v>
      </c>
      <c r="E242">
        <v>8.6999999999999994E-2</v>
      </c>
      <c r="F242" s="7">
        <v>2</v>
      </c>
      <c r="G242" s="16" t="s">
        <v>22</v>
      </c>
      <c r="H242" s="1" t="s">
        <v>21</v>
      </c>
      <c r="I242" s="2">
        <v>8048</v>
      </c>
      <c r="J242" s="2">
        <f>I242-'Controls-Split'!$D$10</f>
        <v>6975.125</v>
      </c>
      <c r="K242" s="1">
        <f>J242/'Controls-Split'!$C$10</f>
        <v>0.11896624872881086</v>
      </c>
      <c r="L242" s="1" t="str">
        <f>IF(K242&gt;'Controls-Split'!$I$10,"Pos","Neg")</f>
        <v>Pos</v>
      </c>
      <c r="M242" s="17">
        <v>7</v>
      </c>
      <c r="N242" s="23" t="s">
        <v>24</v>
      </c>
      <c r="O242" s="23" t="s">
        <v>23</v>
      </c>
      <c r="P242">
        <v>937</v>
      </c>
      <c r="Q242" s="19">
        <f>P242/'Controls-Split'!$D$31</f>
        <v>0.34742306266221729</v>
      </c>
      <c r="R242" s="1" t="str">
        <f>IF(Q242&gt;'Controls-Split'!$J$31,"Pos","Neg")</f>
        <v>Neg</v>
      </c>
      <c r="S242">
        <v>8</v>
      </c>
    </row>
    <row r="243" spans="1:19" x14ac:dyDescent="0.2">
      <c r="A243" t="s">
        <v>58</v>
      </c>
      <c r="B243" t="s">
        <v>123</v>
      </c>
      <c r="C243" s="6" t="s">
        <v>19</v>
      </c>
      <c r="D243" t="s">
        <v>26</v>
      </c>
      <c r="E243">
        <v>2.8000000000000001E-2</v>
      </c>
      <c r="F243" s="7">
        <v>2</v>
      </c>
      <c r="G243" s="16" t="s">
        <v>21</v>
      </c>
      <c r="H243" s="1" t="s">
        <v>22</v>
      </c>
      <c r="I243" s="2">
        <v>3885</v>
      </c>
      <c r="J243" s="2">
        <f>I243-'Controls-Split'!$D$10</f>
        <v>2812.125</v>
      </c>
      <c r="K243" s="1">
        <f>J243/'Controls-Split'!$C$10</f>
        <v>4.7963005997241223E-2</v>
      </c>
      <c r="L243" s="1" t="str">
        <f>IF(K243&gt;'Controls-Split'!$I$10,"Pos","Neg")</f>
        <v>Pos</v>
      </c>
      <c r="M243" s="17">
        <v>7</v>
      </c>
      <c r="N243" t="s">
        <v>23</v>
      </c>
      <c r="O243" t="s">
        <v>24</v>
      </c>
      <c r="P243">
        <v>1936</v>
      </c>
      <c r="Q243" s="19">
        <f>P243/'Controls-Split'!$D$26</f>
        <v>0.99948373773877131</v>
      </c>
      <c r="R243" s="1" t="str">
        <f>IF(Q243&gt;'Controls-Split'!$J$26,"Pos","Neg")</f>
        <v>Neg</v>
      </c>
      <c r="S243">
        <v>3</v>
      </c>
    </row>
    <row r="244" spans="1:19" x14ac:dyDescent="0.2">
      <c r="A244" t="s">
        <v>58</v>
      </c>
      <c r="B244" t="s">
        <v>82</v>
      </c>
      <c r="C244" s="6" t="s">
        <v>20</v>
      </c>
      <c r="D244" t="s">
        <v>23</v>
      </c>
      <c r="E244">
        <v>3.4000000000000002E-2</v>
      </c>
      <c r="F244" s="7">
        <v>2</v>
      </c>
      <c r="G244" s="16" t="s">
        <v>22</v>
      </c>
      <c r="H244" s="1" t="s">
        <v>21</v>
      </c>
      <c r="I244" s="2">
        <v>5806</v>
      </c>
      <c r="J244" s="2">
        <f>I244-'Controls-Split'!$D$10</f>
        <v>4733.125</v>
      </c>
      <c r="K244" s="1">
        <f>J244/'Controls-Split'!$C$10</f>
        <v>8.0727173493600882E-2</v>
      </c>
      <c r="L244" s="1" t="str">
        <f>IF(K244&gt;'Controls-Split'!$I$10,"Pos","Neg")</f>
        <v>Pos</v>
      </c>
      <c r="M244" s="17">
        <v>7</v>
      </c>
      <c r="N244" t="s">
        <v>24</v>
      </c>
      <c r="O244" t="s">
        <v>23</v>
      </c>
      <c r="P244">
        <v>872</v>
      </c>
      <c r="Q244" s="19">
        <f>P244/'Controls-Split'!$D$31</f>
        <v>0.32332220986281052</v>
      </c>
      <c r="R244" s="1" t="str">
        <f>IF(Q244&gt;'Controls-Split'!$J$31,"Pos","Neg")</f>
        <v>Neg</v>
      </c>
      <c r="S244">
        <v>8</v>
      </c>
    </row>
    <row r="245" spans="1:19" x14ac:dyDescent="0.2">
      <c r="A245" t="s">
        <v>58</v>
      </c>
      <c r="B245" t="s">
        <v>47</v>
      </c>
      <c r="C245" s="6" t="s">
        <v>20</v>
      </c>
      <c r="D245" t="s">
        <v>23</v>
      </c>
      <c r="E245">
        <v>4.3999999999999997E-2</v>
      </c>
      <c r="F245" s="7">
        <v>2</v>
      </c>
      <c r="G245" s="16" t="s">
        <v>22</v>
      </c>
      <c r="H245" s="1" t="s">
        <v>21</v>
      </c>
      <c r="I245" s="2">
        <v>3693</v>
      </c>
      <c r="J245" s="2">
        <f>I245-'Controls-Split'!$D$10</f>
        <v>2620.125</v>
      </c>
      <c r="K245" s="1">
        <f>J245/'Controls-Split'!$C$10</f>
        <v>4.4688294826340104E-2</v>
      </c>
      <c r="L245" s="1" t="str">
        <f>IF(K245&gt;'Controls-Split'!$I$10,"Pos","Neg")</f>
        <v>Pos</v>
      </c>
      <c r="M245" s="17">
        <v>7</v>
      </c>
      <c r="N245" s="23" t="s">
        <v>24</v>
      </c>
      <c r="O245" s="23" t="s">
        <v>23</v>
      </c>
      <c r="P245">
        <v>4462</v>
      </c>
      <c r="Q245" s="19">
        <f>P245/'Controls-Split'!$D$31</f>
        <v>1.6544308490915833</v>
      </c>
      <c r="R245" s="1" t="str">
        <f>IF(Q245&gt;'Controls-Split'!$J$31,"Pos","Neg")</f>
        <v>Pos</v>
      </c>
      <c r="S245">
        <v>8</v>
      </c>
    </row>
    <row r="246" spans="1:19" x14ac:dyDescent="0.2">
      <c r="A246" t="s">
        <v>58</v>
      </c>
      <c r="B246" t="s">
        <v>80</v>
      </c>
      <c r="C246" s="6" t="s">
        <v>20</v>
      </c>
      <c r="D246" t="s">
        <v>23</v>
      </c>
      <c r="E246">
        <v>3.1E-2</v>
      </c>
      <c r="F246" s="7">
        <v>2</v>
      </c>
      <c r="G246" s="16" t="s">
        <v>22</v>
      </c>
      <c r="H246" s="1" t="s">
        <v>21</v>
      </c>
      <c r="I246" s="2">
        <v>17128.5</v>
      </c>
      <c r="J246" s="2">
        <f>I246-'Controls-Split'!$D$10</f>
        <v>16055.625</v>
      </c>
      <c r="K246" s="1">
        <f>J246/'Controls-Split'!$C$10</f>
        <v>0.27384132574635062</v>
      </c>
      <c r="L246" s="1" t="str">
        <f>IF(K246&gt;'Controls-Split'!$I$10,"Pos","Neg")</f>
        <v>Pos</v>
      </c>
      <c r="M246" s="17">
        <v>7</v>
      </c>
      <c r="N246" t="s">
        <v>24</v>
      </c>
      <c r="O246" t="s">
        <v>23</v>
      </c>
      <c r="P246">
        <v>1680</v>
      </c>
      <c r="Q246" s="19">
        <f>P246/'Controls-Split'!$D$33</f>
        <v>0.65318818040435456</v>
      </c>
      <c r="R246" s="1" t="str">
        <f>IF(Q246&gt;'Controls-Split'!$J$33,"Pos","Neg")</f>
        <v>Neg</v>
      </c>
      <c r="S246">
        <v>10</v>
      </c>
    </row>
    <row r="247" spans="1:19" x14ac:dyDescent="0.2">
      <c r="A247" t="s">
        <v>58</v>
      </c>
      <c r="B247" t="s">
        <v>78</v>
      </c>
      <c r="C247" s="6" t="s">
        <v>20</v>
      </c>
      <c r="D247" t="s">
        <v>23</v>
      </c>
      <c r="E247">
        <v>0.03</v>
      </c>
      <c r="F247" s="7">
        <v>2</v>
      </c>
      <c r="G247" s="16" t="s">
        <v>22</v>
      </c>
      <c r="H247" s="1" t="s">
        <v>21</v>
      </c>
      <c r="I247" s="2">
        <v>7014</v>
      </c>
      <c r="J247" s="2">
        <f>I247-'Controls-Split'!$D$10</f>
        <v>5941.125</v>
      </c>
      <c r="K247" s="1">
        <f>J247/'Controls-Split'!$C$10</f>
        <v>0.10133056461052044</v>
      </c>
      <c r="L247" s="1" t="str">
        <f>IF(K247&gt;'Controls-Split'!$I$10,"Pos","Neg")</f>
        <v>Pos</v>
      </c>
      <c r="M247" s="17">
        <v>7</v>
      </c>
      <c r="N247" s="23" t="s">
        <v>24</v>
      </c>
      <c r="O247" s="23" t="s">
        <v>23</v>
      </c>
      <c r="P247">
        <v>1345</v>
      </c>
      <c r="Q247" s="19">
        <f>P247/'Controls-Split'!$D$31</f>
        <v>0.49870226177233962</v>
      </c>
      <c r="R247" s="1" t="str">
        <f>IF(Q247&gt;'Controls-Split'!$J$31,"Pos","Neg")</f>
        <v>Neg</v>
      </c>
      <c r="S247">
        <v>8</v>
      </c>
    </row>
    <row r="248" spans="1:19" x14ac:dyDescent="0.2">
      <c r="A248" t="s">
        <v>58</v>
      </c>
      <c r="B248" t="s">
        <v>96</v>
      </c>
      <c r="C248" s="6" t="s">
        <v>20</v>
      </c>
      <c r="D248" t="s">
        <v>23</v>
      </c>
      <c r="E248">
        <v>0.112</v>
      </c>
      <c r="F248" s="7">
        <v>2</v>
      </c>
      <c r="G248" s="16" t="s">
        <v>22</v>
      </c>
      <c r="H248" s="1" t="s">
        <v>21</v>
      </c>
      <c r="I248" s="2">
        <v>1653</v>
      </c>
      <c r="J248" s="2">
        <f>I248-'Controls-Split'!$D$10</f>
        <v>580.125</v>
      </c>
      <c r="K248" s="1">
        <f>J248/'Controls-Split'!$C$10</f>
        <v>9.894488635515692E-3</v>
      </c>
      <c r="L248" s="1" t="str">
        <f>IF(K248&gt;'Controls-Split'!$I$10,"Pos","Neg")</f>
        <v>Neg</v>
      </c>
      <c r="M248" s="17">
        <v>7</v>
      </c>
      <c r="N248" t="s">
        <v>24</v>
      </c>
      <c r="O248" t="s">
        <v>23</v>
      </c>
      <c r="P248">
        <v>2993</v>
      </c>
      <c r="Q248" s="19">
        <f>P248/'Controls-Split'!$D$31</f>
        <v>1.1097515758249907</v>
      </c>
      <c r="R248" s="1" t="str">
        <f>IF(Q248&gt;'Controls-Split'!$J$31,"Pos","Neg")</f>
        <v>Neg</v>
      </c>
      <c r="S248">
        <v>8</v>
      </c>
    </row>
    <row r="249" spans="1:19" x14ac:dyDescent="0.2">
      <c r="A249" t="s">
        <v>58</v>
      </c>
      <c r="B249" t="s">
        <v>81</v>
      </c>
      <c r="C249" s="6" t="s">
        <v>20</v>
      </c>
      <c r="D249" t="s">
        <v>23</v>
      </c>
      <c r="E249">
        <v>3.3000000000000002E-2</v>
      </c>
      <c r="F249" s="7">
        <v>2</v>
      </c>
      <c r="G249" s="16" t="s">
        <v>22</v>
      </c>
      <c r="H249" s="1" t="s">
        <v>21</v>
      </c>
      <c r="I249" s="2">
        <v>15153</v>
      </c>
      <c r="J249" s="2">
        <f>I249-'Controls-Split'!$D$10</f>
        <v>14080.125</v>
      </c>
      <c r="K249" s="1">
        <f>J249/'Controls-Split'!$C$10</f>
        <v>0.24014761783950078</v>
      </c>
      <c r="L249" s="1" t="str">
        <f>IF(K249&gt;'Controls-Split'!$I$10,"Pos","Neg")</f>
        <v>Pos</v>
      </c>
      <c r="M249" s="17">
        <v>7</v>
      </c>
      <c r="N249" s="23" t="s">
        <v>24</v>
      </c>
      <c r="O249" s="23" t="s">
        <v>23</v>
      </c>
      <c r="P249">
        <v>2272</v>
      </c>
      <c r="Q249" s="19">
        <f>P249/'Controls-Split'!$D$31</f>
        <v>0.84241750092695589</v>
      </c>
      <c r="R249" s="1" t="str">
        <f>IF(Q249&gt;'Controls-Split'!$J$31,"Pos","Neg")</f>
        <v>Neg</v>
      </c>
      <c r="S249">
        <v>8</v>
      </c>
    </row>
    <row r="250" spans="1:19" x14ac:dyDescent="0.2">
      <c r="A250" t="s">
        <v>124</v>
      </c>
      <c r="B250" t="s">
        <v>81</v>
      </c>
      <c r="C250" s="6" t="s">
        <v>20</v>
      </c>
      <c r="D250" t="s">
        <v>23</v>
      </c>
      <c r="E250">
        <v>3.2000000000000001E-2</v>
      </c>
      <c r="F250" s="7">
        <v>1</v>
      </c>
      <c r="G250" s="16" t="s">
        <v>22</v>
      </c>
      <c r="H250" s="1" t="s">
        <v>21</v>
      </c>
      <c r="I250" s="2">
        <v>1063</v>
      </c>
      <c r="J250" s="2">
        <f>I250-'Controls-Split'!$D$10</f>
        <v>-9.875</v>
      </c>
      <c r="K250" s="1">
        <f>J250/'Controls-Split'!$C$10</f>
        <v>-1.6842590006587799E-4</v>
      </c>
      <c r="L250" s="1" t="str">
        <f>IF(K250&gt;'Controls-Split'!$I$10,"Pos","Neg")</f>
        <v>Neg</v>
      </c>
      <c r="M250" s="17">
        <v>7</v>
      </c>
      <c r="N250" s="23" t="s">
        <v>24</v>
      </c>
      <c r="O250" s="23" t="s">
        <v>23</v>
      </c>
      <c r="P250">
        <v>1048</v>
      </c>
      <c r="Q250" s="19">
        <f>P250/'Controls-Split'!$D$30</f>
        <v>0.80739599383667182</v>
      </c>
      <c r="R250" s="1" t="str">
        <f>IF(Q250&gt;'Controls-Split'!$J$30,"Pos","Neg")</f>
        <v>Neg</v>
      </c>
      <c r="S250">
        <v>7</v>
      </c>
    </row>
    <row r="251" spans="1:19" x14ac:dyDescent="0.2">
      <c r="A251" t="s">
        <v>111</v>
      </c>
      <c r="B251" t="s">
        <v>122</v>
      </c>
      <c r="C251" s="6" t="s">
        <v>20</v>
      </c>
      <c r="D251" t="s">
        <v>23</v>
      </c>
      <c r="E251">
        <v>3.7999999999999999E-2</v>
      </c>
      <c r="F251" s="7">
        <v>2</v>
      </c>
      <c r="G251" s="16" t="s">
        <v>22</v>
      </c>
      <c r="H251" s="1" t="s">
        <v>21</v>
      </c>
      <c r="I251" s="2">
        <v>1147.5</v>
      </c>
      <c r="J251" s="2">
        <f>I251-'Controls-Split'!$D$10</f>
        <v>74.625</v>
      </c>
      <c r="K251" s="1">
        <f>J251/'Controls-Split'!$C$10</f>
        <v>1.2727881308775841E-3</v>
      </c>
      <c r="L251" s="1" t="str">
        <f>IF(K251&gt;'Controls-Split'!$I$10,"Pos","Neg")</f>
        <v>Neg</v>
      </c>
      <c r="M251" s="17">
        <v>7</v>
      </c>
      <c r="N251" s="23" t="s">
        <v>24</v>
      </c>
      <c r="O251" s="23" t="s">
        <v>23</v>
      </c>
      <c r="P251">
        <v>1283</v>
      </c>
      <c r="Q251" s="19">
        <f>P251/'Controls-Split'!$D$30</f>
        <v>0.98844375963020026</v>
      </c>
      <c r="R251" s="1" t="str">
        <f>IF(Q251&gt;'Controls-Split'!$J$30,"Pos","Neg")</f>
        <v>Neg</v>
      </c>
      <c r="S251">
        <v>7</v>
      </c>
    </row>
    <row r="252" spans="1:19" x14ac:dyDescent="0.2">
      <c r="A252" t="s">
        <v>111</v>
      </c>
      <c r="B252" t="s">
        <v>49</v>
      </c>
      <c r="C252" s="6" t="s">
        <v>20</v>
      </c>
      <c r="D252" t="s">
        <v>19</v>
      </c>
      <c r="E252">
        <v>3.5000000000000003E-2</v>
      </c>
      <c r="F252" s="7">
        <v>2</v>
      </c>
      <c r="G252" s="16" t="s">
        <v>22</v>
      </c>
      <c r="H252" s="1" t="s">
        <v>21</v>
      </c>
      <c r="I252" s="2">
        <v>1506</v>
      </c>
      <c r="J252" s="2">
        <f>I252-'Controls-Split'!$D$10</f>
        <v>433.125</v>
      </c>
      <c r="K252" s="1">
        <f>J252/'Controls-Split'!$C$10</f>
        <v>7.3872878952945219E-3</v>
      </c>
      <c r="L252" s="1" t="str">
        <f>IF(K252&gt;'Controls-Split'!$I$10,"Pos","Neg")</f>
        <v>Neg</v>
      </c>
      <c r="M252" s="17">
        <v>7</v>
      </c>
      <c r="N252" s="23" t="s">
        <v>24</v>
      </c>
      <c r="O252" s="23" t="s">
        <v>23</v>
      </c>
      <c r="P252">
        <v>772</v>
      </c>
      <c r="Q252" s="19">
        <f>P252/'Controls-Split'!$D$30</f>
        <v>0.59476117103235748</v>
      </c>
      <c r="R252" s="1" t="str">
        <f>IF(Q252&gt;'Controls-Split'!$J$30,"Pos","Neg")</f>
        <v>Neg</v>
      </c>
      <c r="S252">
        <v>7</v>
      </c>
    </row>
    <row r="253" spans="1:19" x14ac:dyDescent="0.2">
      <c r="A253" t="s">
        <v>111</v>
      </c>
      <c r="B253" t="s">
        <v>18</v>
      </c>
      <c r="C253" s="6" t="s">
        <v>23</v>
      </c>
      <c r="D253" t="s">
        <v>20</v>
      </c>
      <c r="E253">
        <v>6.5000000000000002E-2</v>
      </c>
      <c r="F253" s="7">
        <v>2</v>
      </c>
      <c r="G253" s="16" t="s">
        <v>21</v>
      </c>
      <c r="H253" s="1" t="s">
        <v>22</v>
      </c>
      <c r="I253" s="2">
        <v>1616.5</v>
      </c>
      <c r="J253" s="2">
        <f>I253-'Controls-Split'!$D$10</f>
        <v>543.625</v>
      </c>
      <c r="K253" s="1">
        <f>J253/'Controls-Split'!$C$10</f>
        <v>9.2719523972975108E-3</v>
      </c>
      <c r="L253" s="1" t="str">
        <f>IF(K253&gt;'Controls-Split'!$I$10,"Pos","Neg")</f>
        <v>Neg</v>
      </c>
      <c r="M253" s="17">
        <v>7</v>
      </c>
      <c r="N253" t="s">
        <v>23</v>
      </c>
      <c r="O253" t="s">
        <v>24</v>
      </c>
      <c r="P253">
        <v>4967</v>
      </c>
      <c r="Q253" s="19">
        <f>P253/'Controls-Split'!$D$32</f>
        <v>2.000402738622634</v>
      </c>
      <c r="R253" s="1" t="str">
        <f>IF(Q253&gt;'Controls-Split'!$J$32,"Pos","Neg")</f>
        <v>Neg</v>
      </c>
      <c r="S253">
        <v>9</v>
      </c>
    </row>
    <row r="254" spans="1:19" x14ac:dyDescent="0.2">
      <c r="A254" t="s">
        <v>111</v>
      </c>
      <c r="B254" t="s">
        <v>52</v>
      </c>
      <c r="C254" s="6" t="s">
        <v>20</v>
      </c>
      <c r="D254" t="s">
        <v>19</v>
      </c>
      <c r="E254">
        <v>3.3000000000000002E-2</v>
      </c>
      <c r="F254" s="7">
        <v>1</v>
      </c>
      <c r="G254" s="16" t="s">
        <v>22</v>
      </c>
      <c r="H254" s="1" t="s">
        <v>21</v>
      </c>
      <c r="I254" s="2">
        <v>1564</v>
      </c>
      <c r="J254" s="2">
        <f>I254-'Controls-Split'!$D$10</f>
        <v>491.125</v>
      </c>
      <c r="K254" s="1">
        <f>J254/'Controls-Split'!$C$10</f>
        <v>8.3765235615042358E-3</v>
      </c>
      <c r="L254" s="1" t="str">
        <f>IF(K254&gt;'Controls-Split'!$I$10,"Pos","Neg")</f>
        <v>Neg</v>
      </c>
      <c r="M254" s="17">
        <v>7</v>
      </c>
      <c r="N254" t="s">
        <v>24</v>
      </c>
      <c r="O254" t="s">
        <v>23</v>
      </c>
      <c r="P254">
        <v>863</v>
      </c>
      <c r="Q254" s="19">
        <f>P254/'Controls-Split'!$D$30</f>
        <v>0.66486902927580893</v>
      </c>
      <c r="R254" s="1" t="str">
        <f>IF(Q254&gt;'Controls-Split'!$J$30,"Pos","Neg")</f>
        <v>Neg</v>
      </c>
      <c r="S254">
        <v>7</v>
      </c>
    </row>
    <row r="255" spans="1:19" x14ac:dyDescent="0.2">
      <c r="A255" t="s">
        <v>111</v>
      </c>
      <c r="B255" t="s">
        <v>27</v>
      </c>
      <c r="C255" s="6" t="s">
        <v>23</v>
      </c>
      <c r="D255" t="s">
        <v>20</v>
      </c>
      <c r="E255">
        <v>3.7999999999999999E-2</v>
      </c>
      <c r="F255" s="7">
        <v>2</v>
      </c>
      <c r="G255" s="16" t="s">
        <v>21</v>
      </c>
      <c r="H255" s="1" t="s">
        <v>22</v>
      </c>
      <c r="I255" s="2">
        <v>1147</v>
      </c>
      <c r="J255" s="2">
        <f>I255-'Controls-Split'!$D$10</f>
        <v>74.125</v>
      </c>
      <c r="K255" s="1">
        <f>J255/'Controls-Split'!$C$10</f>
        <v>1.2642602372033625E-3</v>
      </c>
      <c r="L255" s="1" t="str">
        <f>IF(K255&gt;'Controls-Split'!$I$10,"Pos","Neg")</f>
        <v>Neg</v>
      </c>
      <c r="M255" s="17">
        <v>7</v>
      </c>
      <c r="N255" t="s">
        <v>23</v>
      </c>
      <c r="O255" t="s">
        <v>24</v>
      </c>
      <c r="P255">
        <v>1798</v>
      </c>
      <c r="Q255" s="19">
        <f>P255/'Controls-Split'!$D$32</f>
        <v>0.7241240434957712</v>
      </c>
      <c r="R255" s="1" t="str">
        <f>IF(Q255&gt;'Controls-Split'!$J$32,"Pos","Neg")</f>
        <v>Neg</v>
      </c>
      <c r="S255">
        <v>9</v>
      </c>
    </row>
    <row r="256" spans="1:19" x14ac:dyDescent="0.2">
      <c r="A256" t="s">
        <v>111</v>
      </c>
      <c r="B256" t="s">
        <v>104</v>
      </c>
      <c r="C256" s="6" t="s">
        <v>23</v>
      </c>
      <c r="D256" t="s">
        <v>20</v>
      </c>
      <c r="E256">
        <v>4.9000000000000002E-2</v>
      </c>
      <c r="F256" s="7">
        <v>2</v>
      </c>
      <c r="G256" s="16" t="s">
        <v>21</v>
      </c>
      <c r="H256" s="1" t="s">
        <v>22</v>
      </c>
      <c r="I256" s="2">
        <v>1961</v>
      </c>
      <c r="J256" s="2">
        <f>I256-'Controls-Split'!$D$10</f>
        <v>888.125</v>
      </c>
      <c r="K256" s="1">
        <f>J256/'Controls-Split'!$C$10</f>
        <v>1.5147671138836241E-2</v>
      </c>
      <c r="L256" s="1" t="str">
        <f>IF(K256&gt;'Controls-Split'!$I$10,"Pos","Neg")</f>
        <v>Neg</v>
      </c>
      <c r="M256" s="17">
        <v>7</v>
      </c>
      <c r="N256" s="23" t="s">
        <v>23</v>
      </c>
      <c r="O256" s="23" t="s">
        <v>24</v>
      </c>
      <c r="P256">
        <v>1364</v>
      </c>
      <c r="Q256" s="19">
        <f>P256/'Controls-Split'!$D$30</f>
        <v>1.0508474576271187</v>
      </c>
      <c r="R256" s="1" t="str">
        <f>IF(Q256&gt;'Controls-Split'!$J$30,"Pos","Neg")</f>
        <v>Neg</v>
      </c>
      <c r="S256">
        <v>7</v>
      </c>
    </row>
    <row r="257" spans="1:19" x14ac:dyDescent="0.2">
      <c r="A257" t="s">
        <v>111</v>
      </c>
      <c r="B257" t="s">
        <v>28</v>
      </c>
      <c r="C257" s="6" t="s">
        <v>23</v>
      </c>
      <c r="D257" t="s">
        <v>20</v>
      </c>
      <c r="E257">
        <v>3.2000000000000001E-2</v>
      </c>
      <c r="F257" s="7">
        <v>2</v>
      </c>
      <c r="G257" s="16" t="s">
        <v>21</v>
      </c>
      <c r="H257" s="1" t="s">
        <v>22</v>
      </c>
      <c r="I257" s="2">
        <v>1052.5</v>
      </c>
      <c r="J257" s="2">
        <f>I257-'Controls-Split'!$D$10</f>
        <v>-20.375</v>
      </c>
      <c r="K257" s="1">
        <f>J257/'Controls-Split'!$C$10</f>
        <v>-3.4751166722453306E-4</v>
      </c>
      <c r="L257" s="1" t="str">
        <f>IF(K257&gt;'Controls-Split'!$I$10,"Pos","Neg")</f>
        <v>Neg</v>
      </c>
      <c r="M257" s="17">
        <v>7</v>
      </c>
      <c r="N257" s="23" t="s">
        <v>23</v>
      </c>
      <c r="O257" s="23" t="s">
        <v>24</v>
      </c>
      <c r="P257">
        <v>874</v>
      </c>
      <c r="Q257" s="19">
        <f>P257/'Controls-Split'!$D$30</f>
        <v>0.67334360554699535</v>
      </c>
      <c r="R257" s="1" t="str">
        <f>IF(Q257&gt;'Controls-Split'!$J$30,"Pos","Neg")</f>
        <v>Neg</v>
      </c>
      <c r="S257">
        <v>7</v>
      </c>
    </row>
    <row r="258" spans="1:19" x14ac:dyDescent="0.2">
      <c r="A258" t="s">
        <v>111</v>
      </c>
      <c r="B258" t="s">
        <v>90</v>
      </c>
      <c r="C258" s="6" t="s">
        <v>23</v>
      </c>
      <c r="D258" t="s">
        <v>20</v>
      </c>
      <c r="E258">
        <v>3.2000000000000001E-2</v>
      </c>
      <c r="F258" s="7">
        <v>2</v>
      </c>
      <c r="G258" s="16" t="s">
        <v>21</v>
      </c>
      <c r="H258" s="1" t="s">
        <v>22</v>
      </c>
      <c r="I258" s="2">
        <v>1801</v>
      </c>
      <c r="J258" s="2">
        <f>I258-'Controls-Split'!$D$10</f>
        <v>728.125</v>
      </c>
      <c r="K258" s="1">
        <f>J258/'Controls-Split'!$C$10</f>
        <v>1.2418745163085306E-2</v>
      </c>
      <c r="L258" s="1" t="str">
        <f>IF(K258&gt;'Controls-Split'!$I$10,"Pos","Neg")</f>
        <v>Neg</v>
      </c>
      <c r="M258" s="17">
        <v>7</v>
      </c>
      <c r="N258" s="23" t="s">
        <v>23</v>
      </c>
      <c r="O258" s="23" t="s">
        <v>24</v>
      </c>
      <c r="P258">
        <v>1449</v>
      </c>
      <c r="Q258" s="19">
        <f>P258/'Controls-Split'!$D$31</f>
        <v>0.53726362625139046</v>
      </c>
      <c r="R258" s="1" t="str">
        <f>IF(Q258&gt;'Controls-Split'!$J$31,"Pos","Neg")</f>
        <v>Neg</v>
      </c>
      <c r="S258">
        <v>8</v>
      </c>
    </row>
    <row r="259" spans="1:19" x14ac:dyDescent="0.2">
      <c r="A259" t="s">
        <v>111</v>
      </c>
      <c r="B259" t="s">
        <v>111</v>
      </c>
      <c r="C259" s="6" t="s">
        <v>23</v>
      </c>
      <c r="D259" t="s">
        <v>20</v>
      </c>
      <c r="E259">
        <v>0.06</v>
      </c>
      <c r="F259" s="7">
        <v>1</v>
      </c>
      <c r="G259" s="16" t="s">
        <v>21</v>
      </c>
      <c r="H259" s="1" t="s">
        <v>22</v>
      </c>
      <c r="I259" s="2">
        <v>2599.5</v>
      </c>
      <c r="J259" s="2">
        <f>I259-'Controls-Split'!$D$10</f>
        <v>1526.625</v>
      </c>
      <c r="K259" s="1">
        <f>J259/'Controls-Split'!$C$10</f>
        <v>2.6037791360817315E-2</v>
      </c>
      <c r="L259" s="1" t="str">
        <f>IF(K259&gt;'Controls-Split'!$I$10,"Pos","Neg")</f>
        <v>Pos</v>
      </c>
      <c r="M259" s="17">
        <v>7</v>
      </c>
      <c r="N259" t="s">
        <v>23</v>
      </c>
      <c r="O259" t="s">
        <v>24</v>
      </c>
      <c r="P259">
        <v>1538</v>
      </c>
      <c r="Q259" s="19">
        <f>P259/'Controls-Split'!$D$30</f>
        <v>1.184899845916795</v>
      </c>
      <c r="R259" s="1" t="str">
        <f>IF(Q259&gt;'Controls-Split'!$J$30,"Pos","Neg")</f>
        <v>Neg</v>
      </c>
      <c r="S259">
        <v>7</v>
      </c>
    </row>
    <row r="260" spans="1:19" x14ac:dyDescent="0.2">
      <c r="A260" t="s">
        <v>111</v>
      </c>
      <c r="B260" t="s">
        <v>61</v>
      </c>
      <c r="C260" s="6" t="s">
        <v>23</v>
      </c>
      <c r="D260" t="s">
        <v>26</v>
      </c>
      <c r="E260">
        <v>0.14399999999999999</v>
      </c>
      <c r="F260" s="7">
        <v>2</v>
      </c>
      <c r="G260" s="16" t="s">
        <v>21</v>
      </c>
      <c r="H260" s="1" t="s">
        <v>22</v>
      </c>
      <c r="I260" s="2">
        <v>1445</v>
      </c>
      <c r="J260" s="2">
        <f>I260-'Controls-Split'!$D$10</f>
        <v>372.125</v>
      </c>
      <c r="K260" s="1">
        <f>J260/'Controls-Split'!$C$10</f>
        <v>6.3468848670394781E-3</v>
      </c>
      <c r="L260" s="1" t="str">
        <f>IF(K260&gt;'Controls-Split'!$I$10,"Pos","Neg")</f>
        <v>Neg</v>
      </c>
      <c r="M260" s="17">
        <v>7</v>
      </c>
      <c r="N260" t="s">
        <v>23</v>
      </c>
      <c r="O260" t="s">
        <v>24</v>
      </c>
      <c r="P260">
        <v>2356</v>
      </c>
      <c r="Q260" s="19">
        <f>P260/'Controls-Split'!$D$32</f>
        <v>0.94885219492549333</v>
      </c>
      <c r="R260" s="1" t="str">
        <f>IF(Q260&gt;'Controls-Split'!$J$32,"Pos","Neg")</f>
        <v>Neg</v>
      </c>
      <c r="S260">
        <v>9</v>
      </c>
    </row>
    <row r="261" spans="1:19" x14ac:dyDescent="0.2">
      <c r="A261" t="s">
        <v>125</v>
      </c>
      <c r="B261" t="s">
        <v>68</v>
      </c>
      <c r="C261" s="6" t="s">
        <v>20</v>
      </c>
      <c r="D261" t="s">
        <v>19</v>
      </c>
      <c r="E261">
        <v>4.7E-2</v>
      </c>
      <c r="F261" s="7">
        <v>1</v>
      </c>
      <c r="G261" s="16" t="s">
        <v>22</v>
      </c>
      <c r="H261" s="1" t="s">
        <v>21</v>
      </c>
      <c r="I261" s="2">
        <v>1261.5</v>
      </c>
      <c r="J261" s="2">
        <f>I261-'Controls-Split'!$D$10</f>
        <v>188.625</v>
      </c>
      <c r="K261" s="1">
        <f>J261/'Controls-Split'!$C$10</f>
        <v>3.217147888600125E-3</v>
      </c>
      <c r="L261" s="1" t="str">
        <f>IF(K261&gt;'Controls-Split'!$I$10,"Pos","Neg")</f>
        <v>Neg</v>
      </c>
      <c r="M261" s="17">
        <v>7</v>
      </c>
      <c r="N261" s="23" t="s">
        <v>24</v>
      </c>
      <c r="O261" s="23" t="s">
        <v>23</v>
      </c>
      <c r="P261">
        <v>1891</v>
      </c>
      <c r="Q261" s="19">
        <f>P261/'Controls-Split'!$D$30</f>
        <v>1.4568567026194146</v>
      </c>
      <c r="R261" s="1" t="str">
        <f>IF(Q261&gt;'Controls-Split'!$J$30,"Pos","Neg")</f>
        <v>Neg</v>
      </c>
      <c r="S261">
        <v>7</v>
      </c>
    </row>
    <row r="262" spans="1:19" x14ac:dyDescent="0.2">
      <c r="A262" t="s">
        <v>125</v>
      </c>
      <c r="B262" t="s">
        <v>90</v>
      </c>
      <c r="C262" s="6" t="s">
        <v>23</v>
      </c>
      <c r="D262" t="s">
        <v>20</v>
      </c>
      <c r="E262">
        <v>2.7E-2</v>
      </c>
      <c r="F262" s="7">
        <v>2</v>
      </c>
      <c r="G262" s="16" t="s">
        <v>21</v>
      </c>
      <c r="H262" s="1" t="s">
        <v>22</v>
      </c>
      <c r="I262" s="2">
        <v>1537.5</v>
      </c>
      <c r="J262" s="2">
        <f>I262-'Controls-Split'!$D$10</f>
        <v>464.625</v>
      </c>
      <c r="K262" s="1">
        <f>J262/'Controls-Split'!$C$10</f>
        <v>7.9245451967704869E-3</v>
      </c>
      <c r="L262" s="1" t="str">
        <f>IF(K262&gt;'Controls-Split'!$I$10,"Pos","Neg")</f>
        <v>Neg</v>
      </c>
      <c r="M262" s="17">
        <v>7</v>
      </c>
      <c r="N262" t="s">
        <v>23</v>
      </c>
      <c r="O262" t="s">
        <v>24</v>
      </c>
      <c r="P262">
        <v>700</v>
      </c>
      <c r="Q262" s="19">
        <f>P262/'Controls-Split'!$D$31</f>
        <v>0.25954764553207266</v>
      </c>
      <c r="R262" s="1" t="str">
        <f>IF(Q262&gt;'Controls-Split'!$J$31,"Pos","Neg")</f>
        <v>Neg</v>
      </c>
      <c r="S262">
        <v>8</v>
      </c>
    </row>
    <row r="263" spans="1:19" x14ac:dyDescent="0.2">
      <c r="A263" t="s">
        <v>109</v>
      </c>
      <c r="B263" t="s">
        <v>53</v>
      </c>
      <c r="C263" s="6" t="s">
        <v>20</v>
      </c>
      <c r="D263" t="s">
        <v>23</v>
      </c>
      <c r="E263">
        <v>2.8000000000000001E-2</v>
      </c>
      <c r="F263" s="7">
        <v>2</v>
      </c>
      <c r="G263" s="16" t="s">
        <v>22</v>
      </c>
      <c r="H263" s="1" t="s">
        <v>21</v>
      </c>
      <c r="I263" s="2">
        <v>6391.5</v>
      </c>
      <c r="J263" s="2">
        <f>I263-'Controls-Split'!$D$10</f>
        <v>5318.625</v>
      </c>
      <c r="K263" s="1">
        <f>J263/'Controls-Split'!$C$10</f>
        <v>9.071333698611446E-2</v>
      </c>
      <c r="L263" s="1" t="str">
        <f>IF(K263&gt;'Controls-Split'!$I$10,"Pos","Neg")</f>
        <v>Pos</v>
      </c>
      <c r="M263" s="17">
        <v>7</v>
      </c>
      <c r="N263" t="s">
        <v>24</v>
      </c>
      <c r="O263" t="s">
        <v>23</v>
      </c>
      <c r="P263">
        <v>1443</v>
      </c>
      <c r="Q263" s="19">
        <f>P263/'Controls-Split'!$D$34</f>
        <v>1.1057471264367815</v>
      </c>
      <c r="R263" s="1" t="str">
        <f>IF(Q263&gt;'Controls-Split'!$J$34,"Pos","Neg")</f>
        <v>Neg</v>
      </c>
      <c r="S263">
        <v>11</v>
      </c>
    </row>
    <row r="264" spans="1:19" x14ac:dyDescent="0.2">
      <c r="A264" t="s">
        <v>109</v>
      </c>
      <c r="B264" t="s">
        <v>35</v>
      </c>
      <c r="C264" s="6" t="s">
        <v>20</v>
      </c>
      <c r="D264" t="s">
        <v>23</v>
      </c>
      <c r="E264">
        <v>2.7E-2</v>
      </c>
      <c r="F264" s="7">
        <v>2</v>
      </c>
      <c r="G264" s="16" t="s">
        <v>22</v>
      </c>
      <c r="H264" s="1" t="s">
        <v>21</v>
      </c>
      <c r="I264" s="2">
        <v>4362</v>
      </c>
      <c r="J264" s="2">
        <f>I264-'Controls-Split'!$D$10</f>
        <v>3289.125</v>
      </c>
      <c r="K264" s="1">
        <f>J264/'Controls-Split'!$C$10</f>
        <v>5.6098616562448703E-2</v>
      </c>
      <c r="L264" s="1" t="str">
        <f>IF(K264&gt;'Controls-Split'!$I$10,"Pos","Neg")</f>
        <v>Pos</v>
      </c>
      <c r="M264" s="17">
        <v>7</v>
      </c>
      <c r="N264" t="s">
        <v>24</v>
      </c>
      <c r="O264" t="s">
        <v>23</v>
      </c>
      <c r="P264">
        <v>1242</v>
      </c>
      <c r="Q264" s="19">
        <f>P264/'Controls-Split'!$D$34</f>
        <v>0.9517241379310345</v>
      </c>
      <c r="R264" s="1" t="str">
        <f>IF(Q264&gt;'Controls-Split'!$J$34,"Pos","Neg")</f>
        <v>Neg</v>
      </c>
      <c r="S264">
        <v>11</v>
      </c>
    </row>
    <row r="265" spans="1:19" x14ac:dyDescent="0.2">
      <c r="A265" t="s">
        <v>109</v>
      </c>
      <c r="B265" t="s">
        <v>94</v>
      </c>
      <c r="C265" s="6" t="s">
        <v>26</v>
      </c>
      <c r="D265" t="s">
        <v>23</v>
      </c>
      <c r="E265">
        <v>3.2000000000000001E-2</v>
      </c>
      <c r="F265" s="7">
        <v>2</v>
      </c>
      <c r="G265" s="16" t="s">
        <v>22</v>
      </c>
      <c r="H265" s="1" t="s">
        <v>21</v>
      </c>
      <c r="I265" s="2">
        <v>6370</v>
      </c>
      <c r="J265" s="2">
        <f>I265-'Controls-Split'!$D$10</f>
        <v>5297.125</v>
      </c>
      <c r="K265" s="1">
        <f>J265/'Controls-Split'!$C$10</f>
        <v>9.034663755812293E-2</v>
      </c>
      <c r="L265" s="1" t="str">
        <f>IF(K265&gt;'Controls-Split'!$I$10,"Pos","Neg")</f>
        <v>Pos</v>
      </c>
      <c r="M265" s="17">
        <v>7</v>
      </c>
      <c r="N265" t="s">
        <v>24</v>
      </c>
      <c r="O265" t="s">
        <v>23</v>
      </c>
      <c r="P265">
        <v>1018</v>
      </c>
      <c r="Q265" s="19">
        <f>P265/'Controls-Split'!$D$34</f>
        <v>0.78007662835249048</v>
      </c>
      <c r="R265" s="1" t="str">
        <f>IF(Q265&gt;'Controls-Split'!$J$34,"Pos","Neg")</f>
        <v>Neg</v>
      </c>
      <c r="S265">
        <v>11</v>
      </c>
    </row>
    <row r="266" spans="1:19" x14ac:dyDescent="0.2">
      <c r="A266" t="s">
        <v>109</v>
      </c>
      <c r="B266" t="s">
        <v>50</v>
      </c>
      <c r="C266" s="6" t="s">
        <v>20</v>
      </c>
      <c r="D266" t="s">
        <v>19</v>
      </c>
      <c r="E266">
        <v>2.8000000000000001E-2</v>
      </c>
      <c r="F266" s="7">
        <v>2</v>
      </c>
      <c r="G266" s="16" t="s">
        <v>22</v>
      </c>
      <c r="H266" s="1" t="s">
        <v>21</v>
      </c>
      <c r="I266" s="2">
        <v>17525</v>
      </c>
      <c r="J266" s="2">
        <f>I266-'Controls-Split'!$D$10</f>
        <v>16452.125</v>
      </c>
      <c r="K266" s="1">
        <f>J266/'Controls-Split'!$C$10</f>
        <v>0.28060394543000838</v>
      </c>
      <c r="L266" s="1" t="str">
        <f>IF(K266&gt;'Controls-Split'!$I$10,"Pos","Neg")</f>
        <v>Pos</v>
      </c>
      <c r="M266" s="17">
        <v>7</v>
      </c>
      <c r="N266" t="s">
        <v>24</v>
      </c>
      <c r="O266" t="s">
        <v>23</v>
      </c>
      <c r="P266">
        <v>908</v>
      </c>
      <c r="Q266" s="19">
        <f>P266/'Controls-Split'!$D$35</f>
        <v>0.62234407128169977</v>
      </c>
      <c r="R266" s="1" t="str">
        <f>IF(Q266&gt;'Controls-Split'!$J$35,"Pos","Neg")</f>
        <v>Neg</v>
      </c>
      <c r="S266">
        <v>12</v>
      </c>
    </row>
    <row r="267" spans="1:19" x14ac:dyDescent="0.2">
      <c r="A267" t="s">
        <v>109</v>
      </c>
      <c r="B267" t="s">
        <v>72</v>
      </c>
      <c r="C267" s="6" t="s">
        <v>20</v>
      </c>
      <c r="D267" t="s">
        <v>23</v>
      </c>
      <c r="E267">
        <v>2.7E-2</v>
      </c>
      <c r="F267" s="7">
        <v>2</v>
      </c>
      <c r="G267" s="16" t="s">
        <v>22</v>
      </c>
      <c r="H267" s="1" t="s">
        <v>21</v>
      </c>
      <c r="I267" s="2">
        <v>9667</v>
      </c>
      <c r="J267" s="2">
        <f>I267-'Controls-Split'!$D$10</f>
        <v>8594.125</v>
      </c>
      <c r="K267" s="1">
        <f>J267/'Controls-Split'!$C$10</f>
        <v>0.14657956844594061</v>
      </c>
      <c r="L267" s="1" t="str">
        <f>IF(K267&gt;'Controls-Split'!$I$10,"Pos","Neg")</f>
        <v>Pos</v>
      </c>
      <c r="M267" s="17">
        <v>7</v>
      </c>
      <c r="N267" t="s">
        <v>24</v>
      </c>
      <c r="O267" t="s">
        <v>23</v>
      </c>
      <c r="P267">
        <v>1308</v>
      </c>
      <c r="Q267" s="19">
        <f>P267/'Controls-Split'!$D$34</f>
        <v>1.0022988505747126</v>
      </c>
      <c r="R267" s="1" t="str">
        <f>IF(Q267&gt;'Controls-Split'!$J$34,"Pos","Neg")</f>
        <v>Neg</v>
      </c>
      <c r="S267">
        <v>11</v>
      </c>
    </row>
    <row r="268" spans="1:19" x14ac:dyDescent="0.2">
      <c r="A268" t="s">
        <v>109</v>
      </c>
      <c r="B268" t="s">
        <v>119</v>
      </c>
      <c r="C268" s="6" t="s">
        <v>20</v>
      </c>
      <c r="D268" t="s">
        <v>19</v>
      </c>
      <c r="E268">
        <v>2.9000000000000001E-2</v>
      </c>
      <c r="F268" s="7">
        <v>1</v>
      </c>
      <c r="G268" s="16" t="s">
        <v>22</v>
      </c>
      <c r="H268" s="1" t="s">
        <v>21</v>
      </c>
      <c r="I268" s="2">
        <v>2947.5</v>
      </c>
      <c r="J268" s="2">
        <f>I268-'Controls-Split'!$D$10</f>
        <v>1874.625</v>
      </c>
      <c r="K268" s="1">
        <f>J268/'Controls-Split'!$C$10</f>
        <v>3.1973205358075595E-2</v>
      </c>
      <c r="L268" s="1" t="str">
        <f>IF(K268&gt;'Controls-Split'!$I$10,"Pos","Neg")</f>
        <v>Pos</v>
      </c>
      <c r="M268" s="17">
        <v>7</v>
      </c>
      <c r="N268" t="s">
        <v>24</v>
      </c>
      <c r="O268" t="s">
        <v>23</v>
      </c>
      <c r="P268">
        <v>798</v>
      </c>
      <c r="Q268" s="19">
        <f>P268/'Controls-Split'!$D$34</f>
        <v>0.61149425287356318</v>
      </c>
      <c r="R268" s="1" t="str">
        <f>IF(Q268&gt;'Controls-Split'!$J$34,"Pos","Neg")</f>
        <v>Neg</v>
      </c>
      <c r="S268">
        <v>11</v>
      </c>
    </row>
    <row r="269" spans="1:19" x14ac:dyDescent="0.2">
      <c r="A269" t="s">
        <v>109</v>
      </c>
      <c r="B269" t="s">
        <v>58</v>
      </c>
      <c r="C269" s="6" t="s">
        <v>19</v>
      </c>
      <c r="D269" t="s">
        <v>20</v>
      </c>
      <c r="E269">
        <v>0.03</v>
      </c>
      <c r="F269" s="7">
        <v>2</v>
      </c>
      <c r="G269" s="16" t="s">
        <v>21</v>
      </c>
      <c r="H269" s="1" t="s">
        <v>22</v>
      </c>
      <c r="I269" s="2">
        <v>1115</v>
      </c>
      <c r="J269" s="2">
        <f>I269-'Controls-Split'!$D$10</f>
        <v>42.125</v>
      </c>
      <c r="K269" s="1">
        <f>J269/'Controls-Split'!$C$10</f>
        <v>7.1847504205317572E-4</v>
      </c>
      <c r="L269" s="1" t="str">
        <f>IF(K269&gt;'Controls-Split'!$I$10,"Pos","Neg")</f>
        <v>Neg</v>
      </c>
      <c r="M269" s="17">
        <v>7</v>
      </c>
      <c r="N269" t="s">
        <v>23</v>
      </c>
      <c r="O269" t="s">
        <v>24</v>
      </c>
      <c r="P269">
        <v>2844</v>
      </c>
      <c r="Q269" s="19">
        <f>P269/'Controls-Split'!$D$33</f>
        <v>1.1057542768273716</v>
      </c>
      <c r="R269" s="1" t="str">
        <f>IF(Q269&gt;'Controls-Split'!$J$33,"Pos","Neg")</f>
        <v>Neg</v>
      </c>
      <c r="S269">
        <v>10</v>
      </c>
    </row>
    <row r="270" spans="1:19" x14ac:dyDescent="0.2">
      <c r="A270" t="s">
        <v>109</v>
      </c>
      <c r="B270" t="s">
        <v>81</v>
      </c>
      <c r="C270" s="6" t="s">
        <v>19</v>
      </c>
      <c r="D270" t="s">
        <v>20</v>
      </c>
      <c r="E270">
        <v>3.5000000000000003E-2</v>
      </c>
      <c r="F270" s="7">
        <v>2</v>
      </c>
      <c r="G270" s="16" t="s">
        <v>21</v>
      </c>
      <c r="H270" s="1" t="s">
        <v>22</v>
      </c>
      <c r="I270" s="2">
        <v>1168</v>
      </c>
      <c r="J270" s="2">
        <f>I270-'Controls-Split'!$D$10</f>
        <v>95.125</v>
      </c>
      <c r="K270" s="1">
        <f>J270/'Controls-Split'!$C$10</f>
        <v>1.6224317715206728E-3</v>
      </c>
      <c r="L270" s="1" t="str">
        <f>IF(K270&gt;'Controls-Split'!$I$10,"Pos","Neg")</f>
        <v>Neg</v>
      </c>
      <c r="M270" s="17">
        <v>7</v>
      </c>
      <c r="N270" s="23" t="s">
        <v>23</v>
      </c>
      <c r="O270" s="23" t="s">
        <v>24</v>
      </c>
      <c r="P270">
        <v>1650</v>
      </c>
      <c r="Q270" s="19">
        <f>P270/'Controls-Split'!$D$30</f>
        <v>1.271186440677966</v>
      </c>
      <c r="R270" s="1" t="str">
        <f>IF(Q270&gt;'Controls-Split'!$J$30,"Pos","Neg")</f>
        <v>Neg</v>
      </c>
      <c r="S270">
        <v>7</v>
      </c>
    </row>
    <row r="271" spans="1:19" x14ac:dyDescent="0.2">
      <c r="A271" t="s">
        <v>38</v>
      </c>
      <c r="B271" t="s">
        <v>91</v>
      </c>
      <c r="C271" s="6" t="s">
        <v>20</v>
      </c>
      <c r="D271" t="s">
        <v>19</v>
      </c>
      <c r="E271">
        <v>5.8000000000000003E-2</v>
      </c>
      <c r="F271" s="7">
        <v>2</v>
      </c>
      <c r="G271" s="16" t="s">
        <v>22</v>
      </c>
      <c r="H271" s="1" t="s">
        <v>21</v>
      </c>
      <c r="I271" s="2">
        <v>1354</v>
      </c>
      <c r="J271" s="2">
        <f>I271-'Controls-Split'!$D$10</f>
        <v>281.125</v>
      </c>
      <c r="K271" s="1">
        <f>J271/'Controls-Split'!$C$10</f>
        <v>4.7948082183311338E-3</v>
      </c>
      <c r="L271" s="1" t="str">
        <f>IF(K271&gt;'Controls-Split'!$I$10,"Pos","Neg")</f>
        <v>Neg</v>
      </c>
      <c r="M271" s="17">
        <v>7</v>
      </c>
      <c r="N271" s="23" t="s">
        <v>24</v>
      </c>
      <c r="O271" s="23" t="s">
        <v>23</v>
      </c>
      <c r="P271">
        <v>3283</v>
      </c>
      <c r="Q271" s="19">
        <f>P271/'Controls-Split'!$D$30</f>
        <v>2.5292758089368257</v>
      </c>
      <c r="R271" s="1" t="str">
        <f>IF(Q271&gt;'Controls-Split'!$J$30,"Pos","Neg")</f>
        <v>Pos</v>
      </c>
      <c r="S271">
        <v>7</v>
      </c>
    </row>
    <row r="272" spans="1:19" x14ac:dyDescent="0.2">
      <c r="A272" t="s">
        <v>17</v>
      </c>
      <c r="B272" t="s">
        <v>85</v>
      </c>
      <c r="C272" s="6" t="s">
        <v>19</v>
      </c>
      <c r="D272" t="s">
        <v>26</v>
      </c>
      <c r="E272">
        <v>3.5000000000000003E-2</v>
      </c>
      <c r="F272" s="7">
        <v>1</v>
      </c>
      <c r="G272" s="16" t="s">
        <v>21</v>
      </c>
      <c r="H272" s="1" t="s">
        <v>22</v>
      </c>
      <c r="I272" s="2">
        <v>1563</v>
      </c>
      <c r="J272" s="2">
        <f>I272-'Controls-Split'!$D$11</f>
        <v>414</v>
      </c>
      <c r="K272" s="1">
        <f>J272/'Controls-Split'!$C$11</f>
        <v>5.1660240332422414E-3</v>
      </c>
      <c r="L272" s="1" t="str">
        <f>IF(K272&gt;'Controls-Split'!$I$11,"Pos","Neg")</f>
        <v>Neg</v>
      </c>
      <c r="M272" s="17">
        <v>8</v>
      </c>
      <c r="N272" s="23" t="s">
        <v>23</v>
      </c>
      <c r="O272" s="23" t="s">
        <v>24</v>
      </c>
      <c r="P272">
        <v>1746</v>
      </c>
      <c r="Q272" s="19">
        <f>P272/'Controls-Split'!$D$29</f>
        <v>1.416058394160584</v>
      </c>
      <c r="R272" s="1" t="str">
        <f>IF(Q272&gt;'Controls-Split'!$J$29,"Pos","Neg")</f>
        <v>Neg</v>
      </c>
      <c r="S272">
        <v>6</v>
      </c>
    </row>
    <row r="273" spans="1:19" x14ac:dyDescent="0.2">
      <c r="A273" t="s">
        <v>17</v>
      </c>
      <c r="B273" t="s">
        <v>95</v>
      </c>
      <c r="C273" s="6" t="s">
        <v>26</v>
      </c>
      <c r="D273" t="s">
        <v>19</v>
      </c>
      <c r="E273">
        <v>2.7E-2</v>
      </c>
      <c r="F273" s="7">
        <v>1</v>
      </c>
      <c r="G273" s="16" t="s">
        <v>22</v>
      </c>
      <c r="H273" s="1" t="s">
        <v>21</v>
      </c>
      <c r="I273" s="2">
        <v>1144</v>
      </c>
      <c r="J273" s="2">
        <f>I273-'Controls-Split'!$D$11</f>
        <v>-5</v>
      </c>
      <c r="K273" s="1">
        <f>J273/'Controls-Split'!$C$11</f>
        <v>-6.2391594604374899E-5</v>
      </c>
      <c r="L273" s="1" t="str">
        <f>IF(K273&gt;'Controls-Split'!$I$11,"Pos","Neg")</f>
        <v>Neg</v>
      </c>
      <c r="M273" s="17">
        <v>8</v>
      </c>
      <c r="N273" s="23" t="s">
        <v>24</v>
      </c>
      <c r="O273" s="23" t="s">
        <v>23</v>
      </c>
      <c r="P273">
        <v>918</v>
      </c>
      <c r="Q273" s="19">
        <f>P273/'Controls-Split'!$D$30</f>
        <v>0.70724191063174113</v>
      </c>
      <c r="R273" s="1" t="str">
        <f>IF(Q273&gt;'Controls-Split'!$J$30,"Pos","Neg")</f>
        <v>Neg</v>
      </c>
      <c r="S273">
        <v>7</v>
      </c>
    </row>
    <row r="274" spans="1:19" x14ac:dyDescent="0.2">
      <c r="A274" t="s">
        <v>17</v>
      </c>
      <c r="B274" t="s">
        <v>60</v>
      </c>
      <c r="C274" s="6" t="s">
        <v>19</v>
      </c>
      <c r="D274" t="s">
        <v>20</v>
      </c>
      <c r="E274">
        <v>4.9000000000000002E-2</v>
      </c>
      <c r="F274" s="7">
        <v>1</v>
      </c>
      <c r="G274" s="16" t="s">
        <v>21</v>
      </c>
      <c r="H274" s="1" t="s">
        <v>22</v>
      </c>
      <c r="I274" s="2">
        <v>1170</v>
      </c>
      <c r="J274" s="2">
        <f>I274-'Controls-Split'!$D$11</f>
        <v>21</v>
      </c>
      <c r="K274" s="1">
        <f>J274/'Controls-Split'!$C$11</f>
        <v>2.6204469733837456E-4</v>
      </c>
      <c r="L274" s="1" t="str">
        <f>IF(K274&gt;'Controls-Split'!$I$11,"Pos","Neg")</f>
        <v>Neg</v>
      </c>
      <c r="M274" s="17">
        <v>8</v>
      </c>
      <c r="N274" s="23" t="s">
        <v>23</v>
      </c>
      <c r="O274" s="23" t="s">
        <v>24</v>
      </c>
      <c r="P274" s="23">
        <v>2197</v>
      </c>
      <c r="Q274" s="26">
        <f>P274/'Controls-Split'!$D$26</f>
        <v>1.1342281879194631</v>
      </c>
      <c r="R274" s="1" t="str">
        <f>IF(Q274&gt;'Controls-Split'!$J$26,"Pos","Neg")</f>
        <v>Neg</v>
      </c>
      <c r="S274">
        <v>3</v>
      </c>
    </row>
    <row r="275" spans="1:19" x14ac:dyDescent="0.2">
      <c r="A275" t="s">
        <v>55</v>
      </c>
      <c r="B275" t="s">
        <v>55</v>
      </c>
      <c r="C275" s="6" t="s">
        <v>23</v>
      </c>
      <c r="D275" t="s">
        <v>26</v>
      </c>
      <c r="E275">
        <v>5.8999999999999997E-2</v>
      </c>
      <c r="F275" s="7">
        <v>2</v>
      </c>
      <c r="G275" s="16" t="s">
        <v>21</v>
      </c>
      <c r="H275" s="1" t="s">
        <v>22</v>
      </c>
      <c r="I275" s="2">
        <v>9933</v>
      </c>
      <c r="J275" s="2">
        <f>I275-'Controls-Split'!$D$11</f>
        <v>8784</v>
      </c>
      <c r="K275" s="1">
        <f>J275/'Controls-Split'!$C$11</f>
        <v>0.10960955340096583</v>
      </c>
      <c r="L275" s="1" t="str">
        <f>IF(K275&gt;'Controls-Split'!$I$11,"Pos","Neg")</f>
        <v>Pos</v>
      </c>
      <c r="M275" s="17">
        <v>8</v>
      </c>
      <c r="N275" t="s">
        <v>23</v>
      </c>
      <c r="O275" t="s">
        <v>24</v>
      </c>
      <c r="P275" s="23">
        <v>27037</v>
      </c>
      <c r="Q275" s="19">
        <f>P275/'Controls-Split'!$D$32</f>
        <v>10.88884414015304</v>
      </c>
      <c r="R275" s="1" t="str">
        <f>IF(Q275&gt;'Controls-Split'!$J$32,"Pos","Neg")</f>
        <v>Pos</v>
      </c>
      <c r="S275">
        <v>9</v>
      </c>
    </row>
    <row r="276" spans="1:19" x14ac:dyDescent="0.2">
      <c r="A276" t="s">
        <v>116</v>
      </c>
      <c r="B276" t="s">
        <v>32</v>
      </c>
      <c r="C276" s="6" t="s">
        <v>26</v>
      </c>
      <c r="D276" t="s">
        <v>19</v>
      </c>
      <c r="E276">
        <v>3.9E-2</v>
      </c>
      <c r="F276" s="7">
        <v>1</v>
      </c>
      <c r="G276" s="1" t="s">
        <v>22</v>
      </c>
      <c r="H276" s="1" t="s">
        <v>21</v>
      </c>
      <c r="I276" s="2">
        <v>1445</v>
      </c>
      <c r="J276" s="2">
        <f>I276-'Controls-Split'!$D$11</f>
        <v>296</v>
      </c>
      <c r="K276" s="1">
        <f>J276/'Controls-Split'!$C$11</f>
        <v>3.693582400578994E-3</v>
      </c>
      <c r="L276" s="1" t="str">
        <f>IF(K276&gt;'Controls-Split'!$I$11,"Pos","Neg")</f>
        <v>Neg</v>
      </c>
      <c r="M276" s="17">
        <v>8</v>
      </c>
      <c r="N276" t="s">
        <v>24</v>
      </c>
      <c r="O276" t="s">
        <v>23</v>
      </c>
      <c r="P276" s="23">
        <v>1802</v>
      </c>
      <c r="Q276" s="19">
        <f>P276/'Controls-Split'!$D$32</f>
        <v>0.72573499798630692</v>
      </c>
      <c r="R276" s="1" t="str">
        <f>IF(Q276&gt;'Controls-Split'!$J$32,"Pos","Neg")</f>
        <v>Neg</v>
      </c>
      <c r="S276">
        <v>9</v>
      </c>
    </row>
    <row r="277" spans="1:19" x14ac:dyDescent="0.2">
      <c r="A277" t="s">
        <v>72</v>
      </c>
      <c r="B277" t="s">
        <v>85</v>
      </c>
      <c r="C277" s="6" t="s">
        <v>23</v>
      </c>
      <c r="D277" t="s">
        <v>20</v>
      </c>
      <c r="E277">
        <v>2.7E-2</v>
      </c>
      <c r="F277" s="7">
        <v>2</v>
      </c>
      <c r="G277" s="18" t="s">
        <v>21</v>
      </c>
      <c r="H277" s="1" t="s">
        <v>22</v>
      </c>
      <c r="I277" s="2">
        <v>1385</v>
      </c>
      <c r="J277" s="2">
        <f>I277-'Controls-Split'!$D$11</f>
        <v>236</v>
      </c>
      <c r="K277" s="1">
        <f>J277/'Controls-Split'!$C$11</f>
        <v>2.9448832653264953E-3</v>
      </c>
      <c r="L277" s="1" t="str">
        <f>IF(K277&gt;'Controls-Split'!$I$11,"Pos","Neg")</f>
        <v>Neg</v>
      </c>
      <c r="M277" s="17">
        <v>8</v>
      </c>
      <c r="N277" s="23" t="s">
        <v>23</v>
      </c>
      <c r="O277" s="23" t="s">
        <v>24</v>
      </c>
      <c r="P277">
        <v>1540</v>
      </c>
      <c r="Q277" s="19">
        <f>P277/'Controls-Split'!$D$29</f>
        <v>1.2489862124898621</v>
      </c>
      <c r="R277" s="1" t="str">
        <f>IF(Q277&gt;'Controls-Split'!$J$29,"Pos","Neg")</f>
        <v>Neg</v>
      </c>
      <c r="S277">
        <v>6</v>
      </c>
    </row>
    <row r="278" spans="1:19" x14ac:dyDescent="0.2">
      <c r="A278" t="s">
        <v>59</v>
      </c>
      <c r="B278" t="s">
        <v>59</v>
      </c>
      <c r="C278" s="6" t="s">
        <v>23</v>
      </c>
      <c r="D278" t="s">
        <v>20</v>
      </c>
      <c r="E278">
        <v>6.8000000000000005E-2</v>
      </c>
      <c r="F278" s="7">
        <v>2</v>
      </c>
      <c r="G278" s="18" t="s">
        <v>21</v>
      </c>
      <c r="H278" s="1" t="s">
        <v>22</v>
      </c>
      <c r="I278" s="2">
        <v>2242</v>
      </c>
      <c r="J278" s="2">
        <f>I278-'Controls-Split'!$D$11</f>
        <v>1093</v>
      </c>
      <c r="K278" s="1">
        <f>J278/'Controls-Split'!$C$11</f>
        <v>1.3638802580516352E-2</v>
      </c>
      <c r="L278" s="1" t="str">
        <f>IF(K278&gt;'Controls-Split'!$I$11,"Pos","Neg")</f>
        <v>Neg</v>
      </c>
      <c r="M278" s="17">
        <v>8</v>
      </c>
      <c r="N278" s="23" t="s">
        <v>24</v>
      </c>
      <c r="O278" s="23" t="s">
        <v>23</v>
      </c>
      <c r="P278" s="23">
        <v>3015</v>
      </c>
      <c r="Q278" s="19">
        <f>P278/'Controls-Split'!$D$27</f>
        <v>1.4671532846715329</v>
      </c>
      <c r="R278" s="1" t="str">
        <f>IF(Q278&gt;'Controls-Split'!$J$27,"Pos","Neg")</f>
        <v>Neg</v>
      </c>
      <c r="S278" s="23">
        <v>4</v>
      </c>
    </row>
    <row r="279" spans="1:19" x14ac:dyDescent="0.2">
      <c r="A279" t="s">
        <v>32</v>
      </c>
      <c r="B279" t="s">
        <v>115</v>
      </c>
      <c r="C279" s="6" t="s">
        <v>26</v>
      </c>
      <c r="D279" t="s">
        <v>23</v>
      </c>
      <c r="E279">
        <v>2.9000000000000001E-2</v>
      </c>
      <c r="F279" s="7">
        <v>2</v>
      </c>
      <c r="G279" s="1" t="s">
        <v>22</v>
      </c>
      <c r="H279" s="18" t="s">
        <v>21</v>
      </c>
      <c r="I279" s="2">
        <v>1043</v>
      </c>
      <c r="J279" s="2">
        <f>I279-'Controls-Split'!$D$11</f>
        <v>-106</v>
      </c>
      <c r="K279" s="1">
        <f>J279/'Controls-Split'!$C$11</f>
        <v>-1.3227018056127479E-3</v>
      </c>
      <c r="L279" s="1" t="str">
        <f>IF(K279&gt;'Controls-Split'!$I$11,"Pos","Neg")</f>
        <v>Neg</v>
      </c>
      <c r="M279" s="17">
        <v>8</v>
      </c>
      <c r="N279" s="23" t="s">
        <v>24</v>
      </c>
      <c r="O279" s="23" t="s">
        <v>23</v>
      </c>
      <c r="P279">
        <v>647</v>
      </c>
      <c r="Q279" s="19">
        <f>P279/'Controls-Split'!$D$29</f>
        <v>0.52473641524736414</v>
      </c>
      <c r="R279" s="1" t="str">
        <f>IF(Q279&gt;'Controls-Split'!$J$29,"Pos","Neg")</f>
        <v>Neg</v>
      </c>
      <c r="S279">
        <v>6</v>
      </c>
    </row>
    <row r="280" spans="1:19" x14ac:dyDescent="0.2">
      <c r="A280" t="s">
        <v>32</v>
      </c>
      <c r="B280" t="s">
        <v>76</v>
      </c>
      <c r="C280" s="6" t="s">
        <v>19</v>
      </c>
      <c r="D280" t="s">
        <v>26</v>
      </c>
      <c r="E280">
        <v>3.2000000000000001E-2</v>
      </c>
      <c r="F280" s="7">
        <v>1</v>
      </c>
      <c r="G280" s="18" t="s">
        <v>21</v>
      </c>
      <c r="H280" s="1" t="s">
        <v>22</v>
      </c>
      <c r="I280" s="2">
        <v>12009</v>
      </c>
      <c r="J280" s="2">
        <f>I280-'Controls-Split'!$D$11</f>
        <v>10860</v>
      </c>
      <c r="K280" s="1">
        <f>J280/'Controls-Split'!$C$11</f>
        <v>0.13551454348070227</v>
      </c>
      <c r="L280" s="1" t="str">
        <f>IF(K280&gt;'Controls-Split'!$I$11,"Pos","Neg")</f>
        <v>Pos</v>
      </c>
      <c r="M280" s="17">
        <v>8</v>
      </c>
      <c r="N280" t="s">
        <v>23</v>
      </c>
      <c r="O280" t="s">
        <v>24</v>
      </c>
      <c r="P280">
        <v>1467</v>
      </c>
      <c r="Q280" s="19">
        <f>P280/'Controls-Split'!$D$27</f>
        <v>0.7138686131386861</v>
      </c>
      <c r="R280" s="1" t="str">
        <f>IF(Q280&gt;'Controls-Split'!$J$27,"Pos","Neg")</f>
        <v>Neg</v>
      </c>
      <c r="S280">
        <v>4</v>
      </c>
    </row>
    <row r="281" spans="1:19" x14ac:dyDescent="0.2">
      <c r="A281" t="s">
        <v>33</v>
      </c>
      <c r="B281" t="s">
        <v>75</v>
      </c>
      <c r="C281" s="6" t="s">
        <v>20</v>
      </c>
      <c r="D281" t="s">
        <v>23</v>
      </c>
      <c r="E281">
        <v>2.7E-2</v>
      </c>
      <c r="F281" s="7">
        <v>1</v>
      </c>
      <c r="G281" s="1" t="s">
        <v>22</v>
      </c>
      <c r="H281" s="18" t="s">
        <v>21</v>
      </c>
      <c r="I281" s="2">
        <v>1387</v>
      </c>
      <c r="J281" s="2">
        <f>I281-'Controls-Split'!$D$11</f>
        <v>238</v>
      </c>
      <c r="K281" s="1">
        <f>J281/'Controls-Split'!$C$11</f>
        <v>2.9698399031682452E-3</v>
      </c>
      <c r="L281" s="1" t="str">
        <f>IF(K281&gt;'Controls-Split'!$I$11,"Pos","Neg")</f>
        <v>Neg</v>
      </c>
      <c r="M281" s="17">
        <v>8</v>
      </c>
      <c r="N281" s="23" t="s">
        <v>24</v>
      </c>
      <c r="O281" s="23" t="s">
        <v>23</v>
      </c>
      <c r="P281" s="23">
        <v>1083</v>
      </c>
      <c r="Q281" s="19">
        <f>P281/'Controls-Split'!$D$28</f>
        <v>0.72393048128342241</v>
      </c>
      <c r="R281" s="18" t="s">
        <v>71</v>
      </c>
      <c r="S281" s="23">
        <v>5</v>
      </c>
    </row>
    <row r="282" spans="1:19" x14ac:dyDescent="0.2">
      <c r="A282" t="s">
        <v>33</v>
      </c>
      <c r="B282" t="s">
        <v>33</v>
      </c>
      <c r="C282" s="6" t="s">
        <v>23</v>
      </c>
      <c r="D282" t="s">
        <v>20</v>
      </c>
      <c r="E282">
        <v>4.8000000000000001E-2</v>
      </c>
      <c r="F282" s="7">
        <v>2</v>
      </c>
      <c r="G282" s="18" t="s">
        <v>21</v>
      </c>
      <c r="H282" s="1" t="s">
        <v>22</v>
      </c>
      <c r="I282" s="2">
        <v>1515</v>
      </c>
      <c r="J282" s="2">
        <f>I282-'Controls-Split'!$D$11</f>
        <v>366</v>
      </c>
      <c r="K282" s="1">
        <f>J282/'Controls-Split'!$C$11</f>
        <v>4.5670647250402423E-3</v>
      </c>
      <c r="L282" s="1" t="str">
        <f>IF(K282&gt;'Controls-Split'!$I$11,"Pos","Neg")</f>
        <v>Neg</v>
      </c>
      <c r="M282" s="17">
        <v>8</v>
      </c>
      <c r="N282" t="s">
        <v>23</v>
      </c>
      <c r="O282" t="s">
        <v>24</v>
      </c>
      <c r="P282">
        <v>1054</v>
      </c>
      <c r="Q282" s="19">
        <f>P282/'Controls-Split'!$D$28</f>
        <v>0.70454545454545459</v>
      </c>
      <c r="R282" s="1" t="str">
        <f>IF(Q282&gt;'Controls-Split'!$J$28,"Pos","Neg")</f>
        <v>Neg</v>
      </c>
      <c r="S282">
        <v>5</v>
      </c>
    </row>
    <row r="283" spans="1:19" x14ac:dyDescent="0.2">
      <c r="A283" t="s">
        <v>33</v>
      </c>
      <c r="B283" t="s">
        <v>62</v>
      </c>
      <c r="C283" s="6" t="s">
        <v>26</v>
      </c>
      <c r="D283" t="s">
        <v>23</v>
      </c>
      <c r="E283">
        <v>2.9000000000000001E-2</v>
      </c>
      <c r="F283" s="7">
        <v>2</v>
      </c>
      <c r="G283" s="1" t="s">
        <v>22</v>
      </c>
      <c r="H283" s="18" t="s">
        <v>21</v>
      </c>
      <c r="I283" s="2">
        <v>1311</v>
      </c>
      <c r="J283" s="2">
        <f>I283-'Controls-Split'!$D$11</f>
        <v>162</v>
      </c>
      <c r="K283" s="1">
        <f>J283/'Controls-Split'!$C$11</f>
        <v>2.0214876651817467E-3</v>
      </c>
      <c r="L283" s="1" t="str">
        <f>IF(K283&gt;'Controls-Split'!$I$11,"Pos","Neg")</f>
        <v>Neg</v>
      </c>
      <c r="M283" s="17">
        <v>8</v>
      </c>
      <c r="N283" s="23" t="s">
        <v>24</v>
      </c>
      <c r="O283" s="23" t="s">
        <v>23</v>
      </c>
      <c r="P283">
        <v>1080</v>
      </c>
      <c r="Q283" s="19">
        <f>P283/'Controls-Split'!$D$28</f>
        <v>0.72192513368983957</v>
      </c>
      <c r="R283" s="1" t="str">
        <f>IF(Q283&gt;'Controls-Split'!$J$28,"Pos","Neg")</f>
        <v>Neg</v>
      </c>
      <c r="S283">
        <v>5</v>
      </c>
    </row>
    <row r="284" spans="1:19" x14ac:dyDescent="0.2">
      <c r="A284" t="s">
        <v>33</v>
      </c>
      <c r="B284" t="s">
        <v>85</v>
      </c>
      <c r="C284" s="6" t="s">
        <v>20</v>
      </c>
      <c r="D284" t="s">
        <v>23</v>
      </c>
      <c r="E284">
        <v>2.9000000000000001E-2</v>
      </c>
      <c r="F284" s="7">
        <v>2</v>
      </c>
      <c r="G284" s="1" t="s">
        <v>22</v>
      </c>
      <c r="H284" s="18" t="s">
        <v>21</v>
      </c>
      <c r="I284" s="2">
        <v>1515</v>
      </c>
      <c r="J284" s="2">
        <f>I284-'Controls-Split'!$D$11</f>
        <v>366</v>
      </c>
      <c r="K284" s="1">
        <f>J284/'Controls-Split'!$C$11</f>
        <v>4.5670647250402423E-3</v>
      </c>
      <c r="L284" s="1" t="str">
        <f>IF(K284&gt;'Controls-Split'!$I$11,"Pos","Neg")</f>
        <v>Neg</v>
      </c>
      <c r="M284" s="17">
        <v>8</v>
      </c>
      <c r="N284" t="s">
        <v>24</v>
      </c>
      <c r="O284" t="s">
        <v>23</v>
      </c>
      <c r="P284">
        <v>1343</v>
      </c>
      <c r="Q284" s="19">
        <f>P284/'Controls-Split'!$D$28</f>
        <v>0.89772727272727271</v>
      </c>
      <c r="R284" s="1" t="str">
        <f>IF(Q284&gt;'Controls-Split'!$J$28,"Pos","Neg")</f>
        <v>Neg</v>
      </c>
      <c r="S284">
        <v>5</v>
      </c>
    </row>
    <row r="285" spans="1:19" x14ac:dyDescent="0.2">
      <c r="A285" t="s">
        <v>120</v>
      </c>
      <c r="B285" t="s">
        <v>120</v>
      </c>
      <c r="C285" s="6" t="s">
        <v>23</v>
      </c>
      <c r="D285" t="s">
        <v>26</v>
      </c>
      <c r="E285">
        <v>0.14799999999999999</v>
      </c>
      <c r="F285" s="7">
        <v>2</v>
      </c>
      <c r="G285" s="18" t="s">
        <v>21</v>
      </c>
      <c r="H285" s="1" t="s">
        <v>22</v>
      </c>
      <c r="I285" s="2">
        <v>1546</v>
      </c>
      <c r="J285" s="2">
        <f>I285-'Controls-Split'!$D$11</f>
        <v>397</v>
      </c>
      <c r="K285" s="1">
        <f>J285/'Controls-Split'!$C$11</f>
        <v>4.9538926115873672E-3</v>
      </c>
      <c r="L285" s="1" t="str">
        <f>IF(K285&gt;'Controls-Split'!$I$11,"Pos","Neg")</f>
        <v>Neg</v>
      </c>
      <c r="M285" s="17">
        <v>8</v>
      </c>
      <c r="N285" t="s">
        <v>24</v>
      </c>
      <c r="O285" t="s">
        <v>23</v>
      </c>
      <c r="P285">
        <v>642</v>
      </c>
      <c r="Q285" s="19">
        <f>P285/'Controls-Split'!$D$35</f>
        <v>0.44002741603838247</v>
      </c>
      <c r="R285" s="1" t="str">
        <f>IF(Q285&gt;'Controls-Split'!$J$35,"Pos","Neg")</f>
        <v>Neg</v>
      </c>
      <c r="S285">
        <v>12</v>
      </c>
    </row>
    <row r="286" spans="1:19" x14ac:dyDescent="0.2">
      <c r="A286" t="s">
        <v>86</v>
      </c>
      <c r="B286" t="s">
        <v>74</v>
      </c>
      <c r="C286" s="6" t="s">
        <v>23</v>
      </c>
      <c r="D286" t="s">
        <v>26</v>
      </c>
      <c r="E286">
        <v>2.7E-2</v>
      </c>
      <c r="F286" s="7">
        <v>2</v>
      </c>
      <c r="G286" s="1" t="s">
        <v>21</v>
      </c>
      <c r="H286" s="1" t="s">
        <v>22</v>
      </c>
      <c r="I286" s="2">
        <v>1319</v>
      </c>
      <c r="J286" s="2">
        <f>I286-'Controls-Split'!$D$11</f>
        <v>170</v>
      </c>
      <c r="K286" s="1">
        <f>J286/'Controls-Split'!$C$11</f>
        <v>2.1213142165487464E-3</v>
      </c>
      <c r="L286" s="1" t="str">
        <f>IF(K286&gt;'Controls-Split'!$I$11,"Pos","Neg")</f>
        <v>Neg</v>
      </c>
      <c r="M286" s="17">
        <v>8</v>
      </c>
      <c r="N286" t="s">
        <v>23</v>
      </c>
      <c r="O286" t="s">
        <v>24</v>
      </c>
      <c r="P286">
        <v>1614</v>
      </c>
      <c r="Q286" s="19">
        <f>P286/'Controls-Split'!$D$27</f>
        <v>0.78540145985401455</v>
      </c>
      <c r="R286" s="1" t="str">
        <f>IF(Q286&gt;'Controls-Split'!$J$27,"Pos","Neg")</f>
        <v>Neg</v>
      </c>
      <c r="S286">
        <v>4</v>
      </c>
    </row>
    <row r="287" spans="1:19" x14ac:dyDescent="0.2">
      <c r="A287" t="s">
        <v>85</v>
      </c>
      <c r="B287" t="s">
        <v>42</v>
      </c>
      <c r="C287" s="6" t="s">
        <v>26</v>
      </c>
      <c r="D287" t="s">
        <v>23</v>
      </c>
      <c r="E287">
        <v>3.5000000000000003E-2</v>
      </c>
      <c r="F287" s="7">
        <v>1</v>
      </c>
      <c r="G287" s="18" t="s">
        <v>22</v>
      </c>
      <c r="H287" s="18" t="s">
        <v>21</v>
      </c>
      <c r="I287" s="2">
        <v>1296</v>
      </c>
      <c r="J287" s="2">
        <f>I287-'Controls-Split'!$D$11</f>
        <v>147</v>
      </c>
      <c r="K287" s="1">
        <f>J287/'Controls-Split'!$C$11</f>
        <v>1.834312881368622E-3</v>
      </c>
      <c r="L287" s="1" t="str">
        <f>IF(K287&gt;'Controls-Split'!$I$11,"Pos","Neg")</f>
        <v>Neg</v>
      </c>
      <c r="M287" s="17">
        <v>8</v>
      </c>
      <c r="N287" t="s">
        <v>24</v>
      </c>
      <c r="O287" t="s">
        <v>23</v>
      </c>
      <c r="P287">
        <v>1901</v>
      </c>
      <c r="Q287" s="19">
        <f>P287/'Controls-Split'!$D$29</f>
        <v>1.5417680454176805</v>
      </c>
      <c r="R287" s="1" t="str">
        <f>IF(Q287&gt;'Controls-Split'!$J$29,"Pos","Neg")</f>
        <v>Neg</v>
      </c>
      <c r="S287">
        <v>6</v>
      </c>
    </row>
    <row r="288" spans="1:19" x14ac:dyDescent="0.2">
      <c r="A288" t="s">
        <v>104</v>
      </c>
      <c r="B288" t="s">
        <v>122</v>
      </c>
      <c r="C288" s="6" t="s">
        <v>20</v>
      </c>
      <c r="D288" t="s">
        <v>23</v>
      </c>
      <c r="E288">
        <v>3.1E-2</v>
      </c>
      <c r="F288" s="7">
        <v>2</v>
      </c>
      <c r="G288" s="18" t="s">
        <v>22</v>
      </c>
      <c r="H288" s="18" t="s">
        <v>21</v>
      </c>
      <c r="I288" s="2">
        <v>1397</v>
      </c>
      <c r="J288" s="2">
        <f>I288-'Controls-Split'!$D$11</f>
        <v>248</v>
      </c>
      <c r="K288" s="1">
        <f>J288/'Controls-Split'!$C$11</f>
        <v>3.0946230923769948E-3</v>
      </c>
      <c r="L288" s="1" t="str">
        <f>IF(K288&gt;'Controls-Split'!$I$11,"Pos","Neg")</f>
        <v>Neg</v>
      </c>
      <c r="M288" s="17">
        <v>8</v>
      </c>
      <c r="N288" t="s">
        <v>24</v>
      </c>
      <c r="O288" t="s">
        <v>23</v>
      </c>
      <c r="P288">
        <v>2154</v>
      </c>
      <c r="Q288" s="19">
        <f>P288/'Controls-Split'!$D$29</f>
        <v>1.7469586374695865</v>
      </c>
      <c r="R288" s="1" t="str">
        <f>IF(Q288&gt;'Controls-Split'!$J$29,"Pos","Neg")</f>
        <v>Neg</v>
      </c>
      <c r="S288">
        <v>6</v>
      </c>
    </row>
    <row r="289" spans="1:19" x14ac:dyDescent="0.2">
      <c r="A289" t="s">
        <v>58</v>
      </c>
      <c r="B289" t="s">
        <v>122</v>
      </c>
      <c r="C289" s="6" t="s">
        <v>20</v>
      </c>
      <c r="D289" t="s">
        <v>23</v>
      </c>
      <c r="E289">
        <v>5.8000000000000003E-2</v>
      </c>
      <c r="F289" s="7">
        <v>2</v>
      </c>
      <c r="G289" s="18" t="s">
        <v>22</v>
      </c>
      <c r="H289" s="18" t="s">
        <v>21</v>
      </c>
      <c r="I289" s="2">
        <v>17583</v>
      </c>
      <c r="J289" s="2">
        <f>I289-'Controls-Split'!$D$11</f>
        <v>16434</v>
      </c>
      <c r="K289" s="1">
        <f>J289/'Controls-Split'!$C$11</f>
        <v>0.20506869314565943</v>
      </c>
      <c r="L289" s="1" t="str">
        <f>IF(K289&gt;'Controls-Split'!$I$11,"Pos","Neg")</f>
        <v>Pos</v>
      </c>
      <c r="M289" s="17">
        <v>8</v>
      </c>
      <c r="N289" s="23" t="s">
        <v>24</v>
      </c>
      <c r="O289" s="23" t="s">
        <v>23</v>
      </c>
      <c r="P289">
        <v>3720</v>
      </c>
      <c r="Q289" s="19">
        <f>P289/'Controls-Split'!$D$31</f>
        <v>1.3793103448275863</v>
      </c>
      <c r="R289" s="1" t="str">
        <f>IF(Q289&gt;'Controls-Split'!$J$31,"Pos","Neg")</f>
        <v>Pos</v>
      </c>
      <c r="S289">
        <v>8</v>
      </c>
    </row>
    <row r="290" spans="1:19" x14ac:dyDescent="0.2">
      <c r="A290" t="s">
        <v>29</v>
      </c>
      <c r="B290" t="s">
        <v>74</v>
      </c>
      <c r="C290" s="6" t="s">
        <v>19</v>
      </c>
      <c r="D290" t="s">
        <v>20</v>
      </c>
      <c r="E290">
        <v>0.112</v>
      </c>
      <c r="F290" s="7">
        <v>2</v>
      </c>
      <c r="G290" s="1" t="s">
        <v>21</v>
      </c>
      <c r="H290" s="1" t="s">
        <v>22</v>
      </c>
      <c r="I290" s="2">
        <v>2557</v>
      </c>
      <c r="J290" s="2">
        <f>I290-'Controls-Split'!$D$11</f>
        <v>1408</v>
      </c>
      <c r="K290" s="1">
        <f>J290/'Controls-Split'!$C$11</f>
        <v>1.7569473040591973E-2</v>
      </c>
      <c r="L290" s="1" t="str">
        <f>IF(K290&gt;'Controls-Split'!$I$11,"Pos","Neg")</f>
        <v>Neg</v>
      </c>
      <c r="M290" s="17">
        <v>8</v>
      </c>
      <c r="N290" t="s">
        <v>23</v>
      </c>
      <c r="O290" t="s">
        <v>24</v>
      </c>
      <c r="P290">
        <v>2243</v>
      </c>
      <c r="Q290" s="19">
        <f>P290/'Controls-Split'!$D$27</f>
        <v>1.0914841849148418</v>
      </c>
      <c r="R290" s="1" t="str">
        <f>IF(Q290&gt;'Controls-Split'!$J$27,"Pos","Neg")</f>
        <v>Neg</v>
      </c>
      <c r="S290">
        <v>4</v>
      </c>
    </row>
    <row r="291" spans="1:19" x14ac:dyDescent="0.2">
      <c r="A291" t="s">
        <v>29</v>
      </c>
      <c r="B291" t="s">
        <v>85</v>
      </c>
      <c r="C291" s="6" t="s">
        <v>19</v>
      </c>
      <c r="D291" t="s">
        <v>20</v>
      </c>
      <c r="E291">
        <v>4.7E-2</v>
      </c>
      <c r="F291" s="7">
        <v>2</v>
      </c>
      <c r="G291" s="18" t="s">
        <v>21</v>
      </c>
      <c r="H291" s="18" t="s">
        <v>22</v>
      </c>
      <c r="I291" s="2">
        <v>2320</v>
      </c>
      <c r="J291" s="2">
        <f>I291-'Controls-Split'!$D$11</f>
        <v>1171</v>
      </c>
      <c r="K291" s="1">
        <f>J291/'Controls-Split'!$C$11</f>
        <v>1.4612111456344602E-2</v>
      </c>
      <c r="L291" s="1" t="str">
        <f>IF(K291&gt;'Controls-Split'!$I$11,"Pos","Neg")</f>
        <v>Neg</v>
      </c>
      <c r="M291" s="17">
        <v>8</v>
      </c>
      <c r="N291" t="s">
        <v>23</v>
      </c>
      <c r="O291" t="s">
        <v>24</v>
      </c>
      <c r="P291">
        <v>1772</v>
      </c>
      <c r="Q291" s="19">
        <f>P291/'Controls-Split'!$D$29</f>
        <v>1.4371451743714518</v>
      </c>
      <c r="R291" s="1" t="str">
        <f>IF(Q291&gt;'Controls-Split'!$J$29,"Pos","Neg")</f>
        <v>Neg</v>
      </c>
      <c r="S291">
        <v>6</v>
      </c>
    </row>
    <row r="292" spans="1:19" x14ac:dyDescent="0.2">
      <c r="A292" t="s">
        <v>79</v>
      </c>
      <c r="B292" t="s">
        <v>111</v>
      </c>
      <c r="C292" s="6" t="s">
        <v>23</v>
      </c>
      <c r="D292" t="s">
        <v>20</v>
      </c>
      <c r="E292">
        <v>5.3999999999999999E-2</v>
      </c>
      <c r="F292" s="7">
        <v>2</v>
      </c>
      <c r="G292" s="18" t="s">
        <v>22</v>
      </c>
      <c r="H292" s="18" t="s">
        <v>21</v>
      </c>
      <c r="I292" s="2">
        <v>1648</v>
      </c>
      <c r="J292" s="2">
        <f>I292-'Controls-Split'!$D$11</f>
        <v>499</v>
      </c>
      <c r="K292" s="1">
        <f>J292/'Controls-Split'!$C$11</f>
        <v>6.2266811415166148E-3</v>
      </c>
      <c r="L292" s="1" t="str">
        <f>IF(K292&gt;'Controls-Split'!$I$11,"Pos","Neg")</f>
        <v>Neg</v>
      </c>
      <c r="M292" s="17">
        <v>8</v>
      </c>
      <c r="N292" t="s">
        <v>23</v>
      </c>
      <c r="O292" t="s">
        <v>24</v>
      </c>
      <c r="P292">
        <v>876</v>
      </c>
      <c r="Q292" s="19">
        <f>P292/'Controls-Split'!$D$30</f>
        <v>0.67488443759630201</v>
      </c>
      <c r="R292" s="1" t="str">
        <f>IF(Q292&gt;'Controls-Split'!$J$30,"Pos","Neg")</f>
        <v>Neg</v>
      </c>
      <c r="S292">
        <v>7</v>
      </c>
    </row>
    <row r="293" spans="1:19" x14ac:dyDescent="0.2">
      <c r="A293" t="s">
        <v>93</v>
      </c>
      <c r="B293" t="s">
        <v>39</v>
      </c>
      <c r="C293" s="6" t="s">
        <v>20</v>
      </c>
      <c r="D293" t="s">
        <v>23</v>
      </c>
      <c r="E293">
        <v>0.16400000000000001</v>
      </c>
      <c r="F293" s="7">
        <v>2</v>
      </c>
      <c r="G293" s="18" t="s">
        <v>22</v>
      </c>
      <c r="H293" s="18" t="s">
        <v>21</v>
      </c>
      <c r="I293" s="2">
        <v>1961</v>
      </c>
      <c r="J293" s="2">
        <f>I293-'Controls-Split'!$D$11</f>
        <v>812</v>
      </c>
      <c r="K293" s="1">
        <f>J293/'Controls-Split'!$C$11</f>
        <v>1.0132394963750483E-2</v>
      </c>
      <c r="L293" s="1" t="str">
        <f>IF(K293&gt;'Controls-Split'!$I$11,"Pos","Neg")</f>
        <v>Neg</v>
      </c>
      <c r="M293" s="17">
        <v>8</v>
      </c>
      <c r="N293" t="s">
        <v>24</v>
      </c>
      <c r="O293" t="s">
        <v>23</v>
      </c>
      <c r="P293">
        <v>2137</v>
      </c>
      <c r="Q293" s="19">
        <f>P293/'Controls-Split'!$D$26</f>
        <v>1.1032524522457408</v>
      </c>
      <c r="R293" s="1" t="str">
        <f>IF(Q293&gt;'Controls-Split'!$J$26,"Pos","Neg")</f>
        <v>Neg</v>
      </c>
      <c r="S293">
        <v>3</v>
      </c>
    </row>
    <row r="294" spans="1:19" x14ac:dyDescent="0.2">
      <c r="A294" t="s">
        <v>93</v>
      </c>
      <c r="B294" t="s">
        <v>43</v>
      </c>
      <c r="C294" s="6" t="s">
        <v>20</v>
      </c>
      <c r="D294" t="s">
        <v>23</v>
      </c>
      <c r="E294">
        <v>4.7E-2</v>
      </c>
      <c r="F294" s="7">
        <v>2</v>
      </c>
      <c r="G294" s="18" t="s">
        <v>22</v>
      </c>
      <c r="H294" s="18" t="s">
        <v>21</v>
      </c>
      <c r="I294" s="2">
        <v>1818</v>
      </c>
      <c r="J294" s="2">
        <f>I294-'Controls-Split'!$D$11</f>
        <v>669</v>
      </c>
      <c r="K294" s="1">
        <f>J294/'Controls-Split'!$C$11</f>
        <v>8.3479953580653608E-3</v>
      </c>
      <c r="L294" s="1" t="str">
        <f>IF(K294&gt;'Controls-Split'!$I$11,"Pos","Neg")</f>
        <v>Neg</v>
      </c>
      <c r="M294" s="17">
        <v>8</v>
      </c>
      <c r="N294" t="s">
        <v>24</v>
      </c>
      <c r="O294" t="s">
        <v>23</v>
      </c>
      <c r="P294">
        <v>2062</v>
      </c>
      <c r="Q294" s="19">
        <f>P294/'Controls-Split'!$D$26</f>
        <v>1.064532782653588</v>
      </c>
      <c r="R294" s="1" t="str">
        <f>IF(Q294&gt;'Controls-Split'!$J$26,"Pos","Neg")</f>
        <v>Neg</v>
      </c>
      <c r="S294">
        <v>3</v>
      </c>
    </row>
    <row r="295" spans="1:19" x14ac:dyDescent="0.2">
      <c r="A295" t="s">
        <v>93</v>
      </c>
      <c r="B295" t="s">
        <v>35</v>
      </c>
      <c r="C295" s="6" t="s">
        <v>20</v>
      </c>
      <c r="D295" t="s">
        <v>23</v>
      </c>
      <c r="E295">
        <v>3.2000000000000001E-2</v>
      </c>
      <c r="F295" s="7">
        <v>2</v>
      </c>
      <c r="G295" s="18" t="s">
        <v>22</v>
      </c>
      <c r="H295" s="18" t="s">
        <v>21</v>
      </c>
      <c r="I295" s="2">
        <v>1690</v>
      </c>
      <c r="J295" s="2">
        <f>I295-'Controls-Split'!$D$11</f>
        <v>541</v>
      </c>
      <c r="K295" s="1">
        <f>J295/'Controls-Split'!$C$11</f>
        <v>6.7507705361933637E-3</v>
      </c>
      <c r="L295" s="1" t="str">
        <f>IF(K295&gt;'Controls-Split'!$I$11,"Pos","Neg")</f>
        <v>Neg</v>
      </c>
      <c r="M295" s="17">
        <v>8</v>
      </c>
      <c r="N295" t="s">
        <v>24</v>
      </c>
      <c r="O295" t="s">
        <v>23</v>
      </c>
      <c r="P295">
        <v>2051</v>
      </c>
      <c r="Q295" s="19">
        <f>P295/'Controls-Split'!$D$26</f>
        <v>1.0588538977800723</v>
      </c>
      <c r="R295" s="1" t="str">
        <f>IF(Q295&gt;'Controls-Split'!$J$26,"Pos","Neg")</f>
        <v>Neg</v>
      </c>
      <c r="S295">
        <v>3</v>
      </c>
    </row>
    <row r="296" spans="1:19" x14ac:dyDescent="0.2">
      <c r="A296" t="s">
        <v>93</v>
      </c>
      <c r="B296" t="s">
        <v>95</v>
      </c>
      <c r="C296" s="6" t="s">
        <v>20</v>
      </c>
      <c r="D296" t="s">
        <v>23</v>
      </c>
      <c r="E296">
        <v>0.08</v>
      </c>
      <c r="F296" s="7">
        <v>2</v>
      </c>
      <c r="G296" s="18" t="s">
        <v>21</v>
      </c>
      <c r="H296" s="18" t="s">
        <v>22</v>
      </c>
      <c r="I296" s="2">
        <v>1965</v>
      </c>
      <c r="J296" s="2">
        <f>I296-'Controls-Split'!$D$11</f>
        <v>816</v>
      </c>
      <c r="K296" s="1">
        <f>J296/'Controls-Split'!$C$11</f>
        <v>1.0182308239433984E-2</v>
      </c>
      <c r="L296" s="1" t="str">
        <f>IF(K296&gt;'Controls-Split'!$I$11,"Pos","Neg")</f>
        <v>Neg</v>
      </c>
      <c r="M296" s="17">
        <v>8</v>
      </c>
      <c r="N296" t="s">
        <v>24</v>
      </c>
      <c r="O296" t="s">
        <v>23</v>
      </c>
      <c r="P296">
        <v>2499</v>
      </c>
      <c r="Q296" s="19">
        <f>P296/'Controls-Split'!$D$26</f>
        <v>1.2901393908105319</v>
      </c>
      <c r="R296" s="1" t="str">
        <f>IF(Q296&gt;'Controls-Split'!$J$26,"Pos","Neg")</f>
        <v>Pos</v>
      </c>
      <c r="S296">
        <v>3</v>
      </c>
    </row>
    <row r="297" spans="1:19" x14ac:dyDescent="0.2">
      <c r="A297" t="s">
        <v>91</v>
      </c>
      <c r="B297" t="s">
        <v>39</v>
      </c>
      <c r="C297" s="6" t="s">
        <v>23</v>
      </c>
      <c r="D297" t="s">
        <v>20</v>
      </c>
      <c r="E297">
        <v>2.7E-2</v>
      </c>
      <c r="F297" s="7">
        <v>2</v>
      </c>
      <c r="G297" s="18" t="s">
        <v>22</v>
      </c>
      <c r="H297" s="18" t="s">
        <v>21</v>
      </c>
      <c r="I297" s="2">
        <v>1879</v>
      </c>
      <c r="J297" s="2">
        <f>I297-'Controls-Split'!$D$11</f>
        <v>730</v>
      </c>
      <c r="K297" s="1">
        <f>J297/'Controls-Split'!$C$11</f>
        <v>9.1091728122387351E-3</v>
      </c>
      <c r="L297" s="1" t="str">
        <f>IF(K297&gt;'Controls-Split'!$I$11,"Pos","Neg")</f>
        <v>Neg</v>
      </c>
      <c r="M297" s="17">
        <v>8</v>
      </c>
    </row>
    <row r="298" spans="1:19" x14ac:dyDescent="0.2">
      <c r="A298" t="s">
        <v>36</v>
      </c>
      <c r="B298" t="s">
        <v>50</v>
      </c>
      <c r="C298" s="6" t="s">
        <v>20</v>
      </c>
      <c r="D298" t="s">
        <v>19</v>
      </c>
      <c r="E298">
        <v>2.7E-2</v>
      </c>
      <c r="F298" s="7">
        <v>2</v>
      </c>
      <c r="G298" s="18" t="s">
        <v>22</v>
      </c>
      <c r="H298" s="18" t="s">
        <v>21</v>
      </c>
      <c r="I298" s="2">
        <v>11139</v>
      </c>
      <c r="J298" s="2">
        <f>I298-'Controls-Split'!$D$11</f>
        <v>9990</v>
      </c>
      <c r="K298" s="1">
        <f>J298/'Controls-Split'!$C$11</f>
        <v>0.12465840601954105</v>
      </c>
      <c r="L298" s="1" t="str">
        <f>IF(K298&gt;'Controls-Split'!$I$11,"Pos","Neg")</f>
        <v>Pos</v>
      </c>
      <c r="M298" s="17">
        <v>8</v>
      </c>
      <c r="N298" t="s">
        <v>24</v>
      </c>
      <c r="O298" t="s">
        <v>23</v>
      </c>
      <c r="P298">
        <v>1094</v>
      </c>
      <c r="Q298" s="19">
        <f>P298/'Controls-Split'!$D$35</f>
        <v>0.74982864976010966</v>
      </c>
      <c r="R298" s="1" t="str">
        <f>IF(Q298&gt;'Controls-Split'!$J$35,"Pos","Neg")</f>
        <v>Neg</v>
      </c>
      <c r="S298">
        <v>12</v>
      </c>
    </row>
    <row r="299" spans="1:19" x14ac:dyDescent="0.2">
      <c r="A299" t="s">
        <v>97</v>
      </c>
      <c r="B299" t="s">
        <v>42</v>
      </c>
      <c r="C299" s="6" t="s">
        <v>23</v>
      </c>
      <c r="D299" t="s">
        <v>20</v>
      </c>
      <c r="E299">
        <v>2.8000000000000001E-2</v>
      </c>
      <c r="F299" s="7">
        <v>2</v>
      </c>
      <c r="G299" s="20" t="s">
        <v>21</v>
      </c>
      <c r="H299" s="18" t="s">
        <v>22</v>
      </c>
      <c r="I299" s="2">
        <v>1746</v>
      </c>
      <c r="J299" s="2">
        <f>I299-'Controls-Split'!$D$11</f>
        <v>597</v>
      </c>
      <c r="K299" s="1">
        <f>J299/'Controls-Split'!$C$11</f>
        <v>7.4495563957623625E-3</v>
      </c>
      <c r="L299" s="1" t="str">
        <f>IF(K299&gt;'Controls-Split'!$I$11,"Pos","Neg")</f>
        <v>Neg</v>
      </c>
      <c r="M299" s="17">
        <v>8</v>
      </c>
      <c r="N299" t="s">
        <v>23</v>
      </c>
      <c r="O299" t="s">
        <v>24</v>
      </c>
      <c r="P299">
        <v>1944</v>
      </c>
      <c r="Q299" s="19">
        <f>P299/'Controls-Split'!$D$32</f>
        <v>0.78292388240032218</v>
      </c>
      <c r="R299" s="1" t="str">
        <f>IF(Q299&gt;'Controls-Split'!$J$32,"Pos","Neg")</f>
        <v>Neg</v>
      </c>
      <c r="S299">
        <v>9</v>
      </c>
    </row>
    <row r="300" spans="1:19" x14ac:dyDescent="0.2">
      <c r="A300" t="s">
        <v>82</v>
      </c>
      <c r="B300" t="s">
        <v>74</v>
      </c>
      <c r="C300" s="6" t="s">
        <v>23</v>
      </c>
      <c r="D300" t="s">
        <v>26</v>
      </c>
      <c r="E300">
        <v>3.1E-2</v>
      </c>
      <c r="F300" s="7">
        <v>1</v>
      </c>
      <c r="G300" s="1" t="s">
        <v>21</v>
      </c>
      <c r="H300" s="1" t="s">
        <v>22</v>
      </c>
      <c r="I300" s="2">
        <v>1208</v>
      </c>
      <c r="J300" s="2">
        <f>I300-'Controls-Split'!$D$11</f>
        <v>59</v>
      </c>
      <c r="K300" s="1">
        <f>J300/'Controls-Split'!$C$11</f>
        <v>7.3622081633162382E-4</v>
      </c>
      <c r="L300" s="1" t="str">
        <f>IF(K300&gt;'Controls-Split'!$I$11,"Pos","Neg")</f>
        <v>Neg</v>
      </c>
      <c r="M300" s="17">
        <v>8</v>
      </c>
      <c r="N300" t="s">
        <v>23</v>
      </c>
      <c r="O300" t="s">
        <v>24</v>
      </c>
      <c r="P300">
        <v>1690</v>
      </c>
      <c r="Q300" s="19">
        <f>P300/'Controls-Split'!$D$27</f>
        <v>0.82238442822384428</v>
      </c>
      <c r="R300" s="1" t="str">
        <f>IF(Q300&gt;'Controls-Split'!$J$27,"Pos","Neg")</f>
        <v>Neg</v>
      </c>
      <c r="S300">
        <v>4</v>
      </c>
    </row>
    <row r="301" spans="1:19" x14ac:dyDescent="0.2">
      <c r="A301" t="s">
        <v>82</v>
      </c>
      <c r="B301" t="s">
        <v>33</v>
      </c>
      <c r="C301" s="6" t="s">
        <v>23</v>
      </c>
      <c r="D301" t="s">
        <v>20</v>
      </c>
      <c r="E301">
        <v>4.2000000000000003E-2</v>
      </c>
      <c r="F301" s="7">
        <v>2</v>
      </c>
      <c r="G301" s="18" t="s">
        <v>21</v>
      </c>
      <c r="H301" s="18" t="s">
        <v>22</v>
      </c>
      <c r="I301" s="2">
        <v>1541</v>
      </c>
      <c r="J301" s="2">
        <f>I301-'Controls-Split'!$D$11</f>
        <v>392</v>
      </c>
      <c r="K301" s="1">
        <f>J301/'Controls-Split'!$C$11</f>
        <v>4.8915010169829918E-3</v>
      </c>
      <c r="L301" s="1" t="str">
        <f>IF(K301&gt;'Controls-Split'!$I$11,"Pos","Neg")</f>
        <v>Neg</v>
      </c>
      <c r="M301" s="17">
        <v>8</v>
      </c>
      <c r="N301" t="s">
        <v>23</v>
      </c>
      <c r="O301" t="s">
        <v>24</v>
      </c>
      <c r="P301">
        <v>963</v>
      </c>
      <c r="Q301" s="19">
        <f>P301/'Controls-Split'!$D$28</f>
        <v>0.64371657754010692</v>
      </c>
      <c r="R301" s="1" t="str">
        <f>IF(Q301&gt;'Controls-Split'!$J$28,"Pos","Neg")</f>
        <v>Neg</v>
      </c>
      <c r="S301">
        <v>5</v>
      </c>
    </row>
    <row r="302" spans="1:19" x14ac:dyDescent="0.2">
      <c r="A302" t="s">
        <v>82</v>
      </c>
      <c r="B302" t="s">
        <v>85</v>
      </c>
      <c r="C302" s="6" t="s">
        <v>23</v>
      </c>
      <c r="D302" t="s">
        <v>20</v>
      </c>
      <c r="E302">
        <v>2.9000000000000001E-2</v>
      </c>
      <c r="F302" s="7">
        <v>2</v>
      </c>
      <c r="G302" s="18" t="s">
        <v>21</v>
      </c>
      <c r="H302" s="18" t="s">
        <v>22</v>
      </c>
      <c r="I302" s="2">
        <v>1779</v>
      </c>
      <c r="J302" s="2">
        <f>I302-'Controls-Split'!$D$11</f>
        <v>630</v>
      </c>
      <c r="K302" s="1">
        <f>J302/'Controls-Split'!$C$11</f>
        <v>7.8613409201512378E-3</v>
      </c>
      <c r="L302" s="1" t="str">
        <f>IF(K302&gt;'Controls-Split'!$I$11,"Pos","Neg")</f>
        <v>Neg</v>
      </c>
      <c r="M302" s="17">
        <v>8</v>
      </c>
      <c r="N302" t="s">
        <v>23</v>
      </c>
      <c r="O302" t="s">
        <v>24</v>
      </c>
      <c r="P302">
        <v>954</v>
      </c>
      <c r="Q302" s="19">
        <f>P302/'Controls-Split'!$D$29</f>
        <v>0.77372262773722633</v>
      </c>
      <c r="R302" s="1" t="str">
        <f>IF(Q302&gt;'Controls-Split'!$J$29,"Pos","Neg")</f>
        <v>Neg</v>
      </c>
      <c r="S302">
        <v>6</v>
      </c>
    </row>
    <row r="303" spans="1:19" x14ac:dyDescent="0.2">
      <c r="A303" t="s">
        <v>60</v>
      </c>
      <c r="B303" t="s">
        <v>32</v>
      </c>
      <c r="C303" s="6" t="s">
        <v>20</v>
      </c>
      <c r="D303" t="s">
        <v>23</v>
      </c>
      <c r="E303">
        <v>3.5000000000000003E-2</v>
      </c>
      <c r="F303" s="7">
        <v>2</v>
      </c>
      <c r="G303" s="18" t="s">
        <v>22</v>
      </c>
      <c r="H303" s="18" t="s">
        <v>21</v>
      </c>
      <c r="I303" s="2">
        <v>1298</v>
      </c>
      <c r="J303" s="2">
        <f>I303-'Controls-Split'!$D$11</f>
        <v>149</v>
      </c>
      <c r="K303" s="1">
        <f>J303/'Controls-Split'!$C$11</f>
        <v>1.8592695192103719E-3</v>
      </c>
      <c r="L303" s="1" t="str">
        <f>IF(K303&gt;'Controls-Split'!$I$11,"Pos","Neg")</f>
        <v>Neg</v>
      </c>
      <c r="M303" s="17">
        <v>8</v>
      </c>
      <c r="N303" t="s">
        <v>24</v>
      </c>
      <c r="O303" t="s">
        <v>23</v>
      </c>
      <c r="P303">
        <v>1637</v>
      </c>
      <c r="Q303" s="19">
        <f>P303/'Controls-Split'!$D$26</f>
        <v>0.84512132163138876</v>
      </c>
      <c r="R303" s="1" t="str">
        <f>IF(Q303&gt;'Controls-Split'!$J$26,"Pos","Neg")</f>
        <v>Neg</v>
      </c>
      <c r="S303">
        <v>3</v>
      </c>
    </row>
    <row r="304" spans="1:19" x14ac:dyDescent="0.2">
      <c r="A304" t="s">
        <v>80</v>
      </c>
      <c r="B304" t="s">
        <v>80</v>
      </c>
      <c r="C304" s="6" t="s">
        <v>19</v>
      </c>
      <c r="D304" t="s">
        <v>26</v>
      </c>
      <c r="E304">
        <v>7.0999999999999994E-2</v>
      </c>
      <c r="F304" s="7">
        <v>1</v>
      </c>
      <c r="G304" s="18" t="s">
        <v>21</v>
      </c>
      <c r="H304" s="18" t="s">
        <v>22</v>
      </c>
      <c r="I304" s="2">
        <v>3161</v>
      </c>
      <c r="J304" s="2">
        <f>I304-'Controls-Split'!$D$11</f>
        <v>2012</v>
      </c>
      <c r="K304" s="1">
        <f>J304/'Controls-Split'!$C$11</f>
        <v>2.5106377668800459E-2</v>
      </c>
      <c r="L304" s="1" t="str">
        <f>IF(K304&gt;'Controls-Split'!$I$11,"Pos","Neg")</f>
        <v>Pos</v>
      </c>
      <c r="M304" s="17">
        <v>8</v>
      </c>
      <c r="N304" t="s">
        <v>24</v>
      </c>
      <c r="O304" t="s">
        <v>23</v>
      </c>
      <c r="P304">
        <v>2961</v>
      </c>
      <c r="Q304" s="19">
        <f>P304/'Controls-Split'!$D$26</f>
        <v>1.5286525554981931</v>
      </c>
      <c r="R304" s="1" t="str">
        <f>IF(Q304&gt;'Controls-Split'!$J$26,"Pos","Neg")</f>
        <v>Pos</v>
      </c>
      <c r="S304">
        <v>3</v>
      </c>
    </row>
    <row r="305" spans="1:19" x14ac:dyDescent="0.2">
      <c r="A305" t="s">
        <v>126</v>
      </c>
      <c r="B305" t="s">
        <v>54</v>
      </c>
      <c r="C305" s="6" t="s">
        <v>20</v>
      </c>
      <c r="D305" t="s">
        <v>23</v>
      </c>
      <c r="E305">
        <v>3.1E-2</v>
      </c>
      <c r="F305" s="7">
        <v>2</v>
      </c>
      <c r="G305" s="18" t="s">
        <v>22</v>
      </c>
      <c r="H305" s="18" t="s">
        <v>21</v>
      </c>
      <c r="I305" s="2">
        <v>982</v>
      </c>
      <c r="J305" s="2">
        <f>I305-'Controls-Split'!$D$11</f>
        <v>-167</v>
      </c>
      <c r="K305" s="1">
        <f>J305/'Controls-Split'!$C$11</f>
        <v>-2.0838792597861217E-3</v>
      </c>
      <c r="L305" s="1" t="str">
        <f>IF(K305&gt;'Controls-Split'!$I$11,"Pos","Neg")</f>
        <v>Neg</v>
      </c>
      <c r="M305" s="17">
        <v>8</v>
      </c>
      <c r="N305" t="s">
        <v>24</v>
      </c>
      <c r="O305" t="s">
        <v>23</v>
      </c>
      <c r="P305">
        <v>1404</v>
      </c>
      <c r="Q305" s="19">
        <f>P305/'Controls-Split'!$D$32</f>
        <v>0.56544502617801051</v>
      </c>
      <c r="R305" s="1" t="str">
        <f>IF(Q305&gt;'Controls-Split'!$J$32,"Pos","Neg")</f>
        <v>Neg</v>
      </c>
      <c r="S305">
        <v>9</v>
      </c>
    </row>
    <row r="306" spans="1:19" x14ac:dyDescent="0.2">
      <c r="A306" t="s">
        <v>126</v>
      </c>
      <c r="B306" t="s">
        <v>30</v>
      </c>
      <c r="C306" s="6" t="s">
        <v>20</v>
      </c>
      <c r="D306" t="s">
        <v>23</v>
      </c>
      <c r="E306">
        <v>0.04</v>
      </c>
      <c r="F306" s="7">
        <v>2</v>
      </c>
      <c r="G306" s="18" t="s">
        <v>22</v>
      </c>
      <c r="H306" s="18" t="s">
        <v>21</v>
      </c>
      <c r="I306" s="2">
        <v>1037</v>
      </c>
      <c r="J306" s="2">
        <f>I306-'Controls-Split'!$D$11</f>
        <v>-112</v>
      </c>
      <c r="K306" s="1">
        <f>J306/'Controls-Split'!$C$11</f>
        <v>-1.3975717191379976E-3</v>
      </c>
      <c r="L306" s="1" t="str">
        <f>IF(K306&gt;'Controls-Split'!$I$11,"Pos","Neg")</f>
        <v>Neg</v>
      </c>
      <c r="M306" s="17">
        <v>8</v>
      </c>
      <c r="N306" t="s">
        <v>24</v>
      </c>
      <c r="O306" t="s">
        <v>23</v>
      </c>
      <c r="P306">
        <v>937</v>
      </c>
      <c r="Q306" s="19">
        <f>P306/'Controls-Split'!$D$32</f>
        <v>0.37736608940797423</v>
      </c>
      <c r="R306" s="1" t="str">
        <f>IF(Q306&gt;'Controls-Split'!$J$32,"Pos","Neg")</f>
        <v>Neg</v>
      </c>
      <c r="S306">
        <v>9</v>
      </c>
    </row>
    <row r="307" spans="1:19" x14ac:dyDescent="0.2">
      <c r="A307" t="s">
        <v>17</v>
      </c>
      <c r="B307" t="s">
        <v>51</v>
      </c>
      <c r="C307" s="6" t="s">
        <v>26</v>
      </c>
      <c r="D307" t="s">
        <v>19</v>
      </c>
      <c r="E307">
        <v>3.3000000000000002E-2</v>
      </c>
      <c r="F307" s="7">
        <v>1</v>
      </c>
      <c r="G307" s="1" t="s">
        <v>22</v>
      </c>
      <c r="H307" s="1" t="s">
        <v>21</v>
      </c>
      <c r="I307" s="2">
        <v>1804</v>
      </c>
      <c r="J307" s="2">
        <f>I307-'Controls-Split'!$D$12</f>
        <v>600</v>
      </c>
      <c r="K307" s="1">
        <f>J307/'Controls-Split'!$C$12</f>
        <v>1.1489190586523179E-2</v>
      </c>
      <c r="L307" s="1" t="str">
        <f>IF(K307&gt;'Controls-Split'!$I$12,"Pos","Neg")</f>
        <v>Neg</v>
      </c>
      <c r="M307" s="17">
        <v>9</v>
      </c>
      <c r="N307" s="23" t="s">
        <v>24</v>
      </c>
      <c r="O307" s="23" t="s">
        <v>23</v>
      </c>
      <c r="P307">
        <v>708</v>
      </c>
      <c r="Q307" s="19">
        <f>P307/'Controls-Split'!$D$30</f>
        <v>0.54545454545454541</v>
      </c>
      <c r="R307" s="1" t="str">
        <f>IF(Q307&gt;'Controls-Split'!$J$30,"Pos","Neg")</f>
        <v>Neg</v>
      </c>
      <c r="S307">
        <v>7</v>
      </c>
    </row>
    <row r="308" spans="1:19" x14ac:dyDescent="0.2">
      <c r="A308" t="s">
        <v>17</v>
      </c>
      <c r="B308" t="s">
        <v>69</v>
      </c>
      <c r="C308" s="6" t="s">
        <v>26</v>
      </c>
      <c r="D308" t="s">
        <v>19</v>
      </c>
      <c r="E308">
        <v>3.3000000000000002E-2</v>
      </c>
      <c r="F308" s="7">
        <v>1</v>
      </c>
      <c r="G308" s="1" t="s">
        <v>22</v>
      </c>
      <c r="H308" s="1" t="s">
        <v>21</v>
      </c>
      <c r="I308" s="2">
        <v>1227</v>
      </c>
      <c r="J308" s="2">
        <f>I308-'Controls-Split'!$D$12</f>
        <v>23</v>
      </c>
      <c r="K308" s="1">
        <f>J308/'Controls-Split'!$C$12</f>
        <v>4.4041897248338856E-4</v>
      </c>
      <c r="L308" s="1" t="str">
        <f>IF(K308&gt;'Controls-Split'!$I$12,"Pos","Neg")</f>
        <v>Neg</v>
      </c>
      <c r="M308" s="17">
        <v>9</v>
      </c>
      <c r="N308" s="23" t="s">
        <v>24</v>
      </c>
      <c r="O308" s="23" t="s">
        <v>23</v>
      </c>
      <c r="P308">
        <v>891</v>
      </c>
      <c r="Q308" s="19">
        <f>P308/'Controls-Split'!$D$30</f>
        <v>0.68644067796610164</v>
      </c>
      <c r="R308" s="1" t="str">
        <f>IF(Q308&gt;'Controls-Split'!$J$30,"Pos","Neg")</f>
        <v>Neg</v>
      </c>
      <c r="S308">
        <v>7</v>
      </c>
    </row>
    <row r="309" spans="1:19" x14ac:dyDescent="0.2">
      <c r="A309" t="s">
        <v>39</v>
      </c>
      <c r="B309" t="s">
        <v>69</v>
      </c>
      <c r="C309" s="6" t="s">
        <v>20</v>
      </c>
      <c r="D309" t="s">
        <v>19</v>
      </c>
      <c r="E309">
        <v>3.5000000000000003E-2</v>
      </c>
      <c r="F309" s="7">
        <v>2</v>
      </c>
      <c r="G309" s="1" t="s">
        <v>22</v>
      </c>
      <c r="H309" s="1" t="s">
        <v>21</v>
      </c>
      <c r="I309" s="2">
        <v>1770</v>
      </c>
      <c r="J309" s="2">
        <f>I309-'Controls-Split'!$D$12</f>
        <v>566</v>
      </c>
      <c r="K309" s="1">
        <f>J309/'Controls-Split'!$C$12</f>
        <v>1.0838136453286866E-2</v>
      </c>
      <c r="L309" s="1" t="str">
        <f>IF(K309&gt;'Controls-Split'!$I$12,"Pos","Neg")</f>
        <v>Neg</v>
      </c>
      <c r="M309" s="17">
        <v>9</v>
      </c>
      <c r="N309" s="23" t="s">
        <v>24</v>
      </c>
      <c r="O309" s="23" t="s">
        <v>23</v>
      </c>
      <c r="P309" s="23">
        <v>2833</v>
      </c>
      <c r="Q309" s="19">
        <f>P309/'Controls-Split'!$D$34</f>
        <v>2.1708812260536399</v>
      </c>
      <c r="R309" s="1" t="str">
        <f>IF(Q309&gt;'Controls-Split'!$J$34,"Pos","Neg")</f>
        <v>Pos</v>
      </c>
      <c r="S309">
        <v>11</v>
      </c>
    </row>
    <row r="310" spans="1:19" x14ac:dyDescent="0.2">
      <c r="A310" t="s">
        <v>122</v>
      </c>
      <c r="B310" t="s">
        <v>107</v>
      </c>
      <c r="C310" s="6" t="s">
        <v>23</v>
      </c>
      <c r="D310" t="s">
        <v>20</v>
      </c>
      <c r="E310">
        <v>3.3399999999999999E-2</v>
      </c>
      <c r="F310" s="7">
        <v>2</v>
      </c>
      <c r="G310" s="1" t="s">
        <v>21</v>
      </c>
      <c r="H310" s="1" t="s">
        <v>22</v>
      </c>
      <c r="I310" s="2">
        <v>1279</v>
      </c>
      <c r="J310" s="2">
        <f>I310-'Controls-Split'!$D$12</f>
        <v>75</v>
      </c>
      <c r="K310" s="1">
        <f>J310/'Controls-Split'!$C$12</f>
        <v>1.4361488233153974E-3</v>
      </c>
      <c r="L310" s="1" t="str">
        <f>IF(K310&gt;'Controls-Split'!$I$12,"Pos","Neg")</f>
        <v>Neg</v>
      </c>
      <c r="M310" s="17">
        <v>9</v>
      </c>
      <c r="N310" t="s">
        <v>24</v>
      </c>
      <c r="O310" t="s">
        <v>23</v>
      </c>
      <c r="P310">
        <v>1501</v>
      </c>
      <c r="Q310" s="19">
        <f>P310/'Controls-Split'!$D$29</f>
        <v>1.2173560421735605</v>
      </c>
      <c r="R310" s="1" t="str">
        <f>IF(Q310&gt;'Controls-Split'!$J$29,"Pos","Neg")</f>
        <v>Neg</v>
      </c>
      <c r="S310">
        <v>6</v>
      </c>
    </row>
    <row r="311" spans="1:19" x14ac:dyDescent="0.2">
      <c r="A311" t="s">
        <v>122</v>
      </c>
      <c r="B311" t="s">
        <v>61</v>
      </c>
      <c r="C311" s="6" t="s">
        <v>23</v>
      </c>
      <c r="D311" t="s">
        <v>26</v>
      </c>
      <c r="E311">
        <v>8.5999999999999993E-2</v>
      </c>
      <c r="F311" s="7">
        <v>2</v>
      </c>
      <c r="G311" s="1" t="s">
        <v>21</v>
      </c>
      <c r="H311" s="1" t="s">
        <v>22</v>
      </c>
      <c r="I311" s="2">
        <v>1321</v>
      </c>
      <c r="J311" s="2">
        <f>I311-'Controls-Split'!$D$12</f>
        <v>117</v>
      </c>
      <c r="K311" s="1">
        <f>J311/'Controls-Split'!$C$12</f>
        <v>2.2403921643720198E-3</v>
      </c>
      <c r="L311" s="1" t="str">
        <f>IF(K311&gt;'Controls-Split'!$I$12,"Pos","Neg")</f>
        <v>Neg</v>
      </c>
      <c r="M311" s="17">
        <v>9</v>
      </c>
      <c r="N311" t="s">
        <v>23</v>
      </c>
      <c r="O311" t="s">
        <v>24</v>
      </c>
      <c r="P311">
        <v>3456</v>
      </c>
      <c r="Q311" s="19">
        <f>P311/'Controls-Split'!$D$32</f>
        <v>1.3918646798227949</v>
      </c>
      <c r="R311" s="1" t="str">
        <f>IF(Q311&gt;'Controls-Split'!$J$32,"Pos","Neg")</f>
        <v>Neg</v>
      </c>
      <c r="S311">
        <v>9</v>
      </c>
    </row>
    <row r="312" spans="1:19" x14ac:dyDescent="0.2">
      <c r="A312" t="s">
        <v>53</v>
      </c>
      <c r="B312" t="s">
        <v>44</v>
      </c>
      <c r="C312" s="6" t="s">
        <v>23</v>
      </c>
      <c r="D312" t="s">
        <v>26</v>
      </c>
      <c r="E312">
        <v>2.7E-2</v>
      </c>
      <c r="F312" s="7">
        <v>2</v>
      </c>
      <c r="G312" s="1" t="s">
        <v>21</v>
      </c>
      <c r="H312" s="1" t="s">
        <v>22</v>
      </c>
      <c r="I312" s="2">
        <v>1932</v>
      </c>
      <c r="J312" s="2">
        <f>I312-'Controls-Split'!$D$12</f>
        <v>728</v>
      </c>
      <c r="K312" s="1">
        <f>J312/'Controls-Split'!$C$12</f>
        <v>1.3940217911648125E-2</v>
      </c>
      <c r="L312" s="1" t="str">
        <f>IF(K312&gt;'Controls-Split'!$I$12,"Pos","Neg")</f>
        <v>Neg</v>
      </c>
      <c r="M312" s="17">
        <v>9</v>
      </c>
      <c r="N312" s="23" t="s">
        <v>23</v>
      </c>
      <c r="O312" s="23" t="s">
        <v>24</v>
      </c>
      <c r="P312" s="23">
        <v>1483</v>
      </c>
      <c r="Q312" s="19">
        <f>P312/'Controls-Split'!$D$34</f>
        <v>1.1363984674329501</v>
      </c>
      <c r="R312" s="1" t="str">
        <f>IF(Q312&gt;'Controls-Split'!$J$34,"Pos","Neg")</f>
        <v>Neg</v>
      </c>
      <c r="S312">
        <v>11</v>
      </c>
    </row>
    <row r="313" spans="1:19" x14ac:dyDescent="0.2">
      <c r="A313" t="s">
        <v>67</v>
      </c>
      <c r="B313" t="s">
        <v>67</v>
      </c>
      <c r="C313" s="6" t="s">
        <v>23</v>
      </c>
      <c r="D313" t="s">
        <v>20</v>
      </c>
      <c r="E313">
        <v>2.9000000000000001E-2</v>
      </c>
      <c r="F313" s="7">
        <v>2</v>
      </c>
      <c r="G313" s="18" t="s">
        <v>21</v>
      </c>
      <c r="H313" s="1" t="s">
        <v>22</v>
      </c>
      <c r="I313" s="2">
        <v>1161</v>
      </c>
      <c r="J313" s="2">
        <f>I313-'Controls-Split'!$D$12</f>
        <v>-43</v>
      </c>
      <c r="K313" s="1">
        <f>J313/'Controls-Split'!$C$12</f>
        <v>-8.2339199203416123E-4</v>
      </c>
      <c r="L313" s="1" t="str">
        <f>IF(K313&gt;'Controls-Split'!$I$12,"Pos","Neg")</f>
        <v>Neg</v>
      </c>
      <c r="M313" s="17">
        <v>9</v>
      </c>
      <c r="N313" t="s">
        <v>23</v>
      </c>
      <c r="O313" t="s">
        <v>24</v>
      </c>
      <c r="P313">
        <v>5750</v>
      </c>
      <c r="Q313" s="19">
        <f>P313/'Controls-Split'!$D$27</f>
        <v>2.7980535279805352</v>
      </c>
      <c r="R313" s="1" t="str">
        <f>IF(Q313&gt;'Controls-Split'!$J$27,"Pos","Neg")</f>
        <v>Pos</v>
      </c>
      <c r="S313">
        <v>4</v>
      </c>
    </row>
    <row r="314" spans="1:19" x14ac:dyDescent="0.2">
      <c r="A314" t="s">
        <v>74</v>
      </c>
      <c r="B314" t="s">
        <v>74</v>
      </c>
      <c r="C314" s="6" t="s">
        <v>23</v>
      </c>
      <c r="D314" t="s">
        <v>26</v>
      </c>
      <c r="E314">
        <v>0.13</v>
      </c>
      <c r="F314" s="7">
        <v>2</v>
      </c>
      <c r="G314" s="1" t="s">
        <v>21</v>
      </c>
      <c r="H314" s="1" t="s">
        <v>22</v>
      </c>
      <c r="I314" s="2">
        <v>1318</v>
      </c>
      <c r="J314" s="2">
        <f>I314-'Controls-Split'!$D$12</f>
        <v>114</v>
      </c>
      <c r="K314" s="1">
        <f>J314/'Controls-Split'!$C$12</f>
        <v>2.182946211439404E-3</v>
      </c>
      <c r="L314" s="1" t="str">
        <f>IF(K314&gt;'Controls-Split'!$I$12,"Pos","Neg")</f>
        <v>Neg</v>
      </c>
      <c r="M314" s="17">
        <v>9</v>
      </c>
      <c r="N314" t="s">
        <v>23</v>
      </c>
      <c r="O314" t="s">
        <v>24</v>
      </c>
      <c r="P314">
        <v>9350</v>
      </c>
      <c r="Q314" s="19">
        <f>P314/'Controls-Split'!$D$27</f>
        <v>4.5498783454987839</v>
      </c>
      <c r="R314" s="1" t="str">
        <f>IF(Q314&gt;'Controls-Split'!$J$27,"Pos","Neg")</f>
        <v>Pos</v>
      </c>
      <c r="S314">
        <v>4</v>
      </c>
    </row>
    <row r="315" spans="1:19" x14ac:dyDescent="0.2">
      <c r="A315" t="s">
        <v>32</v>
      </c>
      <c r="B315" t="s">
        <v>97</v>
      </c>
      <c r="C315" s="6" t="s">
        <v>26</v>
      </c>
      <c r="D315" t="s">
        <v>23</v>
      </c>
      <c r="E315">
        <v>3.1E-2</v>
      </c>
      <c r="F315" s="7">
        <v>2</v>
      </c>
      <c r="G315" s="1" t="s">
        <v>22</v>
      </c>
      <c r="H315" s="18" t="s">
        <v>21</v>
      </c>
      <c r="I315" s="2">
        <v>1108</v>
      </c>
      <c r="J315" s="2">
        <f>I315-'Controls-Split'!$D$12</f>
        <v>-96</v>
      </c>
      <c r="K315" s="1">
        <f>J315/'Controls-Split'!$C$12</f>
        <v>-1.8382704938437087E-3</v>
      </c>
      <c r="L315" s="1" t="str">
        <f>IF(K315&gt;'Controls-Split'!$I$12,"Pos","Neg")</f>
        <v>Neg</v>
      </c>
      <c r="M315" s="17">
        <v>9</v>
      </c>
      <c r="N315" s="23" t="s">
        <v>24</v>
      </c>
      <c r="O315" s="23" t="s">
        <v>23</v>
      </c>
      <c r="P315">
        <v>920</v>
      </c>
      <c r="Q315" s="19">
        <f>P315/'Controls-Split'!$D$29</f>
        <v>0.74614760746147613</v>
      </c>
      <c r="R315" s="1" t="str">
        <f>IF(Q315&gt;'Controls-Split'!$J$29,"Pos","Neg")</f>
        <v>Neg</v>
      </c>
      <c r="S315">
        <v>6</v>
      </c>
    </row>
    <row r="316" spans="1:19" x14ac:dyDescent="0.2">
      <c r="A316" t="s">
        <v>32</v>
      </c>
      <c r="B316" t="s">
        <v>64</v>
      </c>
      <c r="C316" s="6" t="s">
        <v>26</v>
      </c>
      <c r="D316" t="s">
        <v>23</v>
      </c>
      <c r="E316">
        <v>3.5000000000000003E-2</v>
      </c>
      <c r="F316" s="7">
        <v>2</v>
      </c>
      <c r="G316" s="1" t="s">
        <v>22</v>
      </c>
      <c r="H316" s="18" t="s">
        <v>21</v>
      </c>
      <c r="I316" s="2">
        <v>1173</v>
      </c>
      <c r="J316" s="2">
        <f>I316-'Controls-Split'!$D$12</f>
        <v>-31</v>
      </c>
      <c r="K316" s="1">
        <f>J316/'Controls-Split'!$C$12</f>
        <v>-5.9360818030369756E-4</v>
      </c>
      <c r="L316" s="1" t="str">
        <f>IF(K316&gt;'Controls-Split'!$I$12,"Pos","Neg")</f>
        <v>Neg</v>
      </c>
      <c r="M316" s="17">
        <v>9</v>
      </c>
      <c r="N316" s="23" t="s">
        <v>24</v>
      </c>
      <c r="O316" s="23" t="s">
        <v>23</v>
      </c>
      <c r="P316">
        <v>1077</v>
      </c>
      <c r="Q316" s="19">
        <f>P316/'Controls-Split'!$D$29</f>
        <v>0.87347931873479323</v>
      </c>
      <c r="R316" s="1" t="str">
        <f>IF(Q316&gt;'Controls-Split'!$J$29,"Pos","Neg")</f>
        <v>Neg</v>
      </c>
      <c r="S316">
        <v>6</v>
      </c>
    </row>
    <row r="317" spans="1:19" x14ac:dyDescent="0.2">
      <c r="A317" t="s">
        <v>33</v>
      </c>
      <c r="B317" t="s">
        <v>74</v>
      </c>
      <c r="C317" s="6" t="s">
        <v>20</v>
      </c>
      <c r="D317" t="s">
        <v>23</v>
      </c>
      <c r="E317">
        <v>2.8000000000000001E-2</v>
      </c>
      <c r="F317" s="7">
        <v>2</v>
      </c>
      <c r="G317" s="16" t="s">
        <v>22</v>
      </c>
      <c r="H317" s="18" t="s">
        <v>21</v>
      </c>
      <c r="I317" s="2">
        <v>1323</v>
      </c>
      <c r="J317" s="2">
        <f>I317-'Controls-Split'!$D$12</f>
        <v>119</v>
      </c>
      <c r="K317" s="1">
        <f>J317/'Controls-Split'!$C$12</f>
        <v>2.2786894663270971E-3</v>
      </c>
      <c r="L317" s="1" t="str">
        <f>IF(K317&gt;'Controls-Split'!$I$12,"Pos","Neg")</f>
        <v>Neg</v>
      </c>
      <c r="M317" s="17">
        <v>9</v>
      </c>
      <c r="N317" t="s">
        <v>24</v>
      </c>
      <c r="O317" t="s">
        <v>23</v>
      </c>
      <c r="P317">
        <v>921</v>
      </c>
      <c r="Q317" s="19">
        <f>P317/'Controls-Split'!$D$28</f>
        <v>0.61564171122994649</v>
      </c>
      <c r="R317" s="1" t="str">
        <f>IF(Q317&gt;'Controls-Split'!$J$28,"Pos","Neg")</f>
        <v>Neg</v>
      </c>
      <c r="S317">
        <v>5</v>
      </c>
    </row>
    <row r="318" spans="1:19" x14ac:dyDescent="0.2">
      <c r="A318" t="s">
        <v>86</v>
      </c>
      <c r="B318" t="s">
        <v>44</v>
      </c>
      <c r="C318" s="6" t="s">
        <v>23</v>
      </c>
      <c r="D318" t="s">
        <v>20</v>
      </c>
      <c r="E318">
        <v>3.1E-2</v>
      </c>
      <c r="F318" s="7">
        <v>2</v>
      </c>
      <c r="G318" s="16" t="s">
        <v>21</v>
      </c>
      <c r="H318" s="18" t="s">
        <v>22</v>
      </c>
      <c r="I318" s="2">
        <v>3120</v>
      </c>
      <c r="J318" s="2">
        <f>I318-'Controls-Split'!$D$12</f>
        <v>1916</v>
      </c>
      <c r="K318" s="1">
        <f>J318/'Controls-Split'!$C$12</f>
        <v>3.6688815272964019E-2</v>
      </c>
      <c r="L318" s="1" t="str">
        <f>IF(K318&gt;'Controls-Split'!$I$12,"Pos","Neg")</f>
        <v>Pos</v>
      </c>
      <c r="M318" s="17">
        <v>9</v>
      </c>
      <c r="N318" t="s">
        <v>23</v>
      </c>
      <c r="O318" t="s">
        <v>24</v>
      </c>
      <c r="P318" s="23">
        <v>1388</v>
      </c>
      <c r="Q318" s="19">
        <f>P318/'Controls-Split'!$D$34</f>
        <v>1.0636015325670498</v>
      </c>
      <c r="R318" s="1" t="str">
        <f>IF(Q318&gt;'Controls-Split'!$J$34,"Pos","Neg")</f>
        <v>Neg</v>
      </c>
      <c r="S318">
        <v>11</v>
      </c>
    </row>
    <row r="319" spans="1:19" x14ac:dyDescent="0.2">
      <c r="A319" t="s">
        <v>86</v>
      </c>
      <c r="B319" t="s">
        <v>41</v>
      </c>
      <c r="C319" s="6" t="s">
        <v>23</v>
      </c>
      <c r="D319" t="s">
        <v>20</v>
      </c>
      <c r="E319">
        <v>2.9000000000000001E-2</v>
      </c>
      <c r="F319" s="7">
        <v>2</v>
      </c>
      <c r="G319" s="20" t="s">
        <v>21</v>
      </c>
      <c r="H319" s="18" t="s">
        <v>22</v>
      </c>
      <c r="I319" s="2">
        <v>18918</v>
      </c>
      <c r="J319" s="2">
        <f>I319-'Controls-Split'!$D$12</f>
        <v>17714</v>
      </c>
      <c r="K319" s="1">
        <f>J319/'Controls-Split'!$C$12</f>
        <v>0.33919920341611931</v>
      </c>
      <c r="L319" s="1" t="str">
        <f>IF(K319&gt;'Controls-Split'!$I$12,"Pos","Neg")</f>
        <v>Pos</v>
      </c>
      <c r="M319" s="17">
        <v>9</v>
      </c>
      <c r="N319" t="s">
        <v>23</v>
      </c>
      <c r="O319" t="s">
        <v>24</v>
      </c>
      <c r="P319">
        <v>1821</v>
      </c>
      <c r="Q319" s="19">
        <f>P319/'Controls-Split'!$D$26</f>
        <v>0.94011357769747028</v>
      </c>
      <c r="R319" s="1" t="str">
        <f>IF(Q319&gt;'Controls-Split'!$J$26,"Pos","Neg")</f>
        <v>Neg</v>
      </c>
      <c r="S319">
        <v>3</v>
      </c>
    </row>
    <row r="320" spans="1:19" x14ac:dyDescent="0.2">
      <c r="A320" t="s">
        <v>118</v>
      </c>
      <c r="B320" t="s">
        <v>32</v>
      </c>
      <c r="C320" s="6" t="s">
        <v>23</v>
      </c>
      <c r="D320" t="s">
        <v>26</v>
      </c>
      <c r="E320">
        <v>4.1000000000000002E-2</v>
      </c>
      <c r="F320" s="7">
        <v>2</v>
      </c>
      <c r="G320" s="18" t="s">
        <v>21</v>
      </c>
      <c r="H320" s="18" t="s">
        <v>22</v>
      </c>
      <c r="I320" s="2">
        <v>1307</v>
      </c>
      <c r="J320" s="2">
        <f>I320-'Controls-Split'!$D$12</f>
        <v>103</v>
      </c>
      <c r="K320" s="1">
        <f>J320/'Controls-Split'!$C$12</f>
        <v>1.9723110506864793E-3</v>
      </c>
      <c r="L320" s="1" t="str">
        <f>IF(K320&gt;'Controls-Split'!$I$12,"Pos","Neg")</f>
        <v>Neg</v>
      </c>
      <c r="M320" s="17">
        <v>9</v>
      </c>
      <c r="N320" t="s">
        <v>23</v>
      </c>
      <c r="O320" t="s">
        <v>24</v>
      </c>
      <c r="P320">
        <v>820</v>
      </c>
      <c r="Q320" s="19">
        <f>P320/'Controls-Split'!$D$29</f>
        <v>0.66504460665044607</v>
      </c>
      <c r="R320" s="1" t="str">
        <f>IF(Q320&gt;'Controls-Split'!$J$29,"Pos","Neg")</f>
        <v>Neg</v>
      </c>
      <c r="S320">
        <v>6</v>
      </c>
    </row>
    <row r="321" spans="1:19" x14ac:dyDescent="0.2">
      <c r="A321" t="s">
        <v>118</v>
      </c>
      <c r="B321" t="s">
        <v>33</v>
      </c>
      <c r="C321" s="6" t="s">
        <v>23</v>
      </c>
      <c r="D321" t="s">
        <v>20</v>
      </c>
      <c r="E321">
        <v>4.7E-2</v>
      </c>
      <c r="F321" s="7">
        <v>2</v>
      </c>
      <c r="G321" s="18" t="s">
        <v>21</v>
      </c>
      <c r="H321" s="18" t="s">
        <v>22</v>
      </c>
      <c r="I321" s="2">
        <v>1427</v>
      </c>
      <c r="J321" s="2">
        <f>I321-'Controls-Split'!$D$12</f>
        <v>223</v>
      </c>
      <c r="K321" s="1">
        <f>J321/'Controls-Split'!$C$12</f>
        <v>4.2701491679911149E-3</v>
      </c>
      <c r="L321" s="1" t="str">
        <f>IF(K321&gt;'Controls-Split'!$I$12,"Pos","Neg")</f>
        <v>Neg</v>
      </c>
      <c r="M321" s="17">
        <v>9</v>
      </c>
      <c r="N321" t="s">
        <v>23</v>
      </c>
      <c r="O321" t="s">
        <v>24</v>
      </c>
      <c r="P321">
        <v>1117</v>
      </c>
      <c r="Q321" s="19">
        <f>P321/'Controls-Split'!$D$28</f>
        <v>0.74665775401069523</v>
      </c>
      <c r="R321" s="1" t="str">
        <f>IF(Q321&gt;'Controls-Split'!$J$28,"Pos","Neg")</f>
        <v>Neg</v>
      </c>
      <c r="S321">
        <v>5</v>
      </c>
    </row>
    <row r="322" spans="1:19" x14ac:dyDescent="0.2">
      <c r="A322" t="s">
        <v>119</v>
      </c>
      <c r="B322" t="s">
        <v>44</v>
      </c>
      <c r="C322" s="6" t="s">
        <v>23</v>
      </c>
      <c r="D322" t="s">
        <v>26</v>
      </c>
      <c r="E322">
        <v>3.5999999999999997E-2</v>
      </c>
      <c r="F322" s="7">
        <v>2</v>
      </c>
      <c r="G322" s="18" t="s">
        <v>21</v>
      </c>
      <c r="H322" s="18" t="s">
        <v>22</v>
      </c>
      <c r="I322" s="2">
        <v>2325</v>
      </c>
      <c r="J322" s="2">
        <f>I322-'Controls-Split'!$D$12</f>
        <v>1121</v>
      </c>
      <c r="K322" s="1">
        <f>J322/'Controls-Split'!$C$12</f>
        <v>2.1465637745820807E-2</v>
      </c>
      <c r="L322" s="1" t="str">
        <f>IF(K322&gt;'Controls-Split'!$I$12,"Pos","Neg")</f>
        <v>Neg</v>
      </c>
      <c r="M322" s="17">
        <v>9</v>
      </c>
      <c r="N322" t="s">
        <v>23</v>
      </c>
      <c r="O322" t="s">
        <v>24</v>
      </c>
      <c r="P322" s="23">
        <v>1294</v>
      </c>
      <c r="Q322" s="19">
        <f>P322/'Controls-Split'!$D$34</f>
        <v>0.99157088122605364</v>
      </c>
      <c r="R322" s="1" t="str">
        <f>IF(Q322&gt;'Controls-Split'!$J$34,"Pos","Neg")</f>
        <v>Neg</v>
      </c>
      <c r="S322">
        <v>11</v>
      </c>
    </row>
    <row r="323" spans="1:19" x14ac:dyDescent="0.2">
      <c r="A323" t="s">
        <v>119</v>
      </c>
      <c r="B323" t="s">
        <v>76</v>
      </c>
      <c r="C323" s="6" t="s">
        <v>23</v>
      </c>
      <c r="D323" t="s">
        <v>26</v>
      </c>
      <c r="E323">
        <v>2.9000000000000001E-2</v>
      </c>
      <c r="F323" s="7">
        <v>2</v>
      </c>
      <c r="G323" s="18" t="s">
        <v>21</v>
      </c>
      <c r="H323" s="18" t="s">
        <v>22</v>
      </c>
      <c r="I323" s="2">
        <v>2897</v>
      </c>
      <c r="J323" s="2">
        <f>I323-'Controls-Split'!$D$12</f>
        <v>1693</v>
      </c>
      <c r="K323" s="1">
        <f>J323/'Controls-Split'!$C$12</f>
        <v>3.2418666104972904E-2</v>
      </c>
      <c r="L323" s="1" t="str">
        <f>IF(K323&gt;'Controls-Split'!$I$12,"Pos","Neg")</f>
        <v>Neg</v>
      </c>
      <c r="M323" s="17">
        <v>9</v>
      </c>
      <c r="N323" t="s">
        <v>23</v>
      </c>
      <c r="O323" t="s">
        <v>24</v>
      </c>
      <c r="P323">
        <v>1752</v>
      </c>
      <c r="Q323" s="19">
        <f>P323/'Controls-Split'!$D$27</f>
        <v>0.85255474452554747</v>
      </c>
      <c r="R323" s="1" t="str">
        <f>IF(Q323&gt;'Controls-Split'!$J$27,"Pos","Neg")</f>
        <v>Neg</v>
      </c>
      <c r="S323">
        <v>4</v>
      </c>
    </row>
    <row r="324" spans="1:19" x14ac:dyDescent="0.2">
      <c r="A324" t="s">
        <v>119</v>
      </c>
      <c r="B324" t="s">
        <v>119</v>
      </c>
      <c r="C324" s="6" t="s">
        <v>23</v>
      </c>
      <c r="D324" t="s">
        <v>20</v>
      </c>
      <c r="E324">
        <v>4.4999999999999998E-2</v>
      </c>
      <c r="F324" s="7">
        <v>2</v>
      </c>
      <c r="G324" s="18" t="s">
        <v>21</v>
      </c>
      <c r="H324" s="18" t="s">
        <v>22</v>
      </c>
      <c r="I324" s="2">
        <v>1379</v>
      </c>
      <c r="J324" s="2">
        <f>I324-'Controls-Split'!$D$12</f>
        <v>175</v>
      </c>
      <c r="K324" s="1">
        <f>J324/'Controls-Split'!$C$12</f>
        <v>3.3510139210692607E-3</v>
      </c>
      <c r="L324" s="1" t="str">
        <f>IF(K324&gt;'Controls-Split'!$I$12,"Pos","Neg")</f>
        <v>Neg</v>
      </c>
      <c r="M324" s="17">
        <v>9</v>
      </c>
      <c r="N324" t="s">
        <v>23</v>
      </c>
      <c r="O324" t="s">
        <v>24</v>
      </c>
      <c r="P324">
        <v>4356</v>
      </c>
      <c r="Q324" s="19">
        <f>P324/'Controls-Split'!$D$27</f>
        <v>2.1197080291970805</v>
      </c>
      <c r="R324" s="1" t="str">
        <f>IF(Q324&gt;'Controls-Split'!$J$27,"Pos","Neg")</f>
        <v>Pos</v>
      </c>
      <c r="S324">
        <v>4</v>
      </c>
    </row>
    <row r="325" spans="1:19" x14ac:dyDescent="0.2">
      <c r="A325" t="s">
        <v>119</v>
      </c>
      <c r="B325" t="s">
        <v>89</v>
      </c>
      <c r="C325" s="6" t="s">
        <v>23</v>
      </c>
      <c r="D325" t="s">
        <v>20</v>
      </c>
      <c r="E325">
        <v>0.04</v>
      </c>
      <c r="F325" s="7">
        <v>2</v>
      </c>
      <c r="G325" s="18" t="s">
        <v>21</v>
      </c>
      <c r="H325" s="18" t="s">
        <v>22</v>
      </c>
      <c r="I325" s="2">
        <v>2266</v>
      </c>
      <c r="J325" s="2">
        <f>I325-'Controls-Split'!$D$12</f>
        <v>1062</v>
      </c>
      <c r="K325" s="1">
        <f>J325/'Controls-Split'!$C$12</f>
        <v>2.0335867338146029E-2</v>
      </c>
      <c r="L325" s="1" t="str">
        <f>IF(K325&gt;'Controls-Split'!$I$12,"Pos","Neg")</f>
        <v>Neg</v>
      </c>
      <c r="M325" s="17">
        <v>9</v>
      </c>
      <c r="N325" t="s">
        <v>23</v>
      </c>
      <c r="O325" t="s">
        <v>24</v>
      </c>
      <c r="P325">
        <v>4399</v>
      </c>
      <c r="Q325" s="19">
        <f>P325/'Controls-Split'!$D$27</f>
        <v>2.1406326034063259</v>
      </c>
      <c r="R325" s="1" t="str">
        <f>IF(Q325&gt;'Controls-Split'!$J$27,"Pos","Neg")</f>
        <v>Pos</v>
      </c>
      <c r="S325">
        <v>4</v>
      </c>
    </row>
    <row r="326" spans="1:19" x14ac:dyDescent="0.2">
      <c r="A326" t="s">
        <v>119</v>
      </c>
      <c r="B326" t="s">
        <v>41</v>
      </c>
      <c r="C326" s="6" t="s">
        <v>23</v>
      </c>
      <c r="D326" t="s">
        <v>26</v>
      </c>
      <c r="E326">
        <v>3.5000000000000003E-2</v>
      </c>
      <c r="F326" s="7">
        <v>2</v>
      </c>
      <c r="G326" s="18" t="s">
        <v>21</v>
      </c>
      <c r="H326" s="18" t="s">
        <v>22</v>
      </c>
      <c r="I326" s="2">
        <v>3087</v>
      </c>
      <c r="J326" s="2">
        <f>I326-'Controls-Split'!$D$12</f>
        <v>1883</v>
      </c>
      <c r="K326" s="1">
        <f>J326/'Controls-Split'!$C$12</f>
        <v>3.6056909790705242E-2</v>
      </c>
      <c r="L326" s="1" t="str">
        <f>IF(K326&gt;'Controls-Split'!$I$12,"Pos","Neg")</f>
        <v>Pos</v>
      </c>
      <c r="M326" s="17">
        <v>9</v>
      </c>
      <c r="N326" t="s">
        <v>23</v>
      </c>
      <c r="O326" t="s">
        <v>24</v>
      </c>
      <c r="P326">
        <v>2253</v>
      </c>
      <c r="Q326" s="19">
        <f>P326/'Controls-Split'!$D$26</f>
        <v>1.1631388745482705</v>
      </c>
      <c r="R326" s="1" t="str">
        <f>IF(Q326&gt;'Controls-Split'!$J$26,"Pos","Neg")</f>
        <v>Neg</v>
      </c>
      <c r="S326">
        <v>3</v>
      </c>
    </row>
    <row r="327" spans="1:19" x14ac:dyDescent="0.2">
      <c r="A327" t="s">
        <v>89</v>
      </c>
      <c r="B327" t="s">
        <v>89</v>
      </c>
      <c r="C327" s="6" t="s">
        <v>19</v>
      </c>
      <c r="D327" t="s">
        <v>26</v>
      </c>
      <c r="E327">
        <v>9.1999999999999998E-2</v>
      </c>
      <c r="F327" s="7">
        <v>2</v>
      </c>
      <c r="G327" s="18" t="s">
        <v>21</v>
      </c>
      <c r="H327" s="18" t="s">
        <v>22</v>
      </c>
      <c r="I327" s="2">
        <v>11318</v>
      </c>
      <c r="J327" s="2">
        <f>I327-'Controls-Split'!$D$12</f>
        <v>10114</v>
      </c>
      <c r="K327" s="1">
        <f>J327/'Controls-Split'!$C$12</f>
        <v>0.19366945598682572</v>
      </c>
      <c r="L327" s="1" t="str">
        <f>IF(K327&gt;'Controls-Split'!$I$12,"Pos","Neg")</f>
        <v>Pos</v>
      </c>
      <c r="M327" s="17">
        <v>9</v>
      </c>
      <c r="N327" t="s">
        <v>23</v>
      </c>
      <c r="O327" t="s">
        <v>24</v>
      </c>
      <c r="P327">
        <v>438266</v>
      </c>
      <c r="Q327" s="19">
        <f>P327/'Controls-Split'!$D$27</f>
        <v>213.26812652068128</v>
      </c>
      <c r="R327" s="1" t="str">
        <f>IF(Q327&gt;'Controls-Split'!$J$27,"Pos","Neg")</f>
        <v>Pos</v>
      </c>
      <c r="S327">
        <v>4</v>
      </c>
    </row>
    <row r="328" spans="1:19" x14ac:dyDescent="0.2">
      <c r="A328" t="s">
        <v>102</v>
      </c>
      <c r="B328" t="s">
        <v>28</v>
      </c>
      <c r="C328" s="6" t="s">
        <v>23</v>
      </c>
      <c r="D328" t="s">
        <v>26</v>
      </c>
      <c r="E328">
        <v>2.7E-2</v>
      </c>
      <c r="F328" s="7">
        <v>2</v>
      </c>
      <c r="G328" s="18" t="s">
        <v>21</v>
      </c>
      <c r="H328" s="18" t="s">
        <v>22</v>
      </c>
      <c r="I328" s="2">
        <v>1412</v>
      </c>
      <c r="J328" s="2">
        <f>I328-'Controls-Split'!$D$12</f>
        <v>208</v>
      </c>
      <c r="K328" s="1">
        <f>J328/'Controls-Split'!$C$12</f>
        <v>3.9829194033280356E-3</v>
      </c>
      <c r="L328" s="1" t="str">
        <f>IF(K328&gt;'Controls-Split'!$I$12,"Pos","Neg")</f>
        <v>Neg</v>
      </c>
      <c r="M328" s="17">
        <v>9</v>
      </c>
      <c r="N328" s="23" t="s">
        <v>23</v>
      </c>
      <c r="O328" s="23" t="s">
        <v>24</v>
      </c>
      <c r="P328">
        <v>1055</v>
      </c>
      <c r="Q328" s="19">
        <f>P328/'Controls-Split'!$D$30</f>
        <v>0.81278890600924503</v>
      </c>
      <c r="R328" s="1" t="str">
        <f>IF(Q328&gt;'Controls-Split'!$J$30,"Pos","Neg")</f>
        <v>Neg</v>
      </c>
      <c r="S328">
        <v>7</v>
      </c>
    </row>
    <row r="329" spans="1:19" x14ac:dyDescent="0.2">
      <c r="A329" t="s">
        <v>107</v>
      </c>
      <c r="B329" t="s">
        <v>107</v>
      </c>
      <c r="C329" s="6" t="s">
        <v>23</v>
      </c>
      <c r="D329" t="s">
        <v>26</v>
      </c>
      <c r="E329">
        <v>0.30599999999999999</v>
      </c>
      <c r="F329" s="7">
        <v>2</v>
      </c>
      <c r="G329" s="18" t="s">
        <v>21</v>
      </c>
      <c r="H329" s="18" t="s">
        <v>22</v>
      </c>
      <c r="I329" s="2">
        <v>2263</v>
      </c>
      <c r="J329" s="2">
        <f>I329-'Controls-Split'!$D$12</f>
        <v>1059</v>
      </c>
      <c r="K329" s="1">
        <f>J329/'Controls-Split'!$C$12</f>
        <v>2.0278421385213411E-2</v>
      </c>
      <c r="L329" s="1" t="str">
        <f>IF(K329&gt;'Controls-Split'!$I$12,"Pos","Neg")</f>
        <v>Neg</v>
      </c>
      <c r="M329" s="17">
        <v>9</v>
      </c>
      <c r="N329" s="23" t="s">
        <v>23</v>
      </c>
      <c r="O329" s="23" t="s">
        <v>24</v>
      </c>
      <c r="P329">
        <v>1531</v>
      </c>
      <c r="Q329" s="19">
        <f>P329/'Controls-Split'!$D$29</f>
        <v>1.2416869424168695</v>
      </c>
      <c r="R329" s="1" t="str">
        <f>IF(Q329&gt;'Controls-Split'!$J$29,"Pos","Neg")</f>
        <v>Neg</v>
      </c>
      <c r="S329">
        <v>6</v>
      </c>
    </row>
    <row r="330" spans="1:19" x14ac:dyDescent="0.2">
      <c r="A330" t="s">
        <v>28</v>
      </c>
      <c r="B330" t="s">
        <v>91</v>
      </c>
      <c r="C330" s="6" t="s">
        <v>26</v>
      </c>
      <c r="D330" t="s">
        <v>19</v>
      </c>
      <c r="E330">
        <v>0.03</v>
      </c>
      <c r="F330" s="7">
        <v>1</v>
      </c>
      <c r="G330" s="18" t="s">
        <v>22</v>
      </c>
      <c r="H330" s="18" t="s">
        <v>21</v>
      </c>
      <c r="I330" s="2">
        <v>1411</v>
      </c>
      <c r="J330" s="2">
        <f>I330-'Controls-Split'!$D$12</f>
        <v>207</v>
      </c>
      <c r="K330" s="1">
        <f>J330/'Controls-Split'!$C$12</f>
        <v>3.9637707523504971E-3</v>
      </c>
      <c r="L330" s="1" t="str">
        <f>IF(K330&gt;'Controls-Split'!$I$12,"Pos","Neg")</f>
        <v>Neg</v>
      </c>
      <c r="M330" s="17">
        <v>9</v>
      </c>
      <c r="N330" s="23" t="s">
        <v>24</v>
      </c>
      <c r="O330" s="23" t="s">
        <v>23</v>
      </c>
      <c r="P330" s="23">
        <v>3885</v>
      </c>
      <c r="Q330" s="19">
        <f>P330/'Controls-Split'!$D$30</f>
        <v>2.9930662557781202</v>
      </c>
      <c r="R330" s="1" t="str">
        <f>IF(Q330&gt;'Controls-Split'!$J$30,"Pos","Neg")</f>
        <v>Pos</v>
      </c>
      <c r="S330">
        <v>7</v>
      </c>
    </row>
    <row r="331" spans="1:19" x14ac:dyDescent="0.2">
      <c r="A331" t="s">
        <v>114</v>
      </c>
      <c r="B331" t="s">
        <v>39</v>
      </c>
      <c r="C331" s="6" t="s">
        <v>23</v>
      </c>
      <c r="D331" t="s">
        <v>20</v>
      </c>
      <c r="E331">
        <v>2.9000000000000001E-2</v>
      </c>
      <c r="F331" s="7">
        <v>2</v>
      </c>
      <c r="G331" s="18" t="s">
        <v>21</v>
      </c>
      <c r="H331" s="18" t="s">
        <v>22</v>
      </c>
      <c r="I331" s="2">
        <v>2819</v>
      </c>
      <c r="J331" s="2">
        <f>I331-'Controls-Split'!$D$12</f>
        <v>1615</v>
      </c>
      <c r="K331" s="1">
        <f>J331/'Controls-Split'!$C$12</f>
        <v>3.0925071328724893E-2</v>
      </c>
      <c r="L331" s="1" t="str">
        <f>IF(K331&gt;'Controls-Split'!$I$12,"Pos","Neg")</f>
        <v>Neg</v>
      </c>
      <c r="M331" s="17">
        <v>9</v>
      </c>
      <c r="N331" s="23" t="s">
        <v>23</v>
      </c>
      <c r="O331" s="23" t="s">
        <v>24</v>
      </c>
      <c r="P331" s="23">
        <v>1073</v>
      </c>
      <c r="Q331" s="19">
        <f>P331/'Controls-Split'!$D$34</f>
        <v>0.82222222222222219</v>
      </c>
      <c r="R331" s="1" t="str">
        <f>IF(Q331&gt;'Controls-Split'!$J$34,"Pos","Neg")</f>
        <v>Neg</v>
      </c>
      <c r="S331">
        <v>11</v>
      </c>
    </row>
    <row r="332" spans="1:19" x14ac:dyDescent="0.2">
      <c r="A332" t="s">
        <v>114</v>
      </c>
      <c r="B332" t="s">
        <v>27</v>
      </c>
      <c r="C332" s="6" t="s">
        <v>26</v>
      </c>
      <c r="D332" t="s">
        <v>23</v>
      </c>
      <c r="E332">
        <v>3.5000000000000003E-2</v>
      </c>
      <c r="F332" s="7">
        <v>2</v>
      </c>
      <c r="G332" s="18" t="s">
        <v>22</v>
      </c>
      <c r="H332" s="18" t="s">
        <v>21</v>
      </c>
      <c r="I332" s="2">
        <v>1434</v>
      </c>
      <c r="J332" s="2">
        <f>I332-'Controls-Split'!$D$12</f>
        <v>230</v>
      </c>
      <c r="K332" s="1">
        <f>J332/'Controls-Split'!$C$12</f>
        <v>4.4041897248338858E-3</v>
      </c>
      <c r="L332" s="1" t="str">
        <f>IF(K332&gt;'Controls-Split'!$I$12,"Pos","Neg")</f>
        <v>Neg</v>
      </c>
      <c r="M332" s="17">
        <v>9</v>
      </c>
      <c r="N332" s="23" t="s">
        <v>24</v>
      </c>
      <c r="O332" s="23" t="s">
        <v>23</v>
      </c>
      <c r="P332">
        <v>1267</v>
      </c>
      <c r="Q332" s="19">
        <f>P332/'Controls-Split'!$D$30</f>
        <v>0.9761171032357473</v>
      </c>
      <c r="R332" s="1" t="str">
        <f>IF(Q332&gt;'Controls-Split'!$J$30,"Pos","Neg")</f>
        <v>Neg</v>
      </c>
      <c r="S332">
        <v>7</v>
      </c>
    </row>
    <row r="333" spans="1:19" x14ac:dyDescent="0.2">
      <c r="A333" t="s">
        <v>58</v>
      </c>
      <c r="B333" t="s">
        <v>69</v>
      </c>
      <c r="C333" s="6" t="s">
        <v>20</v>
      </c>
      <c r="D333" t="s">
        <v>19</v>
      </c>
      <c r="E333">
        <v>3.6999999999999998E-2</v>
      </c>
      <c r="F333" s="7">
        <v>2</v>
      </c>
      <c r="G333" s="18" t="s">
        <v>22</v>
      </c>
      <c r="H333" s="18" t="s">
        <v>21</v>
      </c>
      <c r="I333" s="2">
        <v>14937</v>
      </c>
      <c r="J333" s="2">
        <f>I333-'Controls-Split'!$D$12</f>
        <v>13733</v>
      </c>
      <c r="K333" s="1">
        <f>J333/'Controls-Split'!$C$12</f>
        <v>0.26296842387453806</v>
      </c>
      <c r="L333" s="1" t="str">
        <f>IF(K333&gt;'Controls-Split'!$I$12,"Pos","Neg")</f>
        <v>Pos</v>
      </c>
      <c r="M333" s="17">
        <v>9</v>
      </c>
      <c r="N333" t="s">
        <v>24</v>
      </c>
      <c r="O333" t="s">
        <v>23</v>
      </c>
      <c r="P333">
        <v>1161</v>
      </c>
      <c r="Q333" s="19">
        <f>P333/'Controls-Split'!$D$33</f>
        <v>0.4513996889580093</v>
      </c>
      <c r="R333" s="1" t="str">
        <f>IF(Q333&gt;'Controls-Split'!$J$33,"Pos","Neg")</f>
        <v>Neg</v>
      </c>
      <c r="S333">
        <v>10</v>
      </c>
    </row>
    <row r="334" spans="1:19" x14ac:dyDescent="0.2">
      <c r="A334" t="s">
        <v>58</v>
      </c>
      <c r="B334" t="s">
        <v>74</v>
      </c>
      <c r="C334" s="6" t="s">
        <v>20</v>
      </c>
      <c r="D334" t="s">
        <v>23</v>
      </c>
      <c r="E334">
        <v>6.0999999999999999E-2</v>
      </c>
      <c r="F334" s="7">
        <v>2</v>
      </c>
      <c r="G334" s="18" t="s">
        <v>22</v>
      </c>
      <c r="H334" s="18" t="s">
        <v>21</v>
      </c>
      <c r="I334" s="2">
        <v>12764</v>
      </c>
      <c r="J334" s="2">
        <f>I334-'Controls-Split'!$D$12</f>
        <v>11560</v>
      </c>
      <c r="K334" s="1">
        <f>J334/'Controls-Split'!$C$12</f>
        <v>0.22135840530034659</v>
      </c>
      <c r="L334" s="1" t="str">
        <f>IF(K334&gt;'Controls-Split'!$I$12,"Pos","Neg")</f>
        <v>Pos</v>
      </c>
      <c r="M334" s="17">
        <v>9</v>
      </c>
      <c r="N334" s="23" t="s">
        <v>24</v>
      </c>
      <c r="O334" s="23" t="s">
        <v>23</v>
      </c>
      <c r="P334">
        <v>2005</v>
      </c>
      <c r="Q334" s="19">
        <f>P334/'Controls-Split'!$D$31</f>
        <v>0.74341861327400816</v>
      </c>
      <c r="R334" s="1" t="str">
        <f>IF(Q334&gt;'Controls-Split'!$J$31,"Pos","Neg")</f>
        <v>Neg</v>
      </c>
      <c r="S334">
        <v>8</v>
      </c>
    </row>
    <row r="335" spans="1:19" x14ac:dyDescent="0.2">
      <c r="A335" t="s">
        <v>58</v>
      </c>
      <c r="B335" t="s">
        <v>27</v>
      </c>
      <c r="C335" s="6" t="s">
        <v>20</v>
      </c>
      <c r="D335" t="s">
        <v>23</v>
      </c>
      <c r="E335">
        <v>5.8000000000000003E-2</v>
      </c>
      <c r="F335" s="7">
        <v>2</v>
      </c>
      <c r="G335" s="18" t="s">
        <v>22</v>
      </c>
      <c r="H335" s="18" t="s">
        <v>21</v>
      </c>
      <c r="I335" s="2">
        <v>2648</v>
      </c>
      <c r="J335" s="2">
        <f>I335-'Controls-Split'!$D$12</f>
        <v>1444</v>
      </c>
      <c r="K335" s="1">
        <f>J335/'Controls-Split'!$C$12</f>
        <v>2.7650652011565784E-2</v>
      </c>
      <c r="L335" s="1" t="str">
        <f>IF(K335&gt;'Controls-Split'!$I$12,"Pos","Neg")</f>
        <v>Neg</v>
      </c>
      <c r="M335" s="17">
        <v>9</v>
      </c>
      <c r="N335" s="23" t="s">
        <v>24</v>
      </c>
      <c r="O335" s="23" t="s">
        <v>23</v>
      </c>
      <c r="P335">
        <v>7478</v>
      </c>
      <c r="Q335" s="19">
        <f>P335/'Controls-Split'!$D$31</f>
        <v>2.7727104189840563</v>
      </c>
      <c r="R335" s="1" t="str">
        <f>IF(Q335&gt;'Controls-Split'!$J$31,"Pos","Neg")</f>
        <v>Pos</v>
      </c>
      <c r="S335">
        <v>8</v>
      </c>
    </row>
    <row r="336" spans="1:19" x14ac:dyDescent="0.2">
      <c r="A336" t="s">
        <v>58</v>
      </c>
      <c r="B336" t="s">
        <v>112</v>
      </c>
      <c r="C336" s="6" t="s">
        <v>20</v>
      </c>
      <c r="D336" t="s">
        <v>23</v>
      </c>
      <c r="E336">
        <v>6.7000000000000004E-2</v>
      </c>
      <c r="F336" s="7">
        <v>2</v>
      </c>
      <c r="G336" s="18" t="s">
        <v>22</v>
      </c>
      <c r="H336" s="18" t="s">
        <v>21</v>
      </c>
      <c r="I336" s="2">
        <v>2168</v>
      </c>
      <c r="J336" s="2">
        <f>I336-'Controls-Split'!$D$12</f>
        <v>964</v>
      </c>
      <c r="K336" s="1">
        <f>J336/'Controls-Split'!$C$12</f>
        <v>1.8459299542347242E-2</v>
      </c>
      <c r="L336" s="1" t="str">
        <f>IF(K336&gt;'Controls-Split'!$I$12,"Pos","Neg")</f>
        <v>Neg</v>
      </c>
      <c r="M336" s="17">
        <v>9</v>
      </c>
      <c r="N336" s="23" t="s">
        <v>24</v>
      </c>
      <c r="O336" s="23" t="s">
        <v>23</v>
      </c>
      <c r="P336">
        <v>2506</v>
      </c>
      <c r="Q336" s="19">
        <f>P336/'Controls-Split'!$D$31</f>
        <v>0.92918057100482021</v>
      </c>
      <c r="R336" s="1" t="str">
        <f>IF(Q336&gt;'Controls-Split'!$J$31,"Pos","Neg")</f>
        <v>Neg</v>
      </c>
      <c r="S336">
        <v>8</v>
      </c>
    </row>
    <row r="337" spans="1:19" x14ac:dyDescent="0.2">
      <c r="A337" t="s">
        <v>58</v>
      </c>
      <c r="B337" t="s">
        <v>127</v>
      </c>
      <c r="C337" s="6" t="s">
        <v>20</v>
      </c>
      <c r="D337" t="s">
        <v>23</v>
      </c>
      <c r="E337">
        <v>3.7999999999999999E-2</v>
      </c>
      <c r="F337" s="7">
        <v>2</v>
      </c>
      <c r="G337" s="18" t="s">
        <v>22</v>
      </c>
      <c r="H337" s="18" t="s">
        <v>21</v>
      </c>
      <c r="I337" s="2">
        <v>5285</v>
      </c>
      <c r="J337" s="2">
        <f>I337-'Controls-Split'!$D$12</f>
        <v>4081</v>
      </c>
      <c r="K337" s="1">
        <f>J337/'Controls-Split'!$C$12</f>
        <v>7.8145644639335154E-2</v>
      </c>
      <c r="L337" s="1" t="str">
        <f>IF(K337&gt;'Controls-Split'!$I$12,"Pos","Neg")</f>
        <v>Pos</v>
      </c>
      <c r="M337" s="17">
        <v>9</v>
      </c>
      <c r="N337" s="23" t="s">
        <v>24</v>
      </c>
      <c r="O337" s="23" t="s">
        <v>23</v>
      </c>
      <c r="P337">
        <v>2430</v>
      </c>
      <c r="Q337" s="19">
        <f>P337/'Controls-Split'!$D$31</f>
        <v>0.90100111234705227</v>
      </c>
      <c r="R337" s="1" t="str">
        <f>IF(Q337&gt;'Controls-Split'!$J$31,"Pos","Neg")</f>
        <v>Neg</v>
      </c>
      <c r="S337">
        <v>8</v>
      </c>
    </row>
    <row r="338" spans="1:19" x14ac:dyDescent="0.2">
      <c r="A338" t="s">
        <v>58</v>
      </c>
      <c r="B338" t="s">
        <v>60</v>
      </c>
      <c r="C338" s="6" t="s">
        <v>20</v>
      </c>
      <c r="D338" t="s">
        <v>23</v>
      </c>
      <c r="E338">
        <v>8.2000000000000003E-2</v>
      </c>
      <c r="F338" s="7">
        <v>2</v>
      </c>
      <c r="G338" s="18" t="s">
        <v>22</v>
      </c>
      <c r="H338" s="1" t="s">
        <v>21</v>
      </c>
      <c r="I338" s="2">
        <v>5821</v>
      </c>
      <c r="J338" s="2">
        <f>I338-'Controls-Split'!$D$12</f>
        <v>4617</v>
      </c>
      <c r="K338" s="1">
        <f>J338/'Controls-Split'!$C$12</f>
        <v>8.8409321563295867E-2</v>
      </c>
      <c r="L338" s="1" t="str">
        <f>IF(K338&gt;'Controls-Split'!$I$12,"Pos","Neg")</f>
        <v>Pos</v>
      </c>
      <c r="M338" s="17">
        <v>9</v>
      </c>
      <c r="N338" s="23" t="s">
        <v>24</v>
      </c>
      <c r="O338" s="23" t="s">
        <v>23</v>
      </c>
      <c r="P338">
        <v>1551</v>
      </c>
      <c r="Q338" s="19">
        <f>P338/'Controls-Split'!$D$31</f>
        <v>0.57508342602892104</v>
      </c>
      <c r="R338" s="1" t="str">
        <f>IF(Q338&gt;'Controls-Split'!$J$31,"Pos","Neg")</f>
        <v>Neg</v>
      </c>
      <c r="S338">
        <v>8</v>
      </c>
    </row>
    <row r="339" spans="1:19" x14ac:dyDescent="0.2">
      <c r="A339" t="s">
        <v>111</v>
      </c>
      <c r="B339" t="s">
        <v>74</v>
      </c>
      <c r="C339" s="6" t="s">
        <v>23</v>
      </c>
      <c r="D339" t="s">
        <v>26</v>
      </c>
      <c r="E339">
        <v>6.3E-2</v>
      </c>
      <c r="F339" s="7">
        <v>2</v>
      </c>
      <c r="G339" s="18" t="s">
        <v>21</v>
      </c>
      <c r="H339" s="18" t="s">
        <v>22</v>
      </c>
      <c r="I339" s="2">
        <v>1343</v>
      </c>
      <c r="J339" s="2">
        <f>I339-'Controls-Split'!$D$12</f>
        <v>139</v>
      </c>
      <c r="K339" s="1">
        <f>J339/'Controls-Split'!$C$12</f>
        <v>2.66166248587787E-3</v>
      </c>
      <c r="L339" s="1" t="str">
        <f>IF(K339&gt;'Controls-Split'!$I$12,"Pos","Neg")</f>
        <v>Neg</v>
      </c>
      <c r="M339" s="17">
        <v>9</v>
      </c>
      <c r="N339" t="s">
        <v>23</v>
      </c>
      <c r="O339" t="s">
        <v>24</v>
      </c>
      <c r="P339">
        <v>2963</v>
      </c>
      <c r="Q339" s="19">
        <f>P339/'Controls-Split'!$D$27</f>
        <v>1.4418491484184914</v>
      </c>
      <c r="R339" s="1" t="str">
        <f>IF(Q339&gt;'Controls-Split'!$J$27,"Pos","Neg")</f>
        <v>Neg</v>
      </c>
      <c r="S339">
        <v>4</v>
      </c>
    </row>
    <row r="340" spans="1:19" x14ac:dyDescent="0.2">
      <c r="A340" t="s">
        <v>125</v>
      </c>
      <c r="B340" t="s">
        <v>61</v>
      </c>
      <c r="C340" s="6" t="s">
        <v>23</v>
      </c>
      <c r="D340" t="s">
        <v>20</v>
      </c>
      <c r="E340">
        <v>2.7E-2</v>
      </c>
      <c r="F340" s="7">
        <v>2</v>
      </c>
      <c r="G340" s="1" t="s">
        <v>21</v>
      </c>
      <c r="H340" s="18" t="s">
        <v>22</v>
      </c>
      <c r="I340" s="2">
        <v>1265</v>
      </c>
      <c r="J340" s="2">
        <f>I340-'Controls-Split'!$D$12</f>
        <v>61</v>
      </c>
      <c r="K340" s="1">
        <f>J340/'Controls-Split'!$C$12</f>
        <v>1.1680677096298567E-3</v>
      </c>
      <c r="L340" s="1" t="str">
        <f>IF(K340&gt;'Controls-Split'!$I$12,"Pos","Neg")</f>
        <v>Neg</v>
      </c>
      <c r="M340" s="17">
        <v>9</v>
      </c>
      <c r="N340" t="s">
        <v>23</v>
      </c>
      <c r="O340" t="s">
        <v>24</v>
      </c>
      <c r="P340">
        <v>1169</v>
      </c>
      <c r="Q340" s="19">
        <f>P340/'Controls-Split'!$D$32</f>
        <v>0.47080144985904149</v>
      </c>
      <c r="R340" s="1" t="str">
        <f>IF(Q340&gt;'Controls-Split'!$J$32,"Pos","Neg")</f>
        <v>Neg</v>
      </c>
      <c r="S340">
        <v>9</v>
      </c>
    </row>
    <row r="341" spans="1:19" x14ac:dyDescent="0.2">
      <c r="A341" t="s">
        <v>109</v>
      </c>
      <c r="B341" t="s">
        <v>69</v>
      </c>
      <c r="C341" s="6" t="s">
        <v>20</v>
      </c>
      <c r="D341" t="s">
        <v>19</v>
      </c>
      <c r="E341">
        <v>3.2000000000000001E-2</v>
      </c>
      <c r="F341" s="7">
        <v>2</v>
      </c>
      <c r="G341" s="18" t="s">
        <v>22</v>
      </c>
      <c r="H341" s="18" t="s">
        <v>21</v>
      </c>
      <c r="I341" s="2">
        <v>11120</v>
      </c>
      <c r="J341" s="2">
        <f>I341-'Controls-Split'!$D$12</f>
        <v>9916</v>
      </c>
      <c r="K341" s="1">
        <f>J341/'Controls-Split'!$C$12</f>
        <v>0.18987802309327309</v>
      </c>
      <c r="L341" s="1" t="str">
        <f>IF(K341&gt;'Controls-Split'!$I$12,"Pos","Neg")</f>
        <v>Pos</v>
      </c>
      <c r="M341" s="17">
        <v>9</v>
      </c>
      <c r="N341" t="s">
        <v>24</v>
      </c>
      <c r="O341" t="s">
        <v>23</v>
      </c>
      <c r="P341">
        <v>1063</v>
      </c>
      <c r="Q341" s="19">
        <f>P341/'Controls-Split'!$D$34</f>
        <v>0.81455938697318009</v>
      </c>
      <c r="R341" s="1" t="str">
        <f>IF(Q341&gt;'Controls-Split'!$J$34,"Pos","Neg")</f>
        <v>Neg</v>
      </c>
      <c r="S341">
        <v>11</v>
      </c>
    </row>
    <row r="342" spans="1:19" x14ac:dyDescent="0.2">
      <c r="A342" t="s">
        <v>109</v>
      </c>
      <c r="B342" t="s">
        <v>74</v>
      </c>
      <c r="C342" s="6" t="s">
        <v>20</v>
      </c>
      <c r="D342" t="s">
        <v>23</v>
      </c>
      <c r="E342">
        <v>3.3000000000000002E-2</v>
      </c>
      <c r="F342" s="7">
        <v>2</v>
      </c>
      <c r="G342" s="1" t="s">
        <v>22</v>
      </c>
      <c r="H342" s="1" t="s">
        <v>21</v>
      </c>
      <c r="I342" s="2">
        <v>5283</v>
      </c>
      <c r="J342" s="2">
        <f>I342-'Controls-Split'!$D$12</f>
        <v>4079</v>
      </c>
      <c r="K342" s="1">
        <f>J342/'Controls-Split'!$C$12</f>
        <v>7.8107347337380076E-2</v>
      </c>
      <c r="L342" s="1" t="str">
        <f>IF(K342&gt;'Controls-Split'!$I$12,"Pos","Neg")</f>
        <v>Pos</v>
      </c>
      <c r="M342" s="17">
        <v>9</v>
      </c>
      <c r="N342" t="s">
        <v>24</v>
      </c>
      <c r="O342" t="s">
        <v>23</v>
      </c>
      <c r="P342">
        <v>758</v>
      </c>
      <c r="Q342" s="19">
        <f>P342/'Controls-Split'!$D$34</f>
        <v>0.58084291187739467</v>
      </c>
      <c r="R342" s="1" t="str">
        <f>IF(Q342&gt;'Controls-Split'!$J$34,"Pos","Neg")</f>
        <v>Neg</v>
      </c>
      <c r="S342">
        <v>11</v>
      </c>
    </row>
    <row r="343" spans="1:19" x14ac:dyDescent="0.2">
      <c r="A343" t="s">
        <v>109</v>
      </c>
      <c r="B343" t="s">
        <v>25</v>
      </c>
      <c r="C343" s="6" t="s">
        <v>20</v>
      </c>
      <c r="D343" t="s">
        <v>23</v>
      </c>
      <c r="E343">
        <v>0.03</v>
      </c>
      <c r="F343" s="7">
        <v>2</v>
      </c>
      <c r="G343" s="18" t="s">
        <v>22</v>
      </c>
      <c r="H343" s="18" t="s">
        <v>21</v>
      </c>
      <c r="I343" s="2">
        <v>2333</v>
      </c>
      <c r="J343" s="2">
        <f>I343-'Controls-Split'!$D$12</f>
        <v>1129</v>
      </c>
      <c r="K343" s="1">
        <f>J343/'Controls-Split'!$C$12</f>
        <v>2.1618826953641115E-2</v>
      </c>
      <c r="L343" s="1" t="str">
        <f>IF(K343&gt;'Controls-Split'!$I$12,"Pos","Neg")</f>
        <v>Neg</v>
      </c>
      <c r="M343" s="17">
        <v>9</v>
      </c>
      <c r="N343" s="23" t="s">
        <v>24</v>
      </c>
      <c r="O343" s="23" t="s">
        <v>23</v>
      </c>
      <c r="P343" s="23">
        <v>868</v>
      </c>
      <c r="Q343" s="26">
        <v>0.75</v>
      </c>
      <c r="R343" s="18" t="s">
        <v>71</v>
      </c>
      <c r="S343" s="23">
        <v>11</v>
      </c>
    </row>
    <row r="344" spans="1:19" x14ac:dyDescent="0.2">
      <c r="A344" t="s">
        <v>109</v>
      </c>
      <c r="B344" t="s">
        <v>56</v>
      </c>
      <c r="C344" s="6" t="s">
        <v>20</v>
      </c>
      <c r="D344" t="s">
        <v>19</v>
      </c>
      <c r="E344">
        <v>0.03</v>
      </c>
      <c r="F344" s="7">
        <v>1</v>
      </c>
      <c r="G344" s="18" t="s">
        <v>22</v>
      </c>
      <c r="H344" s="18" t="s">
        <v>21</v>
      </c>
      <c r="I344" s="2">
        <v>4939</v>
      </c>
      <c r="J344" s="2">
        <f>I344-'Controls-Split'!$D$12</f>
        <v>3735</v>
      </c>
      <c r="K344" s="1">
        <f>J344/'Controls-Split'!$C$12</f>
        <v>7.1520211401106787E-2</v>
      </c>
      <c r="L344" s="1" t="str">
        <f>IF(K344&gt;'Controls-Split'!$I$12,"Pos","Neg")</f>
        <v>Pos</v>
      </c>
      <c r="M344" s="17">
        <v>9</v>
      </c>
      <c r="N344" t="s">
        <v>24</v>
      </c>
      <c r="O344" t="s">
        <v>23</v>
      </c>
      <c r="P344">
        <v>1042</v>
      </c>
      <c r="Q344" s="19">
        <f>P344/'Controls-Split'!$D$34</f>
        <v>0.79846743295019162</v>
      </c>
      <c r="R344" s="1" t="str">
        <f>IF(Q344&gt;'Controls-Split'!$J$34,"Pos","Neg")</f>
        <v>Neg</v>
      </c>
      <c r="S344">
        <v>11</v>
      </c>
    </row>
    <row r="345" spans="1:19" x14ac:dyDescent="0.2">
      <c r="A345" t="s">
        <v>29</v>
      </c>
      <c r="B345" t="s">
        <v>61</v>
      </c>
      <c r="C345" s="6" t="s">
        <v>20</v>
      </c>
      <c r="D345" t="s">
        <v>19</v>
      </c>
      <c r="E345">
        <v>4.4999999999999998E-2</v>
      </c>
      <c r="F345" s="7">
        <v>2</v>
      </c>
      <c r="G345" s="18" t="s">
        <v>22</v>
      </c>
      <c r="H345" s="18" t="s">
        <v>21</v>
      </c>
      <c r="I345" s="2">
        <v>4533</v>
      </c>
      <c r="J345" s="2">
        <f>I345-'Controls-Split'!$D$12</f>
        <v>3329</v>
      </c>
      <c r="K345" s="1">
        <f>J345/'Controls-Split'!$C$12</f>
        <v>6.3745859104226102E-2</v>
      </c>
      <c r="L345" s="1" t="str">
        <f>IF(K345&gt;'Controls-Split'!$I$12,"Pos","Neg")</f>
        <v>Pos</v>
      </c>
      <c r="M345" s="17">
        <v>9</v>
      </c>
      <c r="N345" t="s">
        <v>24</v>
      </c>
      <c r="O345" t="s">
        <v>23</v>
      </c>
      <c r="P345">
        <v>1204</v>
      </c>
      <c r="Q345" s="19">
        <f>P345/'Controls-Split'!$D$35</f>
        <v>0.8252227553118574</v>
      </c>
      <c r="R345" s="1" t="str">
        <f>IF(Q345&gt;'Controls-Split'!$J$35,"Pos","Neg")</f>
        <v>Neg</v>
      </c>
      <c r="S345">
        <v>12</v>
      </c>
    </row>
    <row r="346" spans="1:19" x14ac:dyDescent="0.2">
      <c r="A346" t="s">
        <v>29</v>
      </c>
      <c r="B346" t="s">
        <v>96</v>
      </c>
      <c r="C346" s="6" t="s">
        <v>20</v>
      </c>
      <c r="D346" t="s">
        <v>23</v>
      </c>
      <c r="E346">
        <v>4.4999999999999998E-2</v>
      </c>
      <c r="F346" s="7">
        <v>2</v>
      </c>
      <c r="G346" s="18" t="s">
        <v>22</v>
      </c>
      <c r="H346" s="18" t="s">
        <v>21</v>
      </c>
      <c r="I346" s="2">
        <v>1376</v>
      </c>
      <c r="J346" s="2">
        <f>I346-'Controls-Split'!$D$12</f>
        <v>172</v>
      </c>
      <c r="K346" s="1">
        <f>J346/'Controls-Split'!$C$12</f>
        <v>3.2935679681366449E-3</v>
      </c>
      <c r="L346" s="1" t="str">
        <f>IF(K346&gt;'Controls-Split'!$I$12,"Pos","Neg")</f>
        <v>Neg</v>
      </c>
      <c r="M346" s="17">
        <v>9</v>
      </c>
      <c r="N346" t="s">
        <v>24</v>
      </c>
      <c r="O346" t="s">
        <v>23</v>
      </c>
      <c r="P346">
        <v>1640</v>
      </c>
      <c r="Q346" s="19">
        <f>P346/'Controls-Split'!$D$33</f>
        <v>0.63763608087091761</v>
      </c>
      <c r="R346" s="1" t="str">
        <f>IF(Q346&gt;'Controls-Split'!$J$33,"Pos","Neg")</f>
        <v>Neg</v>
      </c>
      <c r="S346">
        <v>10</v>
      </c>
    </row>
    <row r="347" spans="1:19" x14ac:dyDescent="0.2">
      <c r="A347" t="s">
        <v>79</v>
      </c>
      <c r="B347" t="s">
        <v>110</v>
      </c>
      <c r="C347" s="6" t="s">
        <v>20</v>
      </c>
      <c r="D347" t="s">
        <v>19</v>
      </c>
      <c r="E347">
        <v>2.9000000000000001E-2</v>
      </c>
      <c r="F347" s="7">
        <v>2</v>
      </c>
      <c r="G347" s="18" t="s">
        <v>21</v>
      </c>
      <c r="H347" s="18" t="s">
        <v>22</v>
      </c>
      <c r="I347" s="2">
        <v>1275</v>
      </c>
      <c r="J347" s="2">
        <f>I347-'Controls-Split'!$D$12</f>
        <v>71</v>
      </c>
      <c r="K347" s="1">
        <f>J347/'Controls-Split'!$C$12</f>
        <v>1.3595542194052429E-3</v>
      </c>
      <c r="L347" s="1" t="str">
        <f>IF(K347&gt;'Controls-Split'!$I$12,"Pos","Neg")</f>
        <v>Neg</v>
      </c>
      <c r="M347" s="17">
        <v>9</v>
      </c>
      <c r="N347" t="s">
        <v>24</v>
      </c>
      <c r="O347" t="s">
        <v>23</v>
      </c>
      <c r="P347">
        <v>2983</v>
      </c>
      <c r="Q347" s="19">
        <f>P347/'Controls-Split'!$D$35</f>
        <v>2.0445510623714873</v>
      </c>
      <c r="R347" s="1" t="str">
        <f>IF(Q347&gt;'Controls-Split'!$J$35,"Pos","Neg")</f>
        <v>Neg</v>
      </c>
      <c r="S347">
        <v>12</v>
      </c>
    </row>
    <row r="348" spans="1:19" x14ac:dyDescent="0.2">
      <c r="A348" t="s">
        <v>82</v>
      </c>
      <c r="B348" t="s">
        <v>81</v>
      </c>
      <c r="C348" s="6" t="s">
        <v>23</v>
      </c>
      <c r="D348" t="s">
        <v>20</v>
      </c>
      <c r="E348">
        <v>2.7E-2</v>
      </c>
      <c r="F348" s="7">
        <v>1</v>
      </c>
      <c r="G348" s="18" t="s">
        <v>21</v>
      </c>
      <c r="H348" s="18" t="s">
        <v>22</v>
      </c>
      <c r="I348" s="2">
        <v>1224</v>
      </c>
      <c r="J348" s="2">
        <f>I348-'Controls-Split'!$D$12</f>
        <v>20</v>
      </c>
      <c r="K348" s="1">
        <f>J348/'Controls-Split'!$C$12</f>
        <v>3.8297301955077267E-4</v>
      </c>
      <c r="L348" s="1" t="str">
        <f>IF(K348&gt;'Controls-Split'!$I$12,"Pos","Neg")</f>
        <v>Neg</v>
      </c>
      <c r="M348" s="17">
        <v>9</v>
      </c>
      <c r="N348" t="s">
        <v>23</v>
      </c>
      <c r="O348" t="s">
        <v>24</v>
      </c>
      <c r="P348">
        <v>1130</v>
      </c>
      <c r="Q348" s="19">
        <f>P348/'Controls-Split'!$D$30</f>
        <v>0.8705701078582434</v>
      </c>
      <c r="R348" s="1" t="str">
        <f>IF(Q348&gt;'Controls-Split'!$J$30,"Pos","Neg")</f>
        <v>Neg</v>
      </c>
      <c r="S348">
        <v>7</v>
      </c>
    </row>
    <row r="349" spans="1:19" x14ac:dyDescent="0.2">
      <c r="A349" t="s">
        <v>64</v>
      </c>
      <c r="B349" t="s">
        <v>64</v>
      </c>
      <c r="C349" s="6" t="s">
        <v>23</v>
      </c>
      <c r="D349" t="s">
        <v>20</v>
      </c>
      <c r="E349">
        <v>0.03</v>
      </c>
      <c r="F349" s="7">
        <v>2</v>
      </c>
      <c r="G349" s="18" t="s">
        <v>21</v>
      </c>
      <c r="H349" s="18" t="s">
        <v>22</v>
      </c>
      <c r="I349" s="2">
        <v>1241</v>
      </c>
      <c r="J349" s="2">
        <f>I349-'Controls-Split'!$D$12</f>
        <v>37</v>
      </c>
      <c r="K349" s="1">
        <f>J349/'Controls-Split'!$C$12</f>
        <v>7.0850008616892945E-4</v>
      </c>
      <c r="L349" s="1" t="str">
        <f>IF(K349&gt;'Controls-Split'!$I$12,"Pos","Neg")</f>
        <v>Neg</v>
      </c>
      <c r="M349" s="17">
        <v>9</v>
      </c>
      <c r="N349" s="23" t="s">
        <v>23</v>
      </c>
      <c r="O349" s="23" t="s">
        <v>24</v>
      </c>
      <c r="P349" s="23">
        <v>1736</v>
      </c>
      <c r="Q349" s="19">
        <f>P349/'Controls-Split'!$D$26</f>
        <v>0.89623128549303044</v>
      </c>
      <c r="R349" s="1" t="str">
        <f>IF(Q349&gt;'Controls-Split'!$J$26,"Pos","Neg")</f>
        <v>Neg</v>
      </c>
      <c r="S349" s="23">
        <v>3</v>
      </c>
    </row>
    <row r="350" spans="1:19" x14ac:dyDescent="0.2">
      <c r="A350" t="s">
        <v>39</v>
      </c>
      <c r="B350" t="s">
        <v>83</v>
      </c>
      <c r="C350" s="6" t="s">
        <v>20</v>
      </c>
      <c r="D350" t="s">
        <v>23</v>
      </c>
      <c r="E350">
        <v>3.3000000000000002E-2</v>
      </c>
      <c r="F350" s="7">
        <v>2</v>
      </c>
      <c r="G350" s="1" t="s">
        <v>22</v>
      </c>
      <c r="H350" s="1" t="s">
        <v>21</v>
      </c>
      <c r="I350" s="2">
        <v>1688</v>
      </c>
      <c r="J350" s="2">
        <f>I350-'Controls-Split'!$D$13</f>
        <v>688</v>
      </c>
      <c r="K350" s="1">
        <f>J350/'Controls-Split'!$C$13</f>
        <v>1.1251574075588336E-2</v>
      </c>
      <c r="L350" s="1" t="str">
        <f>IF(K350&gt;'Controls-Split'!$I$13,"Pos","Neg")</f>
        <v>Neg</v>
      </c>
      <c r="M350" s="17">
        <v>10</v>
      </c>
      <c r="N350" s="23" t="s">
        <v>24</v>
      </c>
      <c r="O350" s="23" t="s">
        <v>23</v>
      </c>
      <c r="P350" s="23">
        <v>4016</v>
      </c>
      <c r="Q350" s="19">
        <f>P350/'Controls-Split'!$D$34</f>
        <v>3.0773946360153257</v>
      </c>
      <c r="R350" s="1" t="str">
        <f>IF(Q350&gt;'Controls-Split'!$J$34,"Pos","Neg")</f>
        <v>Pos</v>
      </c>
      <c r="S350">
        <v>11</v>
      </c>
    </row>
    <row r="351" spans="1:19" x14ac:dyDescent="0.2">
      <c r="A351" t="s">
        <v>39</v>
      </c>
      <c r="B351" t="s">
        <v>64</v>
      </c>
      <c r="C351" s="6" t="s">
        <v>26</v>
      </c>
      <c r="D351" t="s">
        <v>19</v>
      </c>
      <c r="E351">
        <v>3.3000000000000002E-2</v>
      </c>
      <c r="F351" s="7">
        <v>1</v>
      </c>
      <c r="G351" s="1" t="s">
        <v>22</v>
      </c>
      <c r="H351" s="1" t="s">
        <v>21</v>
      </c>
      <c r="I351" s="2">
        <v>1685</v>
      </c>
      <c r="J351" s="2">
        <f>I351-'Controls-Split'!$D$13</f>
        <v>685</v>
      </c>
      <c r="K351" s="1">
        <f>J351/'Controls-Split'!$C$13</f>
        <v>1.1202511979328504E-2</v>
      </c>
      <c r="L351" s="1" t="str">
        <f>IF(K351&gt;'Controls-Split'!$I$13,"Pos","Neg")</f>
        <v>Neg</v>
      </c>
      <c r="M351" s="17">
        <v>10</v>
      </c>
    </row>
    <row r="352" spans="1:19" x14ac:dyDescent="0.2">
      <c r="A352" t="s">
        <v>43</v>
      </c>
      <c r="B352" t="s">
        <v>117</v>
      </c>
      <c r="C352" s="6" t="s">
        <v>19</v>
      </c>
      <c r="D352" t="s">
        <v>26</v>
      </c>
      <c r="E352">
        <v>3.2000000000000001E-2</v>
      </c>
      <c r="F352" s="7">
        <v>1</v>
      </c>
      <c r="G352" s="1" t="s">
        <v>21</v>
      </c>
      <c r="H352" s="1" t="s">
        <v>22</v>
      </c>
      <c r="I352" s="2">
        <v>1286</v>
      </c>
      <c r="J352" s="2">
        <f>I352-'Controls-Split'!$D$13</f>
        <v>286</v>
      </c>
      <c r="K352" s="1">
        <f>J352/'Controls-Split'!$C$13</f>
        <v>4.6772531767707327E-3</v>
      </c>
      <c r="L352" s="1" t="str">
        <f>IF(K352&gt;'Controls-Split'!$I$13,"Pos","Neg")</f>
        <v>Neg</v>
      </c>
      <c r="M352" s="17">
        <v>10</v>
      </c>
      <c r="N352" s="23" t="s">
        <v>23</v>
      </c>
      <c r="O352" s="23" t="s">
        <v>24</v>
      </c>
      <c r="P352" s="23">
        <v>2082</v>
      </c>
      <c r="Q352" s="26">
        <v>1.55</v>
      </c>
      <c r="R352" s="18" t="s">
        <v>71</v>
      </c>
      <c r="S352" s="23">
        <v>9</v>
      </c>
    </row>
    <row r="353" spans="1:19" x14ac:dyDescent="0.2">
      <c r="A353" t="s">
        <v>51</v>
      </c>
      <c r="B353" t="s">
        <v>98</v>
      </c>
      <c r="C353" s="6" t="s">
        <v>20</v>
      </c>
      <c r="D353" t="s">
        <v>23</v>
      </c>
      <c r="E353">
        <v>3.3000000000000002E-2</v>
      </c>
      <c r="F353" s="7">
        <v>2</v>
      </c>
      <c r="G353" s="1" t="s">
        <v>22</v>
      </c>
      <c r="H353" s="1" t="s">
        <v>21</v>
      </c>
      <c r="I353" s="2">
        <v>2168</v>
      </c>
      <c r="J353" s="2">
        <f>I353-'Controls-Split'!$D$13</f>
        <v>1168</v>
      </c>
      <c r="K353" s="1">
        <f>J353/'Controls-Split'!$C$13</f>
        <v>1.9101509477161594E-2</v>
      </c>
      <c r="L353" s="1" t="str">
        <f>IF(K353&gt;'Controls-Split'!$I$13,"Pos","Neg")</f>
        <v>Neg</v>
      </c>
      <c r="M353" s="17">
        <v>10</v>
      </c>
      <c r="N353" t="s">
        <v>24</v>
      </c>
      <c r="O353" t="s">
        <v>23</v>
      </c>
      <c r="P353">
        <v>690</v>
      </c>
      <c r="Q353" s="19">
        <f>P353/'Controls-Split'!$D$30</f>
        <v>0.53158705701078579</v>
      </c>
      <c r="R353" s="1" t="str">
        <f>IF(Q353&gt;'Controls-Split'!$J$30,"Pos","Neg")</f>
        <v>Neg</v>
      </c>
      <c r="S353">
        <v>7</v>
      </c>
    </row>
    <row r="354" spans="1:19" x14ac:dyDescent="0.2">
      <c r="A354" t="s">
        <v>69</v>
      </c>
      <c r="B354" t="s">
        <v>69</v>
      </c>
      <c r="C354" s="6" t="s">
        <v>19</v>
      </c>
      <c r="D354" t="s">
        <v>26</v>
      </c>
      <c r="E354">
        <v>9.7000000000000003E-2</v>
      </c>
      <c r="F354" s="7">
        <v>2</v>
      </c>
      <c r="G354" s="1" t="s">
        <v>21</v>
      </c>
      <c r="H354" s="1" t="s">
        <v>22</v>
      </c>
      <c r="I354" s="2">
        <v>5321</v>
      </c>
      <c r="J354" s="2">
        <f>I354-'Controls-Split'!$D$13</f>
        <v>4321</v>
      </c>
      <c r="K354" s="1">
        <f>J354/'Controls-Split'!$C$13</f>
        <v>7.0665772646245933E-2</v>
      </c>
      <c r="L354" s="1" t="str">
        <f>IF(K354&gt;'Controls-Split'!$I$13,"Pos","Neg")</f>
        <v>Pos</v>
      </c>
      <c r="M354" s="17">
        <v>10</v>
      </c>
      <c r="N354" s="23" t="s">
        <v>23</v>
      </c>
      <c r="O354" s="23" t="s">
        <v>24</v>
      </c>
      <c r="P354" s="23">
        <v>12783</v>
      </c>
      <c r="Q354" s="19">
        <f>P354/'Controls-Split'!$D$34</f>
        <v>9.7954022988505756</v>
      </c>
      <c r="R354" s="1" t="str">
        <f>IF(Q354&gt;'Controls-Split'!$J$34,"Pos","Neg")</f>
        <v>Pos</v>
      </c>
      <c r="S354">
        <v>11</v>
      </c>
    </row>
    <row r="355" spans="1:19" x14ac:dyDescent="0.2">
      <c r="A355" t="s">
        <v>98</v>
      </c>
      <c r="B355" t="s">
        <v>74</v>
      </c>
      <c r="C355" s="6" t="s">
        <v>20</v>
      </c>
      <c r="D355" t="s">
        <v>23</v>
      </c>
      <c r="E355">
        <v>2.9000000000000001E-2</v>
      </c>
      <c r="F355" s="7">
        <v>2</v>
      </c>
      <c r="G355" s="1" t="s">
        <v>22</v>
      </c>
      <c r="H355" s="18" t="s">
        <v>21</v>
      </c>
      <c r="I355" s="2">
        <v>1429</v>
      </c>
      <c r="J355" s="2">
        <f>I355-'Controls-Split'!$D$13</f>
        <v>429</v>
      </c>
      <c r="K355" s="1">
        <f>J355/'Controls-Split'!$C$13</f>
        <v>7.0158797651560991E-3</v>
      </c>
      <c r="L355" s="1" t="str">
        <f>IF(K355&gt;'Controls-Split'!$I$13,"Pos","Neg")</f>
        <v>Neg</v>
      </c>
      <c r="M355" s="17">
        <v>10</v>
      </c>
      <c r="N355" t="s">
        <v>24</v>
      </c>
      <c r="O355" t="s">
        <v>23</v>
      </c>
      <c r="P355">
        <v>1424</v>
      </c>
      <c r="Q355" s="19">
        <f>P355/'Controls-Split'!$D$35</f>
        <v>0.97601096641535301</v>
      </c>
      <c r="R355" s="1" t="str">
        <f>IF(Q355&gt;'Controls-Split'!$J$35,"Pos","Neg")</f>
        <v>Neg</v>
      </c>
      <c r="S355">
        <v>12</v>
      </c>
    </row>
    <row r="356" spans="1:19" x14ac:dyDescent="0.2">
      <c r="A356" t="s">
        <v>98</v>
      </c>
      <c r="B356" t="s">
        <v>98</v>
      </c>
      <c r="C356" s="6" t="s">
        <v>23</v>
      </c>
      <c r="D356" t="s">
        <v>20</v>
      </c>
      <c r="E356">
        <v>5.5E-2</v>
      </c>
      <c r="F356" s="7">
        <v>2</v>
      </c>
      <c r="G356" s="18" t="s">
        <v>21</v>
      </c>
      <c r="H356" s="1" t="s">
        <v>22</v>
      </c>
      <c r="I356" s="2">
        <v>4966</v>
      </c>
      <c r="J356" s="2">
        <f>I356-'Controls-Split'!$D$13</f>
        <v>3966</v>
      </c>
      <c r="K356" s="1">
        <f>J356/'Controls-Split'!$C$13</f>
        <v>6.4860091255499047E-2</v>
      </c>
      <c r="L356" s="1" t="str">
        <f>IF(K356&gt;'Controls-Split'!$I$13,"Pos","Neg")</f>
        <v>Pos</v>
      </c>
      <c r="M356" s="17">
        <v>10</v>
      </c>
      <c r="N356" t="s">
        <v>23</v>
      </c>
      <c r="O356" t="s">
        <v>24</v>
      </c>
      <c r="P356">
        <v>1147</v>
      </c>
      <c r="Q356" s="19">
        <f>P356/'Controls-Split'!$D$35</f>
        <v>0.78615490061686089</v>
      </c>
      <c r="R356" s="1" t="str">
        <f>IF(Q356&gt;'Controls-Split'!$J$35,"Pos","Neg")</f>
        <v>Neg</v>
      </c>
      <c r="S356">
        <v>12</v>
      </c>
    </row>
    <row r="357" spans="1:19" x14ac:dyDescent="0.2">
      <c r="A357" t="s">
        <v>98</v>
      </c>
      <c r="B357" t="s">
        <v>41</v>
      </c>
      <c r="C357" s="6" t="s">
        <v>23</v>
      </c>
      <c r="D357" t="s">
        <v>20</v>
      </c>
      <c r="E357">
        <v>3.1E-2</v>
      </c>
      <c r="F357" s="7">
        <v>1</v>
      </c>
      <c r="G357" s="18" t="s">
        <v>21</v>
      </c>
      <c r="H357" s="1" t="s">
        <v>22</v>
      </c>
      <c r="I357" s="2">
        <v>11134</v>
      </c>
      <c r="J357" s="2">
        <f>I357-'Controls-Split'!$D$13</f>
        <v>10134</v>
      </c>
      <c r="K357" s="1">
        <f>J357/'Controls-Split'!$C$13</f>
        <v>0.16573176116571542</v>
      </c>
      <c r="L357" s="1" t="str">
        <f>IF(K357&gt;'Controls-Split'!$I$13,"Pos","Neg")</f>
        <v>Pos</v>
      </c>
      <c r="M357" s="17">
        <v>10</v>
      </c>
      <c r="N357" t="s">
        <v>23</v>
      </c>
      <c r="O357" t="s">
        <v>24</v>
      </c>
      <c r="P357">
        <v>2239</v>
      </c>
      <c r="Q357" s="19">
        <f>P357/'Controls-Split'!$D$26</f>
        <v>1.1559112028910687</v>
      </c>
      <c r="R357" s="1" t="str">
        <f>IF(Q357&gt;'Controls-Split'!$J$26,"Pos","Neg")</f>
        <v>Neg</v>
      </c>
      <c r="S357">
        <v>3</v>
      </c>
    </row>
    <row r="358" spans="1:19" x14ac:dyDescent="0.2">
      <c r="A358" t="s">
        <v>32</v>
      </c>
      <c r="B358" t="s">
        <v>18</v>
      </c>
      <c r="C358" s="6" t="s">
        <v>20</v>
      </c>
      <c r="D358" t="s">
        <v>23</v>
      </c>
      <c r="E358">
        <v>2.8000000000000001E-2</v>
      </c>
      <c r="F358" s="7">
        <v>2</v>
      </c>
      <c r="G358" s="1" t="s">
        <v>22</v>
      </c>
      <c r="H358" s="18" t="s">
        <v>21</v>
      </c>
      <c r="I358" s="2">
        <v>1334</v>
      </c>
      <c r="J358" s="2">
        <f>I358-'Controls-Split'!$D$13</f>
        <v>334</v>
      </c>
      <c r="K358" s="1">
        <f>J358/'Controls-Split'!$C$13</f>
        <v>5.4622467169280582E-3</v>
      </c>
      <c r="L358" s="1" t="str">
        <f>IF(K358&gt;'Controls-Split'!$I$13,"Pos","Neg")</f>
        <v>Neg</v>
      </c>
      <c r="M358" s="17">
        <v>10</v>
      </c>
      <c r="N358" s="23" t="s">
        <v>24</v>
      </c>
      <c r="O358" s="23" t="s">
        <v>23</v>
      </c>
      <c r="P358">
        <v>1689</v>
      </c>
      <c r="Q358" s="19">
        <f>P358/'Controls-Split'!$D$29</f>
        <v>1.3698296836982968</v>
      </c>
      <c r="R358" s="1" t="str">
        <f>IF(Q358&gt;'Controls-Split'!$J$29,"Pos","Neg")</f>
        <v>Neg</v>
      </c>
      <c r="S358">
        <v>6</v>
      </c>
    </row>
    <row r="359" spans="1:19" x14ac:dyDescent="0.2">
      <c r="A359" t="s">
        <v>32</v>
      </c>
      <c r="B359" t="s">
        <v>127</v>
      </c>
      <c r="C359" s="6" t="s">
        <v>26</v>
      </c>
      <c r="D359" t="s">
        <v>23</v>
      </c>
      <c r="E359">
        <v>0.03</v>
      </c>
      <c r="F359" s="7">
        <v>2</v>
      </c>
      <c r="G359" s="1" t="s">
        <v>22</v>
      </c>
      <c r="H359" s="18" t="s">
        <v>21</v>
      </c>
      <c r="I359" s="2">
        <v>1078</v>
      </c>
      <c r="J359" s="2">
        <f>I359-'Controls-Split'!$D$13</f>
        <v>78</v>
      </c>
      <c r="K359" s="1">
        <f>J359/'Controls-Split'!$C$13</f>
        <v>1.2756145027556544E-3</v>
      </c>
      <c r="L359" s="1" t="str">
        <f>IF(K359&gt;'Controls-Split'!$I$13,"Pos","Neg")</f>
        <v>Neg</v>
      </c>
      <c r="M359" s="17">
        <v>10</v>
      </c>
      <c r="N359" s="23" t="s">
        <v>24</v>
      </c>
      <c r="O359" s="23" t="s">
        <v>23</v>
      </c>
      <c r="P359">
        <v>1170</v>
      </c>
      <c r="Q359" s="19">
        <f>P359/'Controls-Split'!$D$29</f>
        <v>0.94890510948905105</v>
      </c>
      <c r="R359" s="1" t="str">
        <f>IF(Q359&gt;'Controls-Split'!$J$29,"Pos","Neg")</f>
        <v>Neg</v>
      </c>
      <c r="S359">
        <v>6</v>
      </c>
    </row>
    <row r="360" spans="1:19" x14ac:dyDescent="0.2">
      <c r="A360" t="s">
        <v>54</v>
      </c>
      <c r="B360" t="s">
        <v>97</v>
      </c>
      <c r="C360" s="6" t="s">
        <v>20</v>
      </c>
      <c r="D360" t="s">
        <v>23</v>
      </c>
      <c r="E360">
        <v>2.7E-2</v>
      </c>
      <c r="F360" s="7">
        <v>2</v>
      </c>
      <c r="G360" s="1" t="s">
        <v>22</v>
      </c>
      <c r="H360" s="18" t="s">
        <v>21</v>
      </c>
      <c r="I360" s="2">
        <v>2291</v>
      </c>
      <c r="J360" s="2">
        <f>I360-'Controls-Split'!$D$13</f>
        <v>1291</v>
      </c>
      <c r="K360" s="1">
        <f>J360/'Controls-Split'!$C$13</f>
        <v>2.1113055423814742E-2</v>
      </c>
      <c r="L360" s="1" t="str">
        <f>IF(K360&gt;'Controls-Split'!$I$13,"Pos","Neg")</f>
        <v>Neg</v>
      </c>
      <c r="M360" s="17">
        <v>10</v>
      </c>
      <c r="N360" s="23" t="s">
        <v>24</v>
      </c>
      <c r="O360" s="23" t="s">
        <v>23</v>
      </c>
      <c r="P360" s="23">
        <v>2852</v>
      </c>
      <c r="Q360" s="19">
        <f>P360/'Controls-Split'!$D$27</f>
        <v>1.3878345498783455</v>
      </c>
      <c r="R360" s="1" t="str">
        <f>IF(Q360&gt;'Controls-Split'!$J$27,"Pos","Neg")</f>
        <v>Neg</v>
      </c>
      <c r="S360" s="23">
        <v>4</v>
      </c>
    </row>
    <row r="361" spans="1:19" x14ac:dyDescent="0.2">
      <c r="A361" t="s">
        <v>86</v>
      </c>
      <c r="B361" t="s">
        <v>115</v>
      </c>
      <c r="C361" s="6" t="s">
        <v>23</v>
      </c>
      <c r="D361" t="s">
        <v>26</v>
      </c>
      <c r="E361">
        <v>4.2000000000000003E-2</v>
      </c>
      <c r="F361" s="7">
        <v>2</v>
      </c>
      <c r="G361" s="1" t="s">
        <v>21</v>
      </c>
      <c r="H361" s="18" t="s">
        <v>22</v>
      </c>
      <c r="I361" s="2">
        <v>1301</v>
      </c>
      <c r="J361" s="2">
        <f>I361-'Controls-Split'!$D$13</f>
        <v>301</v>
      </c>
      <c r="K361" s="1">
        <f>J361/'Controls-Split'!$C$13</f>
        <v>4.9225636580698968E-3</v>
      </c>
      <c r="L361" s="1" t="str">
        <f>IF(K361&gt;'Controls-Split'!$I$13,"Pos","Neg")</f>
        <v>Neg</v>
      </c>
      <c r="M361" s="17">
        <v>10</v>
      </c>
      <c r="N361" s="23" t="s">
        <v>24</v>
      </c>
      <c r="O361" s="23" t="s">
        <v>23</v>
      </c>
      <c r="P361" s="23">
        <v>1135</v>
      </c>
      <c r="Q361" s="19">
        <f>P361/'Controls-Split'!$D$34</f>
        <v>0.86973180076628354</v>
      </c>
      <c r="R361" s="1" t="str">
        <f>IF(Q361&gt;'Controls-Split'!$J$34,"Pos","Neg")</f>
        <v>Neg</v>
      </c>
      <c r="S361">
        <v>11</v>
      </c>
    </row>
    <row r="362" spans="1:19" x14ac:dyDescent="0.2">
      <c r="A362" t="s">
        <v>86</v>
      </c>
      <c r="B362" t="s">
        <v>69</v>
      </c>
      <c r="C362" s="6" t="s">
        <v>26</v>
      </c>
      <c r="D362" t="s">
        <v>19</v>
      </c>
      <c r="E362">
        <v>3.1E-2</v>
      </c>
      <c r="F362" s="7">
        <v>1</v>
      </c>
      <c r="G362" s="18" t="s">
        <v>22</v>
      </c>
      <c r="H362" s="18" t="s">
        <v>21</v>
      </c>
      <c r="I362" s="2">
        <v>1231</v>
      </c>
      <c r="J362" s="2">
        <f>I362-'Controls-Split'!$D$13</f>
        <v>231</v>
      </c>
      <c r="K362" s="1">
        <f>J362/'Controls-Split'!$C$13</f>
        <v>3.7777814120071303E-3</v>
      </c>
      <c r="L362" s="1" t="str">
        <f>IF(K362&gt;'Controls-Split'!$I$13,"Pos","Neg")</f>
        <v>Neg</v>
      </c>
      <c r="M362" s="17">
        <v>10</v>
      </c>
      <c r="N362" t="s">
        <v>24</v>
      </c>
      <c r="O362" t="s">
        <v>23</v>
      </c>
      <c r="P362">
        <v>2236</v>
      </c>
      <c r="Q362" s="19">
        <f>P362/'Controls-Split'!$D$27</f>
        <v>1.0880778588807787</v>
      </c>
      <c r="R362" s="1" t="str">
        <f>IF(Q362&gt;'Controls-Split'!$J$27,"Pos","Neg")</f>
        <v>Neg</v>
      </c>
      <c r="S362">
        <v>4</v>
      </c>
    </row>
    <row r="363" spans="1:19" x14ac:dyDescent="0.2">
      <c r="A363" t="s">
        <v>86</v>
      </c>
      <c r="B363" t="s">
        <v>85</v>
      </c>
      <c r="C363" s="6" t="s">
        <v>23</v>
      </c>
      <c r="D363" t="s">
        <v>26</v>
      </c>
      <c r="E363">
        <v>0.03</v>
      </c>
      <c r="F363" s="7">
        <v>2</v>
      </c>
      <c r="G363" s="18" t="s">
        <v>21</v>
      </c>
      <c r="H363" s="18" t="s">
        <v>22</v>
      </c>
      <c r="I363" s="2">
        <v>1388</v>
      </c>
      <c r="J363" s="2">
        <f>I363-'Controls-Split'!$D$13</f>
        <v>388</v>
      </c>
      <c r="K363" s="1">
        <f>J363/'Controls-Split'!$C$13</f>
        <v>6.3453644496050503E-3</v>
      </c>
      <c r="L363" s="1" t="str">
        <f>IF(K363&gt;'Controls-Split'!$I$13,"Pos","Neg")</f>
        <v>Neg</v>
      </c>
      <c r="M363" s="17">
        <v>10</v>
      </c>
      <c r="N363" t="s">
        <v>23</v>
      </c>
      <c r="O363" t="s">
        <v>24</v>
      </c>
      <c r="P363">
        <v>1009</v>
      </c>
      <c r="Q363" s="19">
        <f>P363/'Controls-Split'!$D$29</f>
        <v>0.81832927818329282</v>
      </c>
      <c r="R363" s="1" t="str">
        <f>IF(Q363&gt;'Controls-Split'!$J$29,"Pos","Neg")</f>
        <v>Neg</v>
      </c>
      <c r="S363">
        <v>6</v>
      </c>
    </row>
    <row r="364" spans="1:19" x14ac:dyDescent="0.2">
      <c r="A364" t="s">
        <v>118</v>
      </c>
      <c r="B364" t="s">
        <v>118</v>
      </c>
      <c r="C364" s="6" t="s">
        <v>19</v>
      </c>
      <c r="D364" t="s">
        <v>26</v>
      </c>
      <c r="E364">
        <v>6.2E-2</v>
      </c>
      <c r="F364" s="7">
        <v>2</v>
      </c>
      <c r="G364" s="18" t="s">
        <v>21</v>
      </c>
      <c r="H364" s="18" t="s">
        <v>22</v>
      </c>
      <c r="I364" s="2">
        <v>1476</v>
      </c>
      <c r="J364" s="2">
        <f>I364-'Controls-Split'!$D$13</f>
        <v>476</v>
      </c>
      <c r="K364" s="1">
        <f>J364/'Controls-Split'!$C$13</f>
        <v>7.7845192732268137E-3</v>
      </c>
      <c r="L364" s="1" t="str">
        <f>IF(K364&gt;'Controls-Split'!$I$13,"Pos","Neg")</f>
        <v>Neg</v>
      </c>
      <c r="M364" s="17">
        <v>10</v>
      </c>
      <c r="N364" t="s">
        <v>23</v>
      </c>
      <c r="O364" t="s">
        <v>24</v>
      </c>
      <c r="P364">
        <v>4507</v>
      </c>
      <c r="Q364" s="19">
        <f>P364/'Controls-Split'!$D$27</f>
        <v>2.1931873479318735</v>
      </c>
      <c r="R364" s="1" t="str">
        <f>IF(Q364&gt;'Controls-Split'!$J$27,"Pos","Neg")</f>
        <v>Pos</v>
      </c>
      <c r="S364">
        <v>4</v>
      </c>
    </row>
    <row r="365" spans="1:19" x14ac:dyDescent="0.2">
      <c r="A365" t="s">
        <v>118</v>
      </c>
      <c r="B365" t="s">
        <v>85</v>
      </c>
      <c r="C365" s="6" t="s">
        <v>19</v>
      </c>
      <c r="D365" t="s">
        <v>20</v>
      </c>
      <c r="E365">
        <v>2.9000000000000001E-2</v>
      </c>
      <c r="F365" s="7">
        <v>1</v>
      </c>
      <c r="G365" s="18" t="s">
        <v>21</v>
      </c>
      <c r="H365" s="18" t="s">
        <v>22</v>
      </c>
      <c r="I365" s="2">
        <v>1291</v>
      </c>
      <c r="J365" s="2">
        <f>I365-'Controls-Split'!$D$13</f>
        <v>291</v>
      </c>
      <c r="K365" s="1">
        <f>J365/'Controls-Split'!$C$13</f>
        <v>4.7590233372037877E-3</v>
      </c>
      <c r="L365" s="1" t="str">
        <f>IF(K365&gt;'Controls-Split'!$I$13,"Pos","Neg")</f>
        <v>Neg</v>
      </c>
      <c r="M365" s="17">
        <v>10</v>
      </c>
      <c r="N365" t="s">
        <v>23</v>
      </c>
      <c r="O365" t="s">
        <v>24</v>
      </c>
      <c r="P365">
        <v>777</v>
      </c>
      <c r="Q365" s="19">
        <f>P365/'Controls-Split'!$D$29</f>
        <v>0.63017031630170317</v>
      </c>
      <c r="R365" s="1" t="str">
        <f>IF(Q365&gt;'Controls-Split'!$J$29,"Pos","Neg")</f>
        <v>Neg</v>
      </c>
      <c r="S365">
        <v>6</v>
      </c>
    </row>
    <row r="366" spans="1:19" x14ac:dyDescent="0.2">
      <c r="A366" t="s">
        <v>118</v>
      </c>
      <c r="B366" t="s">
        <v>91</v>
      </c>
      <c r="C366" s="6" t="s">
        <v>20</v>
      </c>
      <c r="D366" t="s">
        <v>19</v>
      </c>
      <c r="E366">
        <v>3.6999999999999998E-2</v>
      </c>
      <c r="F366" s="7">
        <v>1</v>
      </c>
      <c r="G366" s="18" t="s">
        <v>22</v>
      </c>
      <c r="H366" s="18" t="s">
        <v>21</v>
      </c>
      <c r="I366" s="2">
        <v>1394</v>
      </c>
      <c r="J366" s="2">
        <f>I366-'Controls-Split'!$D$13</f>
        <v>394</v>
      </c>
      <c r="K366" s="1">
        <f>J366/'Controls-Split'!$C$13</f>
        <v>6.4434886421247161E-3</v>
      </c>
      <c r="L366" s="1" t="str">
        <f>IF(K366&gt;'Controls-Split'!$I$13,"Pos","Neg")</f>
        <v>Neg</v>
      </c>
      <c r="M366" s="17">
        <v>10</v>
      </c>
      <c r="N366" t="s">
        <v>24</v>
      </c>
      <c r="O366" t="s">
        <v>23</v>
      </c>
      <c r="P366">
        <v>14003</v>
      </c>
      <c r="Q366" s="19">
        <f>P366/'Controls-Split'!$D$27</f>
        <v>6.8141119221411195</v>
      </c>
      <c r="R366" s="1" t="str">
        <f>IF(Q366&gt;'Controls-Split'!$J$27,"Pos","Neg")</f>
        <v>Pos</v>
      </c>
      <c r="S366">
        <v>4</v>
      </c>
    </row>
    <row r="367" spans="1:19" x14ac:dyDescent="0.2">
      <c r="A367" t="s">
        <v>57</v>
      </c>
      <c r="B367" t="s">
        <v>122</v>
      </c>
      <c r="C367" s="6" t="s">
        <v>26</v>
      </c>
      <c r="D367" t="s">
        <v>23</v>
      </c>
      <c r="E367">
        <v>0.03</v>
      </c>
      <c r="F367" s="7">
        <v>2</v>
      </c>
      <c r="G367" s="18" t="s">
        <v>22</v>
      </c>
      <c r="H367" s="18" t="s">
        <v>21</v>
      </c>
      <c r="I367" s="2">
        <v>2845</v>
      </c>
      <c r="J367" s="2">
        <f>I367-'Controls-Split'!$D$13</f>
        <v>1845</v>
      </c>
      <c r="K367" s="1">
        <f>J367/'Controls-Split'!$C$13</f>
        <v>3.017318919979721E-2</v>
      </c>
      <c r="L367" s="1" t="str">
        <f>IF(K367&gt;'Controls-Split'!$I$13,"Pos","Neg")</f>
        <v>Pos</v>
      </c>
      <c r="M367" s="17">
        <v>10</v>
      </c>
      <c r="N367" t="s">
        <v>24</v>
      </c>
      <c r="O367" t="s">
        <v>23</v>
      </c>
      <c r="P367" s="23">
        <v>1517</v>
      </c>
      <c r="Q367" s="19">
        <f>P367/'Controls-Split'!$D$28</f>
        <v>1.0140374331550801</v>
      </c>
      <c r="R367" s="1" t="str">
        <f>IF(Q367&gt;'Controls-Split'!$J$28,"Pos","Neg")</f>
        <v>Neg</v>
      </c>
      <c r="S367" s="23">
        <v>5</v>
      </c>
    </row>
    <row r="368" spans="1:19" x14ac:dyDescent="0.2">
      <c r="A368" t="s">
        <v>57</v>
      </c>
      <c r="B368" t="s">
        <v>69</v>
      </c>
      <c r="C368" s="6" t="s">
        <v>20</v>
      </c>
      <c r="D368" t="s">
        <v>19</v>
      </c>
      <c r="E368">
        <v>2.9000000000000001E-2</v>
      </c>
      <c r="F368" s="7">
        <v>2</v>
      </c>
      <c r="G368" s="18" t="s">
        <v>22</v>
      </c>
      <c r="H368" s="18" t="s">
        <v>21</v>
      </c>
      <c r="I368" s="2">
        <v>5563</v>
      </c>
      <c r="J368" s="2">
        <f>I368-'Controls-Split'!$D$13</f>
        <v>4563</v>
      </c>
      <c r="K368" s="1">
        <f>J368/'Controls-Split'!$C$13</f>
        <v>7.4623448411205787E-2</v>
      </c>
      <c r="L368" s="1" t="str">
        <f>IF(K368&gt;'Controls-Split'!$I$13,"Pos","Neg")</f>
        <v>Pos</v>
      </c>
      <c r="M368" s="17">
        <v>10</v>
      </c>
      <c r="N368" t="s">
        <v>24</v>
      </c>
      <c r="O368" t="s">
        <v>23</v>
      </c>
      <c r="P368" s="23">
        <v>2003</v>
      </c>
      <c r="Q368" s="19">
        <f>P368/'Controls-Split'!$D$28</f>
        <v>1.338903743315508</v>
      </c>
      <c r="R368" s="1" t="str">
        <f>IF(Q368&gt;'Controls-Split'!$J$28,"Pos","Neg")</f>
        <v>Neg</v>
      </c>
      <c r="S368" s="23">
        <v>5</v>
      </c>
    </row>
    <row r="369" spans="1:19" x14ac:dyDescent="0.2">
      <c r="A369" t="s">
        <v>87</v>
      </c>
      <c r="B369" t="s">
        <v>63</v>
      </c>
      <c r="C369" s="6" t="s">
        <v>26</v>
      </c>
      <c r="D369" t="s">
        <v>23</v>
      </c>
      <c r="E369">
        <v>0.03</v>
      </c>
      <c r="F369" s="7">
        <v>2</v>
      </c>
      <c r="G369" s="18" t="s">
        <v>22</v>
      </c>
      <c r="H369" s="18" t="s">
        <v>21</v>
      </c>
      <c r="I369" s="2">
        <v>1773</v>
      </c>
      <c r="J369" s="2">
        <f>I369-'Controls-Split'!$D$13</f>
        <v>773</v>
      </c>
      <c r="K369" s="1">
        <f>J369/'Controls-Split'!$C$13</f>
        <v>1.2641666802950268E-2</v>
      </c>
      <c r="L369" s="1" t="str">
        <f>IF(K369&gt;'Controls-Split'!$I$13,"Pos","Neg")</f>
        <v>Neg</v>
      </c>
      <c r="M369" s="17">
        <v>10</v>
      </c>
      <c r="N369" t="s">
        <v>24</v>
      </c>
      <c r="O369" t="s">
        <v>23</v>
      </c>
      <c r="P369">
        <v>4999</v>
      </c>
      <c r="Q369" s="19">
        <f>P369/'Controls-Split'!$D$27</f>
        <v>2.432603406326034</v>
      </c>
      <c r="R369" s="1" t="str">
        <f>IF(Q369&gt;'Controls-Split'!$J$27,"Pos","Neg")</f>
        <v>Pos</v>
      </c>
      <c r="S369">
        <v>4</v>
      </c>
    </row>
    <row r="370" spans="1:19" x14ac:dyDescent="0.2">
      <c r="A370" t="s">
        <v>83</v>
      </c>
      <c r="B370" t="s">
        <v>41</v>
      </c>
      <c r="C370" s="6" t="s">
        <v>23</v>
      </c>
      <c r="D370" t="s">
        <v>26</v>
      </c>
      <c r="E370">
        <v>2.9000000000000001E-2</v>
      </c>
      <c r="F370" s="7">
        <v>2</v>
      </c>
      <c r="G370" s="18" t="s">
        <v>21</v>
      </c>
      <c r="H370" s="18" t="s">
        <v>22</v>
      </c>
      <c r="I370" s="2">
        <v>9453</v>
      </c>
      <c r="J370" s="2">
        <f>I370-'Controls-Split'!$D$13</f>
        <v>8453</v>
      </c>
      <c r="K370" s="1">
        <f>J370/'Controls-Split'!$C$13</f>
        <v>0.13824063322812238</v>
      </c>
      <c r="L370" s="1" t="str">
        <f>IF(K370&gt;'Controls-Split'!$I$13,"Pos","Neg")</f>
        <v>Pos</v>
      </c>
      <c r="M370" s="17">
        <v>10</v>
      </c>
      <c r="N370" t="s">
        <v>23</v>
      </c>
      <c r="O370" t="s">
        <v>24</v>
      </c>
      <c r="P370">
        <v>2367</v>
      </c>
      <c r="Q370" s="19">
        <f>P370/'Controls-Split'!$D$26</f>
        <v>1.2219927723283428</v>
      </c>
      <c r="S370">
        <v>3</v>
      </c>
    </row>
    <row r="371" spans="1:19" x14ac:dyDescent="0.2">
      <c r="A371" t="s">
        <v>104</v>
      </c>
      <c r="B371" t="s">
        <v>18</v>
      </c>
      <c r="C371" s="6" t="s">
        <v>20</v>
      </c>
      <c r="D371" t="s">
        <v>23</v>
      </c>
      <c r="E371">
        <v>5.0999999999999997E-2</v>
      </c>
      <c r="F371" s="7">
        <v>2</v>
      </c>
      <c r="G371" s="18" t="s">
        <v>22</v>
      </c>
      <c r="H371" s="18" t="s">
        <v>21</v>
      </c>
      <c r="I371" s="2">
        <v>1265</v>
      </c>
      <c r="J371" s="2">
        <f>I371-'Controls-Split'!$D$13</f>
        <v>265</v>
      </c>
      <c r="K371" s="1">
        <f>J371/'Controls-Split'!$C$13</f>
        <v>4.3338185029519029E-3</v>
      </c>
      <c r="L371" s="1" t="str">
        <f>IF(K371&gt;'Controls-Split'!$I$13,"Pos","Neg")</f>
        <v>Neg</v>
      </c>
      <c r="M371" s="17">
        <v>10</v>
      </c>
      <c r="N371" t="s">
        <v>24</v>
      </c>
      <c r="O371" t="s">
        <v>23</v>
      </c>
      <c r="P371">
        <v>4595</v>
      </c>
      <c r="Q371" s="19">
        <f>P371/'Controls-Split'!$D$29</f>
        <v>3.7266828872668287</v>
      </c>
      <c r="R371" s="1" t="str">
        <f>IF(Q371&gt;'Controls-Split'!$J$29,"Pos","Neg")</f>
        <v>Pos</v>
      </c>
      <c r="S371">
        <v>6</v>
      </c>
    </row>
    <row r="372" spans="1:19" x14ac:dyDescent="0.2">
      <c r="A372" t="s">
        <v>104</v>
      </c>
      <c r="B372" t="s">
        <v>28</v>
      </c>
      <c r="C372" s="6" t="s">
        <v>20</v>
      </c>
      <c r="D372" t="s">
        <v>23</v>
      </c>
      <c r="E372">
        <v>5.6000000000000001E-2</v>
      </c>
      <c r="F372" s="7">
        <v>2</v>
      </c>
      <c r="G372" s="18" t="s">
        <v>22</v>
      </c>
      <c r="H372" s="18" t="s">
        <v>21</v>
      </c>
      <c r="I372" s="2">
        <v>1387</v>
      </c>
      <c r="J372" s="2">
        <f>I372-'Controls-Split'!$D$13</f>
        <v>387</v>
      </c>
      <c r="K372" s="1">
        <f>J372/'Controls-Split'!$C$13</f>
        <v>6.3290104175184395E-3</v>
      </c>
      <c r="L372" s="1" t="str">
        <f>IF(K372&gt;'Controls-Split'!$I$13,"Pos","Neg")</f>
        <v>Neg</v>
      </c>
      <c r="M372" s="17">
        <v>10</v>
      </c>
      <c r="N372" s="23" t="s">
        <v>24</v>
      </c>
      <c r="O372" s="23" t="s">
        <v>23</v>
      </c>
      <c r="P372">
        <v>642</v>
      </c>
      <c r="Q372" s="19">
        <f>P372/'Controls-Split'!$D$30</f>
        <v>0.49460708782742679</v>
      </c>
      <c r="R372" s="1" t="str">
        <f>IF(Q372&gt;'Controls-Split'!$J$30,"Pos","Neg")</f>
        <v>Neg</v>
      </c>
      <c r="S372">
        <v>7</v>
      </c>
    </row>
    <row r="373" spans="1:19" x14ac:dyDescent="0.2">
      <c r="A373" t="s">
        <v>28</v>
      </c>
      <c r="B373" t="s">
        <v>39</v>
      </c>
      <c r="C373" s="6" t="s">
        <v>23</v>
      </c>
      <c r="D373" t="s">
        <v>20</v>
      </c>
      <c r="E373">
        <v>2.7E-2</v>
      </c>
      <c r="F373" s="7">
        <v>2</v>
      </c>
      <c r="G373" s="18" t="s">
        <v>21</v>
      </c>
      <c r="H373" s="18" t="s">
        <v>22</v>
      </c>
      <c r="I373" s="2">
        <v>1753</v>
      </c>
      <c r="J373" s="2">
        <f>I373-'Controls-Split'!$D$13</f>
        <v>753</v>
      </c>
      <c r="K373" s="1">
        <f>J373/'Controls-Split'!$C$13</f>
        <v>1.2314586161218048E-2</v>
      </c>
      <c r="L373" s="1" t="str">
        <f>IF(K373&gt;'Controls-Split'!$I$13,"Pos","Neg")</f>
        <v>Neg</v>
      </c>
      <c r="M373" s="17">
        <v>10</v>
      </c>
    </row>
    <row r="374" spans="1:19" x14ac:dyDescent="0.2">
      <c r="A374" t="s">
        <v>28</v>
      </c>
      <c r="B374" t="s">
        <v>18</v>
      </c>
      <c r="C374" s="6" t="s">
        <v>20</v>
      </c>
      <c r="D374" t="s">
        <v>23</v>
      </c>
      <c r="E374">
        <v>0.03</v>
      </c>
      <c r="F374" s="7">
        <v>2</v>
      </c>
      <c r="G374" s="18" t="s">
        <v>22</v>
      </c>
      <c r="H374" s="18" t="s">
        <v>21</v>
      </c>
      <c r="I374" s="2">
        <v>1293</v>
      </c>
      <c r="J374" s="2">
        <f>I374-'Controls-Split'!$D$13</f>
        <v>293</v>
      </c>
      <c r="K374" s="1">
        <f>J374/'Controls-Split'!$C$13</f>
        <v>4.7917314013770093E-3</v>
      </c>
      <c r="L374" s="1" t="str">
        <f>IF(K374&gt;'Controls-Split'!$I$13,"Pos","Neg")</f>
        <v>Neg</v>
      </c>
      <c r="M374" s="17">
        <v>10</v>
      </c>
      <c r="N374" s="23" t="s">
        <v>24</v>
      </c>
      <c r="O374" s="23" t="s">
        <v>23</v>
      </c>
      <c r="P374">
        <v>1046</v>
      </c>
      <c r="Q374" s="19">
        <f>P374/'Controls-Split'!$D$30</f>
        <v>0.80585516178736516</v>
      </c>
      <c r="R374" s="1" t="str">
        <f>IF(Q374&gt;'Controls-Split'!$J$30,"Pos","Neg")</f>
        <v>Neg</v>
      </c>
      <c r="S374">
        <v>7</v>
      </c>
    </row>
    <row r="375" spans="1:19" x14ac:dyDescent="0.2">
      <c r="A375" t="s">
        <v>28</v>
      </c>
      <c r="B375" t="s">
        <v>105</v>
      </c>
      <c r="C375" s="6" t="s">
        <v>23</v>
      </c>
      <c r="D375" t="s">
        <v>20</v>
      </c>
      <c r="E375">
        <v>3.6999999999999998E-2</v>
      </c>
      <c r="F375" s="7">
        <v>1</v>
      </c>
      <c r="G375" s="18" t="s">
        <v>21</v>
      </c>
      <c r="H375" s="18" t="s">
        <v>22</v>
      </c>
      <c r="I375" s="2">
        <v>1190</v>
      </c>
      <c r="J375" s="2">
        <f>I375-'Controls-Split'!$D$13</f>
        <v>190</v>
      </c>
      <c r="K375" s="1">
        <f>J375/'Controls-Split'!$C$13</f>
        <v>3.1072660964560814E-3</v>
      </c>
      <c r="L375" s="1" t="str">
        <f>IF(K375&gt;'Controls-Split'!$I$13,"Pos","Neg")</f>
        <v>Neg</v>
      </c>
      <c r="M375" s="17">
        <v>10</v>
      </c>
      <c r="N375" t="s">
        <v>23</v>
      </c>
      <c r="O375" t="s">
        <v>24</v>
      </c>
      <c r="P375" s="23">
        <v>4038</v>
      </c>
      <c r="Q375" s="19">
        <f>P375/'Controls-Split'!$D$28</f>
        <v>2.6991978609625669</v>
      </c>
      <c r="R375" s="1" t="str">
        <f>IF(Q375&gt;'Controls-Split'!$J$28,"Pos","Neg")</f>
        <v>Pos</v>
      </c>
      <c r="S375" s="23">
        <v>5</v>
      </c>
    </row>
    <row r="376" spans="1:19" x14ac:dyDescent="0.2">
      <c r="A376" t="s">
        <v>28</v>
      </c>
      <c r="B376" t="s">
        <v>28</v>
      </c>
      <c r="C376" s="6" t="s">
        <v>23</v>
      </c>
      <c r="D376" t="s">
        <v>20</v>
      </c>
      <c r="E376">
        <v>0.10299999999999999</v>
      </c>
      <c r="F376" s="7">
        <v>2</v>
      </c>
      <c r="G376" s="18" t="s">
        <v>21</v>
      </c>
      <c r="H376" s="18" t="s">
        <v>22</v>
      </c>
      <c r="I376" s="2">
        <v>2525</v>
      </c>
      <c r="J376" s="2">
        <f>I376-'Controls-Split'!$D$13</f>
        <v>1525</v>
      </c>
      <c r="K376" s="1">
        <f>J376/'Controls-Split'!$C$13</f>
        <v>2.4939898932081705E-2</v>
      </c>
      <c r="L376" s="1" t="str">
        <f>IF(K376&gt;'Controls-Split'!$I$8,"Pos","Neg")</f>
        <v>Pos</v>
      </c>
      <c r="M376" s="17">
        <v>10</v>
      </c>
      <c r="N376" s="23" t="s">
        <v>23</v>
      </c>
      <c r="O376" s="23" t="s">
        <v>24</v>
      </c>
      <c r="P376">
        <v>1319</v>
      </c>
      <c r="Q376" s="19">
        <f>P376/'Controls-Split'!$D$30</f>
        <v>1.0161787365177195</v>
      </c>
      <c r="R376" s="1" t="str">
        <f>IF(Q376&gt;'Controls-Split'!$J$30,"Pos","Neg")</f>
        <v>Neg</v>
      </c>
      <c r="S376">
        <v>7</v>
      </c>
    </row>
    <row r="377" spans="1:19" x14ac:dyDescent="0.2">
      <c r="A377" t="s">
        <v>28</v>
      </c>
      <c r="B377" t="s">
        <v>93</v>
      </c>
      <c r="C377" s="6" t="s">
        <v>23</v>
      </c>
      <c r="D377" t="s">
        <v>20</v>
      </c>
      <c r="E377">
        <v>0.127</v>
      </c>
      <c r="F377" s="7">
        <v>2</v>
      </c>
      <c r="G377" s="18" t="s">
        <v>21</v>
      </c>
      <c r="H377" s="18" t="s">
        <v>22</v>
      </c>
      <c r="I377" s="2">
        <v>1061</v>
      </c>
      <c r="J377" s="2">
        <f>I377-'Controls-Split'!$D$13</f>
        <v>61</v>
      </c>
      <c r="K377" s="1">
        <f>J377/'Controls-Split'!$C$13</f>
        <v>9.9759595728326827E-4</v>
      </c>
      <c r="L377" s="1" t="str">
        <f>IF(K377&gt;'Controls-Split'!$I$8,"Pos","Neg")</f>
        <v>Neg</v>
      </c>
      <c r="M377" s="17">
        <v>10</v>
      </c>
      <c r="N377" t="s">
        <v>23</v>
      </c>
      <c r="O377" t="s">
        <v>24</v>
      </c>
      <c r="P377">
        <v>1778</v>
      </c>
      <c r="Q377" s="19">
        <f>P377/'Controls-Split'!$D$26</f>
        <v>0.91791430046463607</v>
      </c>
      <c r="R377" s="1" t="str">
        <f>IF(Q377&gt;'Controls-Split'!$J$26,"Pos","Neg")</f>
        <v>Neg</v>
      </c>
      <c r="S377">
        <v>3</v>
      </c>
    </row>
    <row r="378" spans="1:19" x14ac:dyDescent="0.2">
      <c r="A378" t="s">
        <v>114</v>
      </c>
      <c r="B378" t="s">
        <v>18</v>
      </c>
      <c r="C378" s="6" t="s">
        <v>26</v>
      </c>
      <c r="D378" t="s">
        <v>23</v>
      </c>
      <c r="E378">
        <v>3.2000000000000001E-2</v>
      </c>
      <c r="F378" s="7">
        <v>2</v>
      </c>
      <c r="G378" s="18" t="s">
        <v>22</v>
      </c>
      <c r="H378" s="18" t="s">
        <v>21</v>
      </c>
      <c r="I378" s="2">
        <v>1241</v>
      </c>
      <c r="J378" s="2">
        <f>I378-'Controls-Split'!$D$13</f>
        <v>241</v>
      </c>
      <c r="K378" s="1">
        <f>J378/'Controls-Split'!$C$13</f>
        <v>3.9413217328732398E-3</v>
      </c>
      <c r="L378" s="1" t="str">
        <f>IF(K378&gt;'Controls-Split'!$I$13,"Pos","Neg")</f>
        <v>Neg</v>
      </c>
      <c r="M378" s="17">
        <v>10</v>
      </c>
      <c r="N378" s="23" t="s">
        <v>24</v>
      </c>
      <c r="O378" s="23" t="s">
        <v>23</v>
      </c>
      <c r="P378">
        <v>1367</v>
      </c>
      <c r="Q378" s="19">
        <f>P378/'Controls-Split'!$D$30</f>
        <v>1.0531587057010785</v>
      </c>
      <c r="R378" s="1" t="str">
        <f>IF(Q378&gt;'Controls-Split'!$J$30,"Pos","Neg")</f>
        <v>Neg</v>
      </c>
      <c r="S378">
        <v>7</v>
      </c>
    </row>
    <row r="379" spans="1:19" x14ac:dyDescent="0.2">
      <c r="A379" t="s">
        <v>58</v>
      </c>
      <c r="B379" t="s">
        <v>18</v>
      </c>
      <c r="C379" s="6" t="s">
        <v>20</v>
      </c>
      <c r="D379" t="s">
        <v>23</v>
      </c>
      <c r="E379">
        <v>6.5000000000000002E-2</v>
      </c>
      <c r="F379" s="7">
        <v>2</v>
      </c>
      <c r="G379" s="18" t="s">
        <v>22</v>
      </c>
      <c r="H379" s="18" t="s">
        <v>21</v>
      </c>
      <c r="I379" s="2">
        <v>5821</v>
      </c>
      <c r="J379" s="2">
        <f>I379-'Controls-Split'!$D$13</f>
        <v>4821</v>
      </c>
      <c r="K379" s="1">
        <f>J379/'Controls-Split'!$C$13</f>
        <v>7.8842788689551413E-2</v>
      </c>
      <c r="L379" s="1" t="str">
        <f>IF(K379&gt;'Controls-Split'!$I$13,"Pos","Neg")</f>
        <v>Pos</v>
      </c>
      <c r="M379" s="17">
        <v>10</v>
      </c>
      <c r="N379" s="23" t="s">
        <v>24</v>
      </c>
      <c r="O379" s="23" t="s">
        <v>23</v>
      </c>
      <c r="P379">
        <v>42806</v>
      </c>
      <c r="Q379" s="19">
        <f>P379/'Controls-Split'!$D$31</f>
        <v>15.871709306637005</v>
      </c>
      <c r="R379" s="1" t="str">
        <f>IF(Q379&gt;'Controls-Split'!$J$31,"Pos","Neg")</f>
        <v>Pos</v>
      </c>
      <c r="S379">
        <v>8</v>
      </c>
    </row>
    <row r="380" spans="1:19" x14ac:dyDescent="0.2">
      <c r="A380" t="s">
        <v>58</v>
      </c>
      <c r="B380" t="s">
        <v>33</v>
      </c>
      <c r="C380" s="6" t="s">
        <v>19</v>
      </c>
      <c r="D380" t="s">
        <v>20</v>
      </c>
      <c r="E380">
        <v>3.3000000000000002E-2</v>
      </c>
      <c r="F380" s="7">
        <v>2</v>
      </c>
      <c r="G380" s="18" t="s">
        <v>21</v>
      </c>
      <c r="H380" s="18" t="s">
        <v>22</v>
      </c>
      <c r="I380" s="2">
        <v>3215</v>
      </c>
      <c r="J380" s="2">
        <f>I380-'Controls-Split'!$D$13</f>
        <v>2215</v>
      </c>
      <c r="K380" s="1">
        <f>J380/'Controls-Split'!$C$13</f>
        <v>3.6224181071843262E-2</v>
      </c>
      <c r="L380" s="1" t="str">
        <f>IF(K380&gt;'Controls-Split'!$I$13,"Pos","Neg")</f>
        <v>Pos</v>
      </c>
      <c r="M380" s="17">
        <v>10</v>
      </c>
      <c r="N380" s="23" t="s">
        <v>23</v>
      </c>
      <c r="O380" t="s">
        <v>24</v>
      </c>
      <c r="P380">
        <v>1322</v>
      </c>
      <c r="Q380" s="19">
        <f>P380/'Controls-Split'!$D$28</f>
        <v>0.88368983957219249</v>
      </c>
      <c r="R380" s="1" t="str">
        <f>IF(Q380&gt;'Controls-Split'!$J$28,"Pos","Neg")</f>
        <v>Neg</v>
      </c>
      <c r="S380">
        <v>5</v>
      </c>
    </row>
    <row r="381" spans="1:19" x14ac:dyDescent="0.2">
      <c r="A381" t="s">
        <v>58</v>
      </c>
      <c r="B381" t="s">
        <v>57</v>
      </c>
      <c r="C381" s="6" t="s">
        <v>19</v>
      </c>
      <c r="D381" t="s">
        <v>26</v>
      </c>
      <c r="E381">
        <v>3.1E-2</v>
      </c>
      <c r="F381" s="7">
        <v>2</v>
      </c>
      <c r="G381" s="18" t="s">
        <v>21</v>
      </c>
      <c r="H381" s="18" t="s">
        <v>22</v>
      </c>
      <c r="I381" s="2">
        <v>10971</v>
      </c>
      <c r="J381" s="2">
        <f>I381-'Controls-Split'!$D$13</f>
        <v>9971</v>
      </c>
      <c r="K381" s="1">
        <f>J381/'Controls-Split'!$C$13</f>
        <v>0.16306605393559781</v>
      </c>
      <c r="L381" s="1" t="str">
        <f>IF(K381&gt;'Controls-Split'!$I$13,"Pos","Neg")</f>
        <v>Pos</v>
      </c>
      <c r="M381" s="17">
        <v>10</v>
      </c>
      <c r="N381" t="s">
        <v>23</v>
      </c>
      <c r="O381" t="s">
        <v>24</v>
      </c>
      <c r="P381" s="23">
        <v>1316</v>
      </c>
      <c r="Q381" s="19">
        <f>P381/'Controls-Split'!$D$28</f>
        <v>0.8796791443850267</v>
      </c>
      <c r="R381" s="1" t="str">
        <f>IF(Q381&gt;'Controls-Split'!$J$28,"Pos","Neg")</f>
        <v>Neg</v>
      </c>
      <c r="S381" s="23">
        <v>5</v>
      </c>
    </row>
    <row r="382" spans="1:19" x14ac:dyDescent="0.2">
      <c r="A382" t="s">
        <v>58</v>
      </c>
      <c r="B382" t="s">
        <v>128</v>
      </c>
      <c r="C382" s="6" t="s">
        <v>19</v>
      </c>
      <c r="D382" t="s">
        <v>20</v>
      </c>
      <c r="E382">
        <v>2.7E-2</v>
      </c>
      <c r="F382" s="7">
        <v>2</v>
      </c>
      <c r="G382" s="18" t="s">
        <v>21</v>
      </c>
      <c r="H382" s="18" t="s">
        <v>22</v>
      </c>
      <c r="I382" s="2">
        <v>1782</v>
      </c>
      <c r="J382" s="2">
        <f>I382-'Controls-Split'!$D$13</f>
        <v>782</v>
      </c>
      <c r="K382" s="1">
        <f>J382/'Controls-Split'!$C$13</f>
        <v>1.2788853091729765E-2</v>
      </c>
      <c r="L382" s="1" t="str">
        <f>IF(K382&gt;'Controls-Split'!$I$13,"Pos","Neg")</f>
        <v>Neg</v>
      </c>
      <c r="M382" s="17">
        <v>10</v>
      </c>
      <c r="N382" t="s">
        <v>23</v>
      </c>
      <c r="O382" t="s">
        <v>24</v>
      </c>
      <c r="P382">
        <v>1725</v>
      </c>
      <c r="Q382" s="19">
        <f>P382/'Controls-Split'!$D$33</f>
        <v>0.67068429237947125</v>
      </c>
      <c r="R382" s="1" t="str">
        <f>IF(Q382&gt;'Controls-Split'!$J$33,"Pos","Neg")</f>
        <v>Neg</v>
      </c>
      <c r="S382">
        <v>10</v>
      </c>
    </row>
    <row r="383" spans="1:19" x14ac:dyDescent="0.2">
      <c r="A383" t="s">
        <v>58</v>
      </c>
      <c r="B383" t="s">
        <v>58</v>
      </c>
      <c r="C383" s="6" t="s">
        <v>19</v>
      </c>
      <c r="D383" t="s">
        <v>20</v>
      </c>
      <c r="E383">
        <v>3.9E-2</v>
      </c>
      <c r="F383" s="7">
        <v>2</v>
      </c>
      <c r="G383" s="20" t="s">
        <v>21</v>
      </c>
      <c r="H383" s="18" t="s">
        <v>22</v>
      </c>
      <c r="I383" s="2">
        <v>51085</v>
      </c>
      <c r="J383" s="2">
        <f>I383-'Controls-Split'!$D$13</f>
        <v>50085</v>
      </c>
      <c r="K383" s="1">
        <f>J383/'Controls-Split'!$C$13</f>
        <v>0.81909169705790963</v>
      </c>
      <c r="L383" s="1" t="str">
        <f>IF(K383&gt;'Controls-Split'!$I$13,"Pos","Neg")</f>
        <v>Pos</v>
      </c>
      <c r="M383" s="17">
        <v>10</v>
      </c>
      <c r="N383" t="s">
        <v>23</v>
      </c>
      <c r="O383" t="s">
        <v>24</v>
      </c>
      <c r="P383">
        <v>1725</v>
      </c>
      <c r="Q383" s="19">
        <f>P383/'Controls-Split'!$D$33</f>
        <v>0.67068429237947125</v>
      </c>
      <c r="R383" s="1" t="str">
        <f>IF(Q383&gt;'Controls-Split'!$J$33,"Pos","Neg")</f>
        <v>Neg</v>
      </c>
      <c r="S383">
        <v>10</v>
      </c>
    </row>
    <row r="384" spans="1:19" x14ac:dyDescent="0.2">
      <c r="A384" t="s">
        <v>58</v>
      </c>
      <c r="B384" t="s">
        <v>29</v>
      </c>
      <c r="C384" s="6" t="s">
        <v>19</v>
      </c>
      <c r="D384" t="s">
        <v>20</v>
      </c>
      <c r="E384">
        <v>3.7999999999999999E-2</v>
      </c>
      <c r="F384" s="7">
        <v>2</v>
      </c>
      <c r="G384" s="20" t="s">
        <v>21</v>
      </c>
      <c r="H384" s="18" t="s">
        <v>22</v>
      </c>
      <c r="I384" s="2">
        <v>29547</v>
      </c>
      <c r="J384" s="2">
        <f>I384-'Controls-Split'!$D$13</f>
        <v>28547</v>
      </c>
      <c r="K384" s="1">
        <f>J384/'Controls-Split'!$C$13</f>
        <v>0.4668585539764829</v>
      </c>
      <c r="L384" s="1" t="str">
        <f>IF(K384&gt;'Controls-Split'!$I$13,"Pos","Neg")</f>
        <v>Pos</v>
      </c>
      <c r="M384" s="17">
        <v>10</v>
      </c>
      <c r="N384" t="s">
        <v>23</v>
      </c>
      <c r="O384" t="s">
        <v>24</v>
      </c>
      <c r="P384">
        <v>14756</v>
      </c>
      <c r="Q384" s="19">
        <f>P384/'Controls-Split'!$D$33</f>
        <v>5.7371695178849142</v>
      </c>
      <c r="R384" s="1" t="str">
        <f>IF(Q384&gt;'Controls-Split'!$J$33,"Pos","Neg")</f>
        <v>Pos</v>
      </c>
      <c r="S384">
        <v>10</v>
      </c>
    </row>
    <row r="385" spans="1:19" x14ac:dyDescent="0.2">
      <c r="A385" t="s">
        <v>58</v>
      </c>
      <c r="B385" t="s">
        <v>41</v>
      </c>
      <c r="C385" s="6" t="s">
        <v>19</v>
      </c>
      <c r="D385" t="s">
        <v>26</v>
      </c>
      <c r="E385">
        <v>3.1E-2</v>
      </c>
      <c r="F385" s="7">
        <v>2</v>
      </c>
      <c r="G385" s="20" t="s">
        <v>21</v>
      </c>
      <c r="H385" s="18" t="s">
        <v>22</v>
      </c>
      <c r="I385" s="2">
        <v>26731</v>
      </c>
      <c r="J385" s="2">
        <f>I385-'Controls-Split'!$D$13</f>
        <v>25731</v>
      </c>
      <c r="K385" s="1">
        <f>J385/'Controls-Split'!$C$13</f>
        <v>0.42080559962058645</v>
      </c>
      <c r="L385" s="1" t="str">
        <f>IF(K385&gt;'Controls-Split'!$I$13,"Pos","Neg")</f>
        <v>Pos</v>
      </c>
      <c r="M385" s="17">
        <v>10</v>
      </c>
      <c r="N385" t="s">
        <v>23</v>
      </c>
      <c r="O385" t="s">
        <v>24</v>
      </c>
      <c r="P385">
        <v>2192</v>
      </c>
      <c r="Q385" s="19">
        <f>P385/'Controls-Split'!$D$26</f>
        <v>1.1316468766133196</v>
      </c>
      <c r="R385" s="1" t="str">
        <f>IF(Q385&gt;'Controls-Split'!$J$26,"Pos","Neg")</f>
        <v>Neg</v>
      </c>
      <c r="S385">
        <v>3</v>
      </c>
    </row>
    <row r="386" spans="1:19" x14ac:dyDescent="0.2">
      <c r="A386" t="s">
        <v>109</v>
      </c>
      <c r="B386" t="s">
        <v>98</v>
      </c>
      <c r="C386" s="6" t="s">
        <v>20</v>
      </c>
      <c r="D386" t="s">
        <v>23</v>
      </c>
      <c r="E386">
        <v>2.9000000000000001E-2</v>
      </c>
      <c r="F386" s="7">
        <v>2</v>
      </c>
      <c r="G386" s="20" t="s">
        <v>22</v>
      </c>
      <c r="H386" s="1" t="s">
        <v>21</v>
      </c>
      <c r="I386" s="2">
        <v>11421</v>
      </c>
      <c r="J386" s="2">
        <f>I386-'Controls-Split'!$D$13</f>
        <v>10421</v>
      </c>
      <c r="K386" s="1">
        <f>J386/'Controls-Split'!$C$13</f>
        <v>0.17042536837457276</v>
      </c>
      <c r="L386" s="1" t="str">
        <f>IF(K386&gt;'Controls-Split'!$I$13,"Pos","Neg")</f>
        <v>Pos</v>
      </c>
      <c r="M386" s="17">
        <v>10</v>
      </c>
      <c r="N386" t="s">
        <v>24</v>
      </c>
      <c r="O386" t="s">
        <v>23</v>
      </c>
      <c r="P386">
        <v>916</v>
      </c>
      <c r="Q386" s="19">
        <f>P386/'Controls-Split'!$D$34</f>
        <v>0.70191570881226051</v>
      </c>
      <c r="R386" s="1" t="str">
        <f>IF(Q386&gt;'Controls-Split'!$J$34,"Pos","Neg")</f>
        <v>Neg</v>
      </c>
      <c r="S386">
        <v>11</v>
      </c>
    </row>
    <row r="387" spans="1:19" x14ac:dyDescent="0.2">
      <c r="A387" t="s">
        <v>29</v>
      </c>
      <c r="B387" t="s">
        <v>115</v>
      </c>
      <c r="C387" s="6" t="s">
        <v>20</v>
      </c>
      <c r="D387" t="s">
        <v>23</v>
      </c>
      <c r="E387">
        <v>3.3000000000000002E-2</v>
      </c>
      <c r="F387" s="7">
        <v>2</v>
      </c>
      <c r="G387" s="18" t="s">
        <v>22</v>
      </c>
      <c r="H387" s="18" t="s">
        <v>21</v>
      </c>
      <c r="I387" s="2">
        <v>2961</v>
      </c>
      <c r="J387" s="2">
        <f>I387-'Controls-Split'!$D$13</f>
        <v>1961</v>
      </c>
      <c r="K387" s="1">
        <f>J387/'Controls-Split'!$C$13</f>
        <v>3.2070256921844079E-2</v>
      </c>
      <c r="L387" s="1" t="str">
        <f>IF(K387&gt;'Controls-Split'!$I$13,"Pos","Neg")</f>
        <v>Pos</v>
      </c>
      <c r="M387" s="17">
        <v>10</v>
      </c>
      <c r="N387" t="s">
        <v>24</v>
      </c>
      <c r="O387" t="s">
        <v>23</v>
      </c>
      <c r="P387">
        <v>1390</v>
      </c>
      <c r="Q387" s="19">
        <f>P387/'Controls-Split'!$D$33</f>
        <v>0.54043545878693622</v>
      </c>
      <c r="R387" s="1" t="str">
        <f>IF(Q387&gt;'Controls-Split'!$J$33,"Pos","Neg")</f>
        <v>Neg</v>
      </c>
      <c r="S387">
        <v>10</v>
      </c>
    </row>
    <row r="388" spans="1:19" x14ac:dyDescent="0.2">
      <c r="A388" t="s">
        <v>29</v>
      </c>
      <c r="B388" t="s">
        <v>18</v>
      </c>
      <c r="C388" s="6" t="s">
        <v>20</v>
      </c>
      <c r="D388" t="s">
        <v>23</v>
      </c>
      <c r="E388">
        <v>2.9000000000000001E-2</v>
      </c>
      <c r="F388" s="7">
        <v>2</v>
      </c>
      <c r="G388" s="18" t="s">
        <v>22</v>
      </c>
      <c r="H388" s="18" t="s">
        <v>21</v>
      </c>
      <c r="I388" s="2">
        <v>3378</v>
      </c>
      <c r="J388" s="2">
        <f>I388-'Controls-Split'!$D$13</f>
        <v>2378</v>
      </c>
      <c r="K388" s="1">
        <f>J388/'Controls-Split'!$C$13</f>
        <v>3.888988830196085E-2</v>
      </c>
      <c r="L388" s="1" t="str">
        <f>IF(K388&gt;'Controls-Split'!$I$13,"Pos","Neg")</f>
        <v>Pos</v>
      </c>
      <c r="M388" s="17">
        <v>10</v>
      </c>
      <c r="N388" t="s">
        <v>24</v>
      </c>
      <c r="O388" t="s">
        <v>23</v>
      </c>
      <c r="P388">
        <v>6620</v>
      </c>
      <c r="Q388" s="19">
        <f>P388/'Controls-Split'!$D$33</f>
        <v>2.573872472783826</v>
      </c>
      <c r="R388" s="1" t="str">
        <f>IF(Q388&gt;'Controls-Split'!$J$33,"Pos","Neg")</f>
        <v>Neg</v>
      </c>
      <c r="S388">
        <v>10</v>
      </c>
    </row>
    <row r="389" spans="1:19" x14ac:dyDescent="0.2">
      <c r="A389" t="s">
        <v>36</v>
      </c>
      <c r="B389" t="s">
        <v>126</v>
      </c>
      <c r="C389" s="6" t="s">
        <v>20</v>
      </c>
      <c r="D389" t="s">
        <v>23</v>
      </c>
      <c r="E389">
        <v>2.7E-2</v>
      </c>
      <c r="F389" s="7">
        <v>2</v>
      </c>
      <c r="G389" s="18" t="s">
        <v>22</v>
      </c>
      <c r="H389" s="18" t="s">
        <v>21</v>
      </c>
      <c r="I389" s="2">
        <v>1583</v>
      </c>
      <c r="J389" s="2">
        <f>I389-'Controls-Split'!$D$13</f>
        <v>583</v>
      </c>
      <c r="K389" s="1">
        <f>J389/'Controls-Split'!$C$13</f>
        <v>9.5344007064941862E-3</v>
      </c>
      <c r="L389" s="1" t="str">
        <f>IF(K389&gt;'Controls-Split'!$I$13,"Pos","Neg")</f>
        <v>Neg</v>
      </c>
      <c r="M389" s="17">
        <v>10</v>
      </c>
      <c r="N389" t="s">
        <v>24</v>
      </c>
      <c r="O389" t="s">
        <v>23</v>
      </c>
      <c r="P389">
        <v>1704</v>
      </c>
      <c r="Q389" s="19">
        <f>P389/'Controls-Split'!$D$26</f>
        <v>0.87971089313371198</v>
      </c>
      <c r="R389" s="1" t="str">
        <f>IF(Q389&gt;'Controls-Split'!$J$26,"Pos","Neg")</f>
        <v>Neg</v>
      </c>
      <c r="S389">
        <v>3</v>
      </c>
    </row>
    <row r="390" spans="1:19" x14ac:dyDescent="0.2">
      <c r="A390" t="s">
        <v>81</v>
      </c>
      <c r="B390" t="s">
        <v>44</v>
      </c>
      <c r="C390" s="6" t="s">
        <v>23</v>
      </c>
      <c r="D390" t="s">
        <v>26</v>
      </c>
      <c r="E390">
        <v>2.8000000000000001E-2</v>
      </c>
      <c r="F390" s="7">
        <v>2</v>
      </c>
      <c r="G390" s="18" t="s">
        <v>21</v>
      </c>
      <c r="H390" s="18" t="s">
        <v>22</v>
      </c>
      <c r="I390" s="2">
        <v>1780</v>
      </c>
      <c r="J390" s="2">
        <f>I390-'Controls-Split'!$D$13</f>
        <v>780</v>
      </c>
      <c r="K390" s="1">
        <f>J390/'Controls-Split'!$C$13</f>
        <v>1.2756145027556544E-2</v>
      </c>
      <c r="L390" s="1" t="str">
        <f>IF(K390&gt;'Controls-Split'!$I$13,"Pos","Neg")</f>
        <v>Neg</v>
      </c>
      <c r="M390" s="17">
        <v>10</v>
      </c>
      <c r="N390" s="23" t="s">
        <v>23</v>
      </c>
      <c r="O390" s="23" t="s">
        <v>24</v>
      </c>
      <c r="P390" s="23">
        <v>1154</v>
      </c>
      <c r="Q390" s="19">
        <f>P390/'Controls-Split'!$D$34</f>
        <v>0.88429118773946358</v>
      </c>
      <c r="R390" s="1" t="str">
        <f>IF(Q390&gt;'Controls-Split'!$J$34,"Pos","Neg")</f>
        <v>Neg</v>
      </c>
      <c r="S390">
        <v>11</v>
      </c>
    </row>
    <row r="391" spans="1:19" x14ac:dyDescent="0.2">
      <c r="A391" t="s">
        <v>81</v>
      </c>
      <c r="B391" t="s">
        <v>81</v>
      </c>
      <c r="C391" s="6" t="s">
        <v>23</v>
      </c>
      <c r="D391" t="s">
        <v>20</v>
      </c>
      <c r="E391">
        <v>3.2000000000000001E-2</v>
      </c>
      <c r="F391" s="7">
        <v>2</v>
      </c>
      <c r="G391" s="18" t="s">
        <v>21</v>
      </c>
      <c r="H391" s="18" t="s">
        <v>22</v>
      </c>
      <c r="I391" s="2">
        <v>1431</v>
      </c>
      <c r="J391" s="2">
        <f>I391-'Controls-Split'!$D$13</f>
        <v>431</v>
      </c>
      <c r="K391" s="1">
        <f>J391/'Controls-Split'!$C$13</f>
        <v>7.0485878293293208E-3</v>
      </c>
      <c r="L391" s="1" t="str">
        <f>IF(K391&gt;'Controls-Split'!$I$13,"Pos","Neg")</f>
        <v>Neg</v>
      </c>
      <c r="M391" s="17">
        <v>10</v>
      </c>
      <c r="N391" s="23" t="s">
        <v>23</v>
      </c>
      <c r="O391" s="23" t="s">
        <v>24</v>
      </c>
      <c r="P391">
        <v>2698</v>
      </c>
      <c r="Q391" s="19">
        <f>P391/'Controls-Split'!$D$30</f>
        <v>2.078582434514638</v>
      </c>
      <c r="R391" s="1" t="str">
        <f>IF(Q391&gt;'Controls-Split'!$J$30,"Pos","Neg")</f>
        <v>Pos</v>
      </c>
      <c r="S391">
        <v>7</v>
      </c>
    </row>
    <row r="392" spans="1:19" x14ac:dyDescent="0.2">
      <c r="A392" t="s">
        <v>122</v>
      </c>
      <c r="B392" t="s">
        <v>122</v>
      </c>
      <c r="C392" s="6" t="s">
        <v>23</v>
      </c>
      <c r="D392" t="s">
        <v>20</v>
      </c>
      <c r="E392">
        <v>5.8999999999999997E-2</v>
      </c>
      <c r="F392" s="7">
        <v>2</v>
      </c>
      <c r="G392" s="1" t="s">
        <v>21</v>
      </c>
      <c r="H392" s="1" t="s">
        <v>22</v>
      </c>
      <c r="I392" s="2">
        <v>2163</v>
      </c>
      <c r="J392" s="21">
        <v>1141</v>
      </c>
      <c r="K392" s="18">
        <v>2.7E-2</v>
      </c>
      <c r="L392" s="18" t="s">
        <v>71</v>
      </c>
      <c r="M392" s="22">
        <v>11</v>
      </c>
      <c r="N392" s="23" t="s">
        <v>23</v>
      </c>
      <c r="O392" s="23" t="s">
        <v>24</v>
      </c>
      <c r="P392" s="23">
        <v>3087</v>
      </c>
      <c r="Q392" s="19">
        <f>P392/'Controls-Split'!$D$28</f>
        <v>2.0635026737967914</v>
      </c>
      <c r="R392" s="1" t="str">
        <f>IF(Q392&gt;'Controls-Split'!$J$28,"Pos","Neg")</f>
        <v>Neg</v>
      </c>
      <c r="S392" s="23">
        <v>5</v>
      </c>
    </row>
    <row r="393" spans="1:19" x14ac:dyDescent="0.2">
      <c r="A393" t="s">
        <v>117</v>
      </c>
      <c r="B393" t="s">
        <v>95</v>
      </c>
      <c r="C393" s="6" t="s">
        <v>20</v>
      </c>
      <c r="D393" t="s">
        <v>23</v>
      </c>
      <c r="E393">
        <v>3.4000000000000002E-2</v>
      </c>
      <c r="F393" s="7">
        <v>2</v>
      </c>
      <c r="G393" s="1" t="s">
        <v>22</v>
      </c>
      <c r="H393" s="1" t="s">
        <v>21</v>
      </c>
      <c r="I393" s="2">
        <v>687</v>
      </c>
      <c r="J393" s="2">
        <f>I393-'Controls-Split'!$D$14</f>
        <v>-102</v>
      </c>
      <c r="K393" s="1">
        <f>J393/'Controls-Split'!$C$14</f>
        <v>-2.3996612242977462E-3</v>
      </c>
      <c r="L393" s="1" t="str">
        <f>IF(K393&gt;'Controls-Split'!$I$14,"Pos","Neg")</f>
        <v>Neg</v>
      </c>
      <c r="M393" s="17">
        <v>11</v>
      </c>
      <c r="N393" t="s">
        <v>24</v>
      </c>
      <c r="O393" t="s">
        <v>23</v>
      </c>
      <c r="P393">
        <v>19902</v>
      </c>
      <c r="Q393" s="19">
        <f>P393/'Controls-Split'!$D$32</f>
        <v>8.0153040676600877</v>
      </c>
      <c r="R393" s="1" t="str">
        <f>IF(Q393&gt;'Controls-Split'!$J$32,"Pos","Neg")</f>
        <v>Pos</v>
      </c>
      <c r="S393">
        <v>9</v>
      </c>
    </row>
    <row r="394" spans="1:19" x14ac:dyDescent="0.2">
      <c r="A394" t="s">
        <v>117</v>
      </c>
      <c r="B394" t="s">
        <v>37</v>
      </c>
      <c r="C394" s="6" t="s">
        <v>20</v>
      </c>
      <c r="D394" t="s">
        <v>23</v>
      </c>
      <c r="E394">
        <v>3.2000000000000001E-2</v>
      </c>
      <c r="F394" s="7">
        <v>2</v>
      </c>
      <c r="G394" s="16" t="s">
        <v>22</v>
      </c>
      <c r="H394" s="1" t="s">
        <v>21</v>
      </c>
      <c r="I394" s="2">
        <v>850</v>
      </c>
      <c r="J394" s="2">
        <f>I394-'Controls-Split'!$D$14</f>
        <v>61</v>
      </c>
      <c r="K394" s="1">
        <f>J394/'Controls-Split'!$C$14</f>
        <v>1.4350915164917893E-3</v>
      </c>
      <c r="L394" s="1" t="str">
        <f>IF(K394&gt;'Controls-Split'!$I$14,"Pos","Neg")</f>
        <v>Neg</v>
      </c>
      <c r="M394" s="17">
        <v>11</v>
      </c>
      <c r="N394" t="s">
        <v>24</v>
      </c>
      <c r="O394" t="s">
        <v>23</v>
      </c>
      <c r="P394" s="23">
        <v>7803</v>
      </c>
      <c r="Q394" s="19">
        <f>P394/'Controls-Split'!$D$32</f>
        <v>3.1425694724124043</v>
      </c>
      <c r="R394" s="1" t="str">
        <f>IF(Q394&gt;'Controls-Split'!$J$32,"Pos","Neg")</f>
        <v>Pos</v>
      </c>
      <c r="S394">
        <v>9</v>
      </c>
    </row>
    <row r="395" spans="1:19" x14ac:dyDescent="0.2">
      <c r="A395" t="s">
        <v>18</v>
      </c>
      <c r="B395" t="s">
        <v>122</v>
      </c>
      <c r="C395" s="6" t="s">
        <v>23</v>
      </c>
      <c r="D395" t="s">
        <v>20</v>
      </c>
      <c r="E395">
        <v>3.3000000000000002E-2</v>
      </c>
      <c r="F395" s="7">
        <v>2</v>
      </c>
      <c r="G395" s="18" t="s">
        <v>21</v>
      </c>
      <c r="H395" s="1" t="s">
        <v>22</v>
      </c>
      <c r="I395" s="2">
        <v>1150</v>
      </c>
      <c r="J395" s="2">
        <f>I395-'Controls-Split'!$D$14</f>
        <v>361</v>
      </c>
      <c r="K395" s="1">
        <f>J395/'Controls-Split'!$C$14</f>
        <v>8.492918646779278E-3</v>
      </c>
      <c r="L395" s="1" t="str">
        <f>IF(K395&gt;'Controls-Split'!$I$14,"Pos","Neg")</f>
        <v>Neg</v>
      </c>
      <c r="M395" s="17">
        <v>11</v>
      </c>
      <c r="N395" s="23" t="s">
        <v>23</v>
      </c>
      <c r="O395" s="23" t="s">
        <v>24</v>
      </c>
      <c r="P395" s="23">
        <v>4358</v>
      </c>
      <c r="Q395" s="19">
        <f>P395/'Controls-Split'!$D$28</f>
        <v>2.9131016042780749</v>
      </c>
      <c r="R395" s="1" t="str">
        <f>IF(Q395&gt;'Controls-Split'!$J$28,"Pos","Neg")</f>
        <v>Pos</v>
      </c>
      <c r="S395">
        <v>5</v>
      </c>
    </row>
    <row r="396" spans="1:19" x14ac:dyDescent="0.2">
      <c r="A396" t="s">
        <v>129</v>
      </c>
      <c r="B396" t="s">
        <v>129</v>
      </c>
      <c r="C396" s="6" t="s">
        <v>23</v>
      </c>
      <c r="D396" t="s">
        <v>26</v>
      </c>
      <c r="E396">
        <v>4.5999999999999999E-2</v>
      </c>
      <c r="F396" s="7">
        <v>2</v>
      </c>
      <c r="G396" s="18" t="s">
        <v>21</v>
      </c>
      <c r="H396" s="1" t="s">
        <v>22</v>
      </c>
      <c r="I396" s="2">
        <v>10162</v>
      </c>
      <c r="J396" s="2">
        <f>I396-'Controls-Split'!$D$14</f>
        <v>9373</v>
      </c>
      <c r="K396" s="1">
        <f>J396/'Controls-Split'!$C$14</f>
        <v>0.22051004564061544</v>
      </c>
      <c r="L396" s="1" t="str">
        <f>IF(K396&gt;'Controls-Split'!$I$14,"Pos","Neg")</f>
        <v>Pos</v>
      </c>
      <c r="M396" s="17">
        <v>11</v>
      </c>
      <c r="N396" t="s">
        <v>23</v>
      </c>
      <c r="O396" t="s">
        <v>24</v>
      </c>
      <c r="P396" s="23">
        <v>5379</v>
      </c>
      <c r="Q396" s="19">
        <f>P396/'Controls-Split'!$D$32</f>
        <v>2.1663310511478051</v>
      </c>
      <c r="R396" s="1" t="str">
        <f>IF(Q396&gt;'Controls-Split'!$J$32,"Pos","Neg")</f>
        <v>Neg</v>
      </c>
      <c r="S396">
        <v>9</v>
      </c>
    </row>
    <row r="397" spans="1:19" x14ac:dyDescent="0.2">
      <c r="A397" t="s">
        <v>32</v>
      </c>
      <c r="B397" t="s">
        <v>130</v>
      </c>
      <c r="C397" s="6" t="s">
        <v>26</v>
      </c>
      <c r="D397" t="s">
        <v>23</v>
      </c>
      <c r="E397">
        <v>2.7E-2</v>
      </c>
      <c r="F397" s="7">
        <v>1</v>
      </c>
      <c r="G397" s="1" t="s">
        <v>22</v>
      </c>
      <c r="H397" s="18" t="s">
        <v>21</v>
      </c>
      <c r="I397" s="2">
        <v>656</v>
      </c>
      <c r="J397" s="2">
        <f>I397-'Controls-Split'!$D$14</f>
        <v>-133</v>
      </c>
      <c r="K397" s="1">
        <f>J397/'Controls-Split'!$C$14</f>
        <v>-3.1289700277607867E-3</v>
      </c>
      <c r="L397" s="1" t="str">
        <f>IF(K397&gt;'Controls-Split'!$I$14,"Pos","Neg")</f>
        <v>Neg</v>
      </c>
      <c r="M397" s="22">
        <v>11</v>
      </c>
      <c r="N397" t="s">
        <v>24</v>
      </c>
      <c r="O397" t="s">
        <v>23</v>
      </c>
      <c r="P397">
        <v>645</v>
      </c>
      <c r="Q397" s="19">
        <f>P397/'Controls-Split'!$D$35</f>
        <v>0.44208361891706649</v>
      </c>
      <c r="R397" s="1" t="str">
        <f>IF(Q397&gt;'Controls-Split'!$J$35,"Pos","Neg")</f>
        <v>Neg</v>
      </c>
      <c r="S397">
        <v>12</v>
      </c>
    </row>
    <row r="398" spans="1:19" x14ac:dyDescent="0.2">
      <c r="A398" t="s">
        <v>99</v>
      </c>
      <c r="B398" t="s">
        <v>129</v>
      </c>
      <c r="C398" s="6" t="s">
        <v>23</v>
      </c>
      <c r="D398" t="s">
        <v>20</v>
      </c>
      <c r="E398">
        <v>3.4000000000000002E-2</v>
      </c>
      <c r="F398" s="7">
        <v>2</v>
      </c>
      <c r="G398" s="18" t="s">
        <v>21</v>
      </c>
      <c r="H398" s="18" t="s">
        <v>22</v>
      </c>
      <c r="I398" s="2">
        <v>4962</v>
      </c>
      <c r="J398" s="2">
        <f>I398-'Controls-Split'!$D$14</f>
        <v>4173</v>
      </c>
      <c r="K398" s="1">
        <f>J398/'Controls-Split'!$C$14</f>
        <v>9.8174375382298965E-2</v>
      </c>
      <c r="L398" s="1" t="str">
        <f>IF(K398&gt;'Controls-Split'!$I$14,"Pos","Neg")</f>
        <v>Pos</v>
      </c>
      <c r="M398" s="17">
        <v>11</v>
      </c>
      <c r="N398" t="s">
        <v>23</v>
      </c>
      <c r="O398" t="s">
        <v>24</v>
      </c>
      <c r="P398" s="23">
        <v>1448</v>
      </c>
      <c r="Q398" s="19">
        <f>P398/'Controls-Split'!$D$32</f>
        <v>0.58316552557390255</v>
      </c>
      <c r="R398" s="1" t="str">
        <f>IF(Q398&gt;'Controls-Split'!$J$32,"Pos","Neg")</f>
        <v>Neg</v>
      </c>
      <c r="S398">
        <v>9</v>
      </c>
    </row>
    <row r="399" spans="1:19" x14ac:dyDescent="0.2">
      <c r="A399" t="s">
        <v>84</v>
      </c>
      <c r="B399" t="s">
        <v>129</v>
      </c>
      <c r="C399" s="6" t="s">
        <v>23</v>
      </c>
      <c r="D399" t="s">
        <v>26</v>
      </c>
      <c r="E399">
        <v>3.5000000000000003E-2</v>
      </c>
      <c r="F399" s="7">
        <v>2</v>
      </c>
      <c r="G399" s="18" t="s">
        <v>21</v>
      </c>
      <c r="H399" s="18" t="s">
        <v>22</v>
      </c>
      <c r="I399" s="2">
        <v>2186</v>
      </c>
      <c r="J399" s="2">
        <f>I399-'Controls-Split'!$D$14</f>
        <v>1397</v>
      </c>
      <c r="K399" s="1">
        <f>J399/'Controls-Split'!$C$14</f>
        <v>3.2865948336705406E-2</v>
      </c>
      <c r="L399" s="1" t="str">
        <f>IF(K399&gt;'Controls-Split'!$I$14,"Pos","Neg")</f>
        <v>Neg</v>
      </c>
      <c r="M399" s="17">
        <v>11</v>
      </c>
      <c r="N399" t="s">
        <v>23</v>
      </c>
      <c r="O399" t="s">
        <v>24</v>
      </c>
      <c r="P399">
        <v>2956</v>
      </c>
      <c r="Q399" s="19">
        <f>P399/'Controls-Split'!$D$32</f>
        <v>1.1904953685058397</v>
      </c>
      <c r="R399" s="1" t="str">
        <f>IF(Q399&gt;'Controls-Split'!$J$32,"Pos","Neg")</f>
        <v>Neg</v>
      </c>
      <c r="S399">
        <v>9</v>
      </c>
    </row>
    <row r="400" spans="1:19" x14ac:dyDescent="0.2">
      <c r="A400" t="s">
        <v>84</v>
      </c>
      <c r="B400" t="s">
        <v>25</v>
      </c>
      <c r="C400" s="6" t="s">
        <v>26</v>
      </c>
      <c r="D400" t="s">
        <v>23</v>
      </c>
      <c r="E400">
        <v>4.7E-2</v>
      </c>
      <c r="F400" s="7">
        <v>1</v>
      </c>
      <c r="G400" s="18" t="s">
        <v>22</v>
      </c>
      <c r="H400" s="18" t="s">
        <v>21</v>
      </c>
      <c r="I400" s="2">
        <v>724</v>
      </c>
      <c r="J400" s="2">
        <f>I400-'Controls-Split'!$D$14</f>
        <v>-65</v>
      </c>
      <c r="K400" s="1">
        <f>J400/'Controls-Split'!$C$14</f>
        <v>-1.5291958782289558E-3</v>
      </c>
      <c r="L400" s="1" t="str">
        <f>IF(K400&gt;'Controls-Split'!$I$14,"Pos","Neg")</f>
        <v>Neg</v>
      </c>
      <c r="M400" s="22">
        <v>11</v>
      </c>
      <c r="N400" t="s">
        <v>24</v>
      </c>
      <c r="O400" t="s">
        <v>23</v>
      </c>
      <c r="P400">
        <v>3105</v>
      </c>
      <c r="Q400" s="19">
        <f>P400/'Controls-Split'!$D$27</f>
        <v>1.5109489051094891</v>
      </c>
      <c r="R400" s="1" t="str">
        <f>IF(Q400&gt;'Controls-Split'!$J$27,"Pos","Neg")</f>
        <v>Pos</v>
      </c>
      <c r="S400">
        <v>4</v>
      </c>
    </row>
    <row r="401" spans="1:19" x14ac:dyDescent="0.2">
      <c r="A401" t="s">
        <v>84</v>
      </c>
      <c r="B401" t="s">
        <v>83</v>
      </c>
      <c r="C401" s="6" t="s">
        <v>20</v>
      </c>
      <c r="D401" t="s">
        <v>23</v>
      </c>
      <c r="E401">
        <v>3.5000000000000003E-2</v>
      </c>
      <c r="F401" s="7">
        <v>1</v>
      </c>
      <c r="G401" s="18" t="s">
        <v>22</v>
      </c>
      <c r="H401" s="18" t="s">
        <v>21</v>
      </c>
      <c r="I401" s="2">
        <v>698</v>
      </c>
      <c r="J401" s="2">
        <f>I401-'Controls-Split'!$D$14</f>
        <v>-91</v>
      </c>
      <c r="K401" s="1">
        <f>J401/'Controls-Split'!$C$14</f>
        <v>-2.1408742295205381E-3</v>
      </c>
      <c r="L401" s="1" t="str">
        <f>IF(K401&gt;'Controls-Split'!$I$14,"Pos","Neg")</f>
        <v>Neg</v>
      </c>
      <c r="M401" s="17">
        <v>11</v>
      </c>
      <c r="N401" t="s">
        <v>24</v>
      </c>
      <c r="O401" t="s">
        <v>23</v>
      </c>
      <c r="P401">
        <v>8002</v>
      </c>
      <c r="Q401" s="19">
        <f>P401/'Controls-Split'!$D$27</f>
        <v>3.8939172749391728</v>
      </c>
      <c r="R401" s="1" t="str">
        <f>IF(Q401&gt;'Controls-Split'!$J$27,"Pos","Neg")</f>
        <v>Pos</v>
      </c>
      <c r="S401">
        <v>4</v>
      </c>
    </row>
    <row r="402" spans="1:19" x14ac:dyDescent="0.2">
      <c r="A402" t="s">
        <v>128</v>
      </c>
      <c r="B402" t="s">
        <v>64</v>
      </c>
      <c r="C402" s="6" t="s">
        <v>26</v>
      </c>
      <c r="D402" t="s">
        <v>23</v>
      </c>
      <c r="E402">
        <v>3.9E-2</v>
      </c>
      <c r="F402" s="7">
        <v>1</v>
      </c>
      <c r="G402" s="18" t="s">
        <v>22</v>
      </c>
      <c r="H402" s="18" t="s">
        <v>21</v>
      </c>
      <c r="I402" s="2">
        <v>574</v>
      </c>
      <c r="J402" s="2">
        <f>I402-'Controls-Split'!$D$14</f>
        <v>-215</v>
      </c>
      <c r="K402" s="1">
        <f>J402/'Controls-Split'!$C$14</f>
        <v>-5.0581094433727004E-3</v>
      </c>
      <c r="L402" s="1" t="str">
        <f>IF(K402&gt;'Controls-Split'!$I$14,"Pos","Neg")</f>
        <v>Neg</v>
      </c>
      <c r="M402" s="17">
        <v>11</v>
      </c>
      <c r="N402" t="s">
        <v>24</v>
      </c>
      <c r="O402" t="s">
        <v>23</v>
      </c>
      <c r="P402">
        <v>1189</v>
      </c>
      <c r="Q402" s="19">
        <f>P402/'Controls-Split'!$D$33</f>
        <v>0.46228615863141526</v>
      </c>
      <c r="R402" s="1" t="str">
        <f>IF(Q402&gt;'Controls-Split'!$J$33,"Pos","Neg")</f>
        <v>Neg</v>
      </c>
      <c r="S402">
        <v>10</v>
      </c>
    </row>
    <row r="403" spans="1:19" x14ac:dyDescent="0.2">
      <c r="A403" t="s">
        <v>85</v>
      </c>
      <c r="B403" t="s">
        <v>85</v>
      </c>
      <c r="C403" s="6" t="s">
        <v>23</v>
      </c>
      <c r="D403" t="s">
        <v>20</v>
      </c>
      <c r="E403">
        <v>0.124</v>
      </c>
      <c r="F403" s="7">
        <v>2</v>
      </c>
      <c r="G403" s="18" t="s">
        <v>21</v>
      </c>
      <c r="H403" s="18" t="s">
        <v>22</v>
      </c>
      <c r="I403" s="2">
        <v>1675</v>
      </c>
      <c r="J403" s="2">
        <f>I403-'Controls-Split'!$D$14</f>
        <v>886</v>
      </c>
      <c r="K403" s="1">
        <f>J403/'Controls-Split'!$C$14</f>
        <v>2.0844116124782385E-2</v>
      </c>
      <c r="L403" s="1" t="str">
        <f>IF(K403&gt;'Controls-Split'!$I$14,"Pos","Neg")</f>
        <v>Neg</v>
      </c>
      <c r="M403" s="17">
        <v>11</v>
      </c>
      <c r="N403" t="s">
        <v>23</v>
      </c>
      <c r="O403" t="s">
        <v>24</v>
      </c>
      <c r="P403">
        <v>2268</v>
      </c>
      <c r="Q403" s="19">
        <f>P403/'Controls-Split'!$D$29</f>
        <v>1.8394160583941606</v>
      </c>
      <c r="R403" s="1" t="str">
        <f>IF(Q403&gt;'Controls-Split'!$J$29,"Pos","Neg")</f>
        <v>Pos</v>
      </c>
      <c r="S403">
        <v>6</v>
      </c>
    </row>
    <row r="404" spans="1:19" x14ac:dyDescent="0.2">
      <c r="A404" t="s">
        <v>102</v>
      </c>
      <c r="B404" t="s">
        <v>79</v>
      </c>
      <c r="C404" s="6" t="s">
        <v>23</v>
      </c>
      <c r="D404" t="s">
        <v>20</v>
      </c>
      <c r="E404">
        <v>3.7999999999999999E-2</v>
      </c>
      <c r="F404" s="7">
        <v>2</v>
      </c>
      <c r="G404" s="18" t="s">
        <v>21</v>
      </c>
      <c r="H404" s="18" t="s">
        <v>22</v>
      </c>
      <c r="I404" s="2">
        <v>926</v>
      </c>
      <c r="J404" s="2">
        <f>I404-'Controls-Split'!$D$14</f>
        <v>137</v>
      </c>
      <c r="K404" s="1">
        <f>J404/'Controls-Split'!$C$14</f>
        <v>3.2230743894979532E-3</v>
      </c>
      <c r="L404" s="1" t="str">
        <f>IF(K404&gt;'Controls-Split'!$I$14,"Pos","Neg")</f>
        <v>Neg</v>
      </c>
      <c r="M404" s="22">
        <v>11</v>
      </c>
      <c r="N404" t="s">
        <v>23</v>
      </c>
      <c r="O404" t="s">
        <v>24</v>
      </c>
      <c r="P404">
        <v>1588</v>
      </c>
      <c r="Q404" s="19">
        <f>P404/'Controls-Split'!$D$35</f>
        <v>1.0884167237834133</v>
      </c>
      <c r="R404" s="1" t="str">
        <f>IF(Q404&gt;'Controls-Split'!$J$35,"Pos","Neg")</f>
        <v>Neg</v>
      </c>
      <c r="S404">
        <v>12</v>
      </c>
    </row>
    <row r="405" spans="1:19" x14ac:dyDescent="0.2">
      <c r="A405" t="s">
        <v>108</v>
      </c>
      <c r="B405" t="s">
        <v>49</v>
      </c>
      <c r="C405" s="6" t="s">
        <v>23</v>
      </c>
      <c r="D405" t="s">
        <v>26</v>
      </c>
      <c r="E405">
        <v>3.8300000000000001E-2</v>
      </c>
      <c r="F405" s="7">
        <v>2</v>
      </c>
      <c r="G405" s="18" t="s">
        <v>21</v>
      </c>
      <c r="H405" s="18" t="s">
        <v>22</v>
      </c>
      <c r="I405" s="2">
        <v>689</v>
      </c>
      <c r="J405" s="2">
        <f>I405-'Controls-Split'!$D$14</f>
        <v>-100</v>
      </c>
      <c r="K405" s="1">
        <f>J405/'Controls-Split'!$C$14</f>
        <v>-2.3526090434291629E-3</v>
      </c>
      <c r="L405" s="1" t="str">
        <f>IF(K405&gt;'Controls-Split'!$I$14,"Pos","Neg")</f>
        <v>Neg</v>
      </c>
      <c r="M405" s="17">
        <v>11</v>
      </c>
      <c r="N405" s="23" t="s">
        <v>23</v>
      </c>
      <c r="O405" s="23" t="s">
        <v>24</v>
      </c>
      <c r="P405" s="23">
        <v>1971</v>
      </c>
      <c r="Q405" s="26">
        <v>0.44</v>
      </c>
      <c r="R405" s="18" t="s">
        <v>71</v>
      </c>
      <c r="S405" s="23">
        <v>7</v>
      </c>
    </row>
    <row r="406" spans="1:19" x14ac:dyDescent="0.2">
      <c r="A406" t="s">
        <v>108</v>
      </c>
      <c r="B406" t="s">
        <v>61</v>
      </c>
      <c r="C406" s="6" t="s">
        <v>23</v>
      </c>
      <c r="D406" t="s">
        <v>20</v>
      </c>
      <c r="E406">
        <v>4.9799999999999997E-2</v>
      </c>
      <c r="F406" s="7">
        <v>2</v>
      </c>
      <c r="G406" s="18" t="s">
        <v>21</v>
      </c>
      <c r="H406" s="18" t="s">
        <v>22</v>
      </c>
      <c r="I406" s="2">
        <v>1224</v>
      </c>
      <c r="J406" s="2">
        <f>I406-'Controls-Split'!$D$14</f>
        <v>435</v>
      </c>
      <c r="K406" s="1">
        <f>J406/'Controls-Split'!$C$14</f>
        <v>1.023384933891686E-2</v>
      </c>
      <c r="L406" s="1" t="str">
        <f>IF(K406&gt;'Controls-Split'!$I$14,"Pos","Neg")</f>
        <v>Neg</v>
      </c>
      <c r="M406" s="17">
        <v>11</v>
      </c>
    </row>
    <row r="407" spans="1:19" x14ac:dyDescent="0.2">
      <c r="A407" t="s">
        <v>104</v>
      </c>
      <c r="B407" t="s">
        <v>90</v>
      </c>
      <c r="C407" s="6" t="s">
        <v>20</v>
      </c>
      <c r="D407" t="s">
        <v>19</v>
      </c>
      <c r="E407">
        <v>3.5000000000000003E-2</v>
      </c>
      <c r="F407" s="7">
        <v>2</v>
      </c>
      <c r="G407" s="18" t="s">
        <v>22</v>
      </c>
      <c r="H407" s="18" t="s">
        <v>21</v>
      </c>
      <c r="I407" s="2">
        <v>908</v>
      </c>
      <c r="J407" s="2">
        <f>I407-'Controls-Split'!$D$14</f>
        <v>119</v>
      </c>
      <c r="K407" s="1">
        <f>J407/'Controls-Split'!$C$14</f>
        <v>2.799604761680704E-3</v>
      </c>
      <c r="L407" s="1" t="str">
        <f>IF(K407&gt;'Controls-Split'!$I$14,"Pos","Neg")</f>
        <v>Neg</v>
      </c>
      <c r="M407" s="17">
        <v>11</v>
      </c>
      <c r="N407" t="s">
        <v>24</v>
      </c>
      <c r="O407" t="s">
        <v>23</v>
      </c>
      <c r="P407">
        <v>1847</v>
      </c>
      <c r="Q407" s="19">
        <f>P407/'Controls-Split'!$D$35</f>
        <v>1.2659355723098011</v>
      </c>
      <c r="R407" s="1" t="str">
        <f>IF(Q407&gt;'Controls-Split'!$J$35,"Pos","Neg")</f>
        <v>Neg</v>
      </c>
      <c r="S407">
        <v>12</v>
      </c>
    </row>
    <row r="408" spans="1:19" x14ac:dyDescent="0.2">
      <c r="A408" t="s">
        <v>58</v>
      </c>
      <c r="B408" t="s">
        <v>50</v>
      </c>
      <c r="C408" s="6" t="s">
        <v>19</v>
      </c>
      <c r="D408" t="s">
        <v>20</v>
      </c>
      <c r="E408">
        <v>3.1E-2</v>
      </c>
      <c r="F408" s="7">
        <v>2</v>
      </c>
      <c r="G408" s="18" t="s">
        <v>21</v>
      </c>
      <c r="H408" s="18" t="s">
        <v>22</v>
      </c>
      <c r="I408" s="2">
        <v>16972</v>
      </c>
      <c r="J408" s="2">
        <f>I408-'Controls-Split'!$D$14</f>
        <v>16183</v>
      </c>
      <c r="K408" s="1">
        <f>J408/'Controls-Split'!$C$14</f>
        <v>0.38072272149814146</v>
      </c>
      <c r="L408" s="1" t="str">
        <f>IF(K408&gt;'Controls-Split'!$I$14,"Pos","Neg")</f>
        <v>Pos</v>
      </c>
      <c r="M408" s="22">
        <v>11</v>
      </c>
      <c r="N408" t="s">
        <v>23</v>
      </c>
      <c r="O408" t="s">
        <v>24</v>
      </c>
      <c r="P408" s="23">
        <v>5716</v>
      </c>
      <c r="Q408" s="19">
        <f>P408/'Controls-Split'!$D$32</f>
        <v>2.302053966975433</v>
      </c>
      <c r="R408" s="1" t="str">
        <f>IF(Q408&gt;'Controls-Split'!$J$32,"Pos","Neg")</f>
        <v>Neg</v>
      </c>
      <c r="S408">
        <v>9</v>
      </c>
    </row>
    <row r="409" spans="1:19" x14ac:dyDescent="0.2">
      <c r="A409" t="s">
        <v>58</v>
      </c>
      <c r="B409" t="s">
        <v>32</v>
      </c>
      <c r="C409" s="6" t="s">
        <v>20</v>
      </c>
      <c r="D409" t="s">
        <v>19</v>
      </c>
      <c r="E409">
        <v>3.1E-2</v>
      </c>
      <c r="F409" s="7">
        <v>2</v>
      </c>
      <c r="G409" s="18" t="s">
        <v>22</v>
      </c>
      <c r="H409" s="18" t="s">
        <v>21</v>
      </c>
      <c r="I409" s="2">
        <v>14615</v>
      </c>
      <c r="J409" s="2">
        <f>I409-'Controls-Split'!$D$14</f>
        <v>13826</v>
      </c>
      <c r="K409" s="1">
        <f>J409/'Controls-Split'!$C$14</f>
        <v>0.32527172634451607</v>
      </c>
      <c r="L409" s="1" t="str">
        <f>IF(K409&gt;'Controls-Split'!$I$14,"Pos","Neg")</f>
        <v>Pos</v>
      </c>
      <c r="M409" s="22">
        <v>11</v>
      </c>
      <c r="N409" s="23" t="s">
        <v>24</v>
      </c>
      <c r="O409" s="23" t="s">
        <v>23</v>
      </c>
      <c r="P409">
        <v>967</v>
      </c>
      <c r="Q409" s="19">
        <f>P409/'Controls-Split'!$D$31</f>
        <v>0.35854653318502039</v>
      </c>
      <c r="R409" s="1" t="str">
        <f>IF(Q409&gt;'Controls-Split'!$J$31,"Pos","Neg")</f>
        <v>Neg</v>
      </c>
      <c r="S409">
        <v>8</v>
      </c>
    </row>
    <row r="410" spans="1:19" x14ac:dyDescent="0.2">
      <c r="A410" t="s">
        <v>109</v>
      </c>
      <c r="B410" t="s">
        <v>39</v>
      </c>
      <c r="C410" s="6" t="s">
        <v>19</v>
      </c>
      <c r="D410" t="s">
        <v>20</v>
      </c>
      <c r="E410">
        <v>3.5999999999999997E-2</v>
      </c>
      <c r="F410" s="7">
        <v>2</v>
      </c>
      <c r="G410" s="18" t="s">
        <v>21</v>
      </c>
      <c r="H410" s="18" t="s">
        <v>22</v>
      </c>
      <c r="I410" s="2">
        <v>5995</v>
      </c>
      <c r="J410" s="2">
        <f>I410-'Controls-Split'!$D$14</f>
        <v>5206</v>
      </c>
      <c r="K410" s="1">
        <f>J410/'Controls-Split'!$C$14</f>
        <v>0.12247682680092223</v>
      </c>
      <c r="L410" s="1" t="str">
        <f>IF(K410&gt;'Controls-Split'!$I$14,"Pos","Neg")</f>
        <v>Pos</v>
      </c>
      <c r="M410" s="17">
        <v>11</v>
      </c>
    </row>
    <row r="411" spans="1:19" x14ac:dyDescent="0.2">
      <c r="A411" t="s">
        <v>109</v>
      </c>
      <c r="B411" t="s">
        <v>48</v>
      </c>
      <c r="C411" s="6" t="s">
        <v>20</v>
      </c>
      <c r="D411" t="s">
        <v>23</v>
      </c>
      <c r="E411">
        <v>2.7E-2</v>
      </c>
      <c r="F411" s="7">
        <v>2</v>
      </c>
      <c r="G411" s="18" t="s">
        <v>22</v>
      </c>
      <c r="H411" s="18" t="s">
        <v>21</v>
      </c>
      <c r="I411" s="2">
        <v>4903</v>
      </c>
      <c r="J411" s="2">
        <f>I411-'Controls-Split'!$D$14</f>
        <v>4114</v>
      </c>
      <c r="K411" s="1">
        <f>J411/'Controls-Split'!$C$14</f>
        <v>9.6786336046675761E-2</v>
      </c>
      <c r="L411" s="1" t="str">
        <f>IF(K411&gt;'Controls-Split'!$I$14,"Pos","Neg")</f>
        <v>Pos</v>
      </c>
      <c r="M411" s="17">
        <v>11</v>
      </c>
      <c r="N411" t="s">
        <v>24</v>
      </c>
      <c r="O411" t="s">
        <v>23</v>
      </c>
      <c r="P411">
        <v>1434</v>
      </c>
      <c r="Q411" s="19">
        <f>P411/'Controls-Split'!$D$34</f>
        <v>1.0988505747126436</v>
      </c>
      <c r="R411" s="1" t="str">
        <f>IF(Q411&gt;'Controls-Split'!$J$34,"Pos","Neg")</f>
        <v>Neg</v>
      </c>
      <c r="S411">
        <v>11</v>
      </c>
    </row>
    <row r="412" spans="1:19" x14ac:dyDescent="0.2">
      <c r="A412" t="s">
        <v>109</v>
      </c>
      <c r="B412" t="s">
        <v>45</v>
      </c>
      <c r="C412" s="6" t="s">
        <v>19</v>
      </c>
      <c r="D412" t="s">
        <v>20</v>
      </c>
      <c r="E412">
        <v>6.9000000000000006E-2</v>
      </c>
      <c r="F412" s="7">
        <v>2</v>
      </c>
      <c r="G412" s="1" t="s">
        <v>21</v>
      </c>
      <c r="H412" s="1" t="s">
        <v>22</v>
      </c>
      <c r="I412" s="2">
        <v>2334</v>
      </c>
      <c r="J412" s="2">
        <f>I412-'Controls-Split'!$D$14</f>
        <v>1545</v>
      </c>
      <c r="K412" s="1">
        <f>J412/'Controls-Split'!$C$14</f>
        <v>3.6347809720980569E-2</v>
      </c>
      <c r="L412" s="1" t="str">
        <f>IF(K412&gt;'Controls-Split'!$I$14,"Pos","Neg")</f>
        <v>Neg</v>
      </c>
      <c r="M412" s="17">
        <v>11</v>
      </c>
      <c r="N412" t="s">
        <v>23</v>
      </c>
      <c r="O412" t="s">
        <v>24</v>
      </c>
      <c r="P412">
        <v>2426</v>
      </c>
      <c r="Q412" s="19">
        <f>P412/'Controls-Split'!$D$35</f>
        <v>1.6627827278958192</v>
      </c>
      <c r="R412" s="1" t="str">
        <f>IF(Q412&gt;'Controls-Split'!$J$35,"Pos","Neg")</f>
        <v>Neg</v>
      </c>
      <c r="S412">
        <v>12</v>
      </c>
    </row>
    <row r="413" spans="1:19" x14ac:dyDescent="0.2">
      <c r="A413" t="s">
        <v>109</v>
      </c>
      <c r="B413" t="s">
        <v>87</v>
      </c>
      <c r="C413" s="6" t="s">
        <v>19</v>
      </c>
      <c r="D413" t="s">
        <v>20</v>
      </c>
      <c r="E413">
        <v>5.0999999999999997E-2</v>
      </c>
      <c r="F413" s="7">
        <v>2</v>
      </c>
      <c r="G413" s="1" t="s">
        <v>21</v>
      </c>
      <c r="H413" s="1" t="s">
        <v>22</v>
      </c>
      <c r="I413" s="2">
        <v>5561</v>
      </c>
      <c r="J413" s="2">
        <f>I413-'Controls-Split'!$D$14</f>
        <v>4772</v>
      </c>
      <c r="K413" s="1">
        <f>J413/'Controls-Split'!$C$14</f>
        <v>0.11226650355243965</v>
      </c>
      <c r="L413" s="1" t="str">
        <f>IF(K413&gt;'Controls-Split'!$I$14,"Pos","Neg")</f>
        <v>Pos</v>
      </c>
      <c r="M413" s="17">
        <v>11</v>
      </c>
      <c r="N413" t="s">
        <v>23</v>
      </c>
      <c r="O413" t="s">
        <v>24</v>
      </c>
      <c r="P413">
        <v>5921</v>
      </c>
      <c r="Q413" s="19">
        <f>P413/'Controls-Split'!$D$27</f>
        <v>2.8812652068126519</v>
      </c>
      <c r="R413" s="1" t="str">
        <f>IF(Q413&gt;'Controls-Split'!$J$27,"Pos","Neg")</f>
        <v>Pos</v>
      </c>
      <c r="S413">
        <v>4</v>
      </c>
    </row>
    <row r="414" spans="1:19" x14ac:dyDescent="0.2">
      <c r="A414" t="s">
        <v>109</v>
      </c>
      <c r="B414" t="s">
        <v>95</v>
      </c>
      <c r="C414" s="6" t="s">
        <v>20</v>
      </c>
      <c r="D414" t="s">
        <v>23</v>
      </c>
      <c r="E414">
        <v>2.7E-2</v>
      </c>
      <c r="F414" s="7">
        <v>2</v>
      </c>
      <c r="G414" s="18" t="s">
        <v>22</v>
      </c>
      <c r="H414" s="18" t="s">
        <v>21</v>
      </c>
      <c r="I414" s="2">
        <v>6685</v>
      </c>
      <c r="J414" s="2">
        <f>I414-'Controls-Split'!$D$14</f>
        <v>5896</v>
      </c>
      <c r="K414" s="1">
        <f>J414/'Controls-Split'!$C$14</f>
        <v>0.13870982920058345</v>
      </c>
      <c r="L414" s="1" t="str">
        <f>IF(K414&gt;'Controls-Split'!$I$14,"Pos","Neg")</f>
        <v>Pos</v>
      </c>
      <c r="M414" s="17">
        <v>11</v>
      </c>
      <c r="N414" t="s">
        <v>24</v>
      </c>
      <c r="O414" t="s">
        <v>23</v>
      </c>
      <c r="P414">
        <v>985</v>
      </c>
      <c r="Q414" s="19">
        <f>P414/'Controls-Split'!$D$34</f>
        <v>0.75478927203065138</v>
      </c>
      <c r="R414" s="1" t="str">
        <f>IF(Q414&gt;'Controls-Split'!$J$34,"Pos","Neg")</f>
        <v>Neg</v>
      </c>
      <c r="S414">
        <v>11</v>
      </c>
    </row>
    <row r="415" spans="1:19" x14ac:dyDescent="0.2">
      <c r="A415" t="s">
        <v>29</v>
      </c>
      <c r="B415" t="s">
        <v>122</v>
      </c>
      <c r="C415" s="6" t="s">
        <v>19</v>
      </c>
      <c r="D415" t="s">
        <v>26</v>
      </c>
      <c r="E415">
        <v>0.03</v>
      </c>
      <c r="F415" s="7">
        <v>2</v>
      </c>
      <c r="G415" s="18" t="s">
        <v>21</v>
      </c>
      <c r="H415" s="18" t="s">
        <v>22</v>
      </c>
      <c r="I415" s="2">
        <v>5930</v>
      </c>
      <c r="J415" s="2">
        <f>I415-'Controls-Split'!$D$14</f>
        <v>5141</v>
      </c>
      <c r="K415" s="1">
        <f>J415/'Controls-Split'!$C$14</f>
        <v>0.12094763092269327</v>
      </c>
      <c r="L415" s="1" t="str">
        <f>IF(K415&gt;'Controls-Split'!$I$14,"Pos","Neg")</f>
        <v>Pos</v>
      </c>
      <c r="M415" s="17">
        <v>11</v>
      </c>
      <c r="N415" t="s">
        <v>23</v>
      </c>
      <c r="O415" t="s">
        <v>24</v>
      </c>
      <c r="P415" s="23">
        <v>4328</v>
      </c>
      <c r="Q415" s="19">
        <f>P415/'Controls-Split'!$D$28</f>
        <v>2.893048128342246</v>
      </c>
      <c r="R415" s="1" t="str">
        <f>IF(Q415&gt;'Controls-Split'!$J$28,"Pos","Neg")</f>
        <v>Pos</v>
      </c>
      <c r="S415" s="23">
        <v>5</v>
      </c>
    </row>
    <row r="416" spans="1:19" x14ac:dyDescent="0.2">
      <c r="A416" t="s">
        <v>29</v>
      </c>
      <c r="B416" t="s">
        <v>84</v>
      </c>
      <c r="C416" s="6" t="s">
        <v>19</v>
      </c>
      <c r="D416" t="s">
        <v>20</v>
      </c>
      <c r="E416">
        <v>3.4000000000000002E-2</v>
      </c>
      <c r="F416" s="7">
        <v>2</v>
      </c>
      <c r="G416" s="18" t="s">
        <v>21</v>
      </c>
      <c r="H416" s="18" t="s">
        <v>22</v>
      </c>
      <c r="I416" s="2">
        <v>2427</v>
      </c>
      <c r="J416" s="2">
        <f>I416-'Controls-Split'!$D$14</f>
        <v>1638</v>
      </c>
      <c r="K416" s="1">
        <f>J416/'Controls-Split'!$C$14</f>
        <v>3.8535736131369687E-2</v>
      </c>
      <c r="L416" s="1" t="str">
        <f>IF(K416&gt;'Controls-Split'!$I$14,"Pos","Neg")</f>
        <v>Pos</v>
      </c>
      <c r="M416" s="17">
        <v>11</v>
      </c>
      <c r="N416" t="s">
        <v>23</v>
      </c>
      <c r="O416" t="s">
        <v>24</v>
      </c>
      <c r="P416">
        <v>5898</v>
      </c>
      <c r="Q416" s="19">
        <f>P416/'Controls-Split'!$D$27</f>
        <v>2.87007299270073</v>
      </c>
      <c r="R416" s="1" t="str">
        <f>IF(Q416&gt;'Controls-Split'!$J$27,"Pos","Neg")</f>
        <v>Pos</v>
      </c>
      <c r="S416">
        <v>4</v>
      </c>
    </row>
    <row r="417" spans="1:19" x14ac:dyDescent="0.2">
      <c r="A417" t="s">
        <v>95</v>
      </c>
      <c r="B417" t="s">
        <v>121</v>
      </c>
      <c r="C417" s="6" t="s">
        <v>19</v>
      </c>
      <c r="D417" t="s">
        <v>20</v>
      </c>
      <c r="E417">
        <v>3.5999999999999997E-2</v>
      </c>
      <c r="F417" s="7">
        <v>1</v>
      </c>
      <c r="G417" s="18" t="s">
        <v>21</v>
      </c>
      <c r="H417" s="18" t="s">
        <v>22</v>
      </c>
      <c r="I417" s="2">
        <v>991</v>
      </c>
      <c r="J417" s="2">
        <f>I417-'Controls-Split'!$D$14</f>
        <v>202</v>
      </c>
      <c r="K417" s="1">
        <f>J417/'Controls-Split'!$C$14</f>
        <v>4.7522702677269095E-3</v>
      </c>
      <c r="L417" s="1" t="str">
        <f>IF(K417&gt;'Controls-Split'!$I$14,"Pos","Neg")</f>
        <v>Neg</v>
      </c>
      <c r="M417" s="17">
        <v>11</v>
      </c>
      <c r="N417" t="s">
        <v>23</v>
      </c>
      <c r="O417" t="s">
        <v>24</v>
      </c>
      <c r="P417" s="23">
        <v>1069</v>
      </c>
      <c r="Q417" s="19">
        <f>P417/'Controls-Split'!$D$28</f>
        <v>0.71457219251336901</v>
      </c>
      <c r="R417" s="1" t="str">
        <f>IF(Q417&gt;'Controls-Split'!$J$28,"Pos","Neg")</f>
        <v>Neg</v>
      </c>
      <c r="S417" s="23">
        <v>5</v>
      </c>
    </row>
    <row r="418" spans="1:19" x14ac:dyDescent="0.2">
      <c r="A418" t="s">
        <v>91</v>
      </c>
      <c r="B418" t="s">
        <v>33</v>
      </c>
      <c r="C418" s="6" t="s">
        <v>26</v>
      </c>
      <c r="D418" t="s">
        <v>19</v>
      </c>
      <c r="E418">
        <v>4.2999999999999997E-2</v>
      </c>
      <c r="F418" s="7">
        <v>1</v>
      </c>
      <c r="G418" s="18" t="s">
        <v>22</v>
      </c>
      <c r="H418" s="18" t="s">
        <v>21</v>
      </c>
      <c r="I418" s="2">
        <v>741</v>
      </c>
      <c r="J418" s="2">
        <f>I418-'Controls-Split'!$D$14</f>
        <v>-48</v>
      </c>
      <c r="K418" s="1">
        <f>J418/'Controls-Split'!$C$14</f>
        <v>-1.1292523408459982E-3</v>
      </c>
      <c r="L418" s="1" t="str">
        <f>IF(K418&gt;'Controls-Split'!$I$14,"Pos","Neg")</f>
        <v>Neg</v>
      </c>
      <c r="M418" s="17">
        <v>11</v>
      </c>
      <c r="N418" t="s">
        <v>24</v>
      </c>
      <c r="O418" t="s">
        <v>23</v>
      </c>
      <c r="P418">
        <v>1103</v>
      </c>
      <c r="Q418" s="19">
        <f>P418/'Controls-Split'!$D$35</f>
        <v>0.75599725839616172</v>
      </c>
      <c r="R418" s="1" t="str">
        <f>IF(Q418&gt;'Controls-Split'!$J$35,"Pos","Neg")</f>
        <v>Neg</v>
      </c>
      <c r="S418">
        <v>12</v>
      </c>
    </row>
    <row r="419" spans="1:19" x14ac:dyDescent="0.2">
      <c r="A419" t="s">
        <v>36</v>
      </c>
      <c r="B419" t="s">
        <v>95</v>
      </c>
      <c r="C419" s="6" t="s">
        <v>20</v>
      </c>
      <c r="D419" t="s">
        <v>19</v>
      </c>
      <c r="E419">
        <v>3.2000000000000001E-2</v>
      </c>
      <c r="F419" s="7">
        <v>2</v>
      </c>
      <c r="G419" s="18" t="s">
        <v>22</v>
      </c>
      <c r="H419" s="18" t="s">
        <v>21</v>
      </c>
      <c r="I419" s="2">
        <v>1930</v>
      </c>
      <c r="J419" s="2">
        <f>I419-'Controls-Split'!$D$14</f>
        <v>1141</v>
      </c>
      <c r="K419" s="1">
        <f>J419/'Controls-Split'!$C$14</f>
        <v>2.684326918552675E-2</v>
      </c>
      <c r="L419" s="1" t="str">
        <f>IF(K419&gt;'Controls-Split'!$I$14,"Pos","Neg")</f>
        <v>Neg</v>
      </c>
      <c r="M419" s="17">
        <v>11</v>
      </c>
      <c r="N419" t="s">
        <v>24</v>
      </c>
      <c r="O419" t="s">
        <v>23</v>
      </c>
      <c r="P419">
        <v>1683</v>
      </c>
      <c r="Q419" s="19">
        <f>P419/'Controls-Split'!$D$24</f>
        <v>0.87383177570093462</v>
      </c>
      <c r="R419" s="1" t="str">
        <f>IF(Q419&gt;'Controls-Split'!$J$26,"Pos","Neg")</f>
        <v>Neg</v>
      </c>
      <c r="S419">
        <v>3</v>
      </c>
    </row>
    <row r="420" spans="1:19" x14ac:dyDescent="0.2">
      <c r="A420" t="s">
        <v>77</v>
      </c>
      <c r="B420" t="s">
        <v>69</v>
      </c>
      <c r="C420" s="6" t="s">
        <v>26</v>
      </c>
      <c r="D420" t="s">
        <v>19</v>
      </c>
      <c r="E420">
        <v>4.2000000000000003E-2</v>
      </c>
      <c r="F420" s="7">
        <v>1</v>
      </c>
      <c r="G420" s="20" t="s">
        <v>22</v>
      </c>
      <c r="H420" s="18" t="s">
        <v>21</v>
      </c>
      <c r="I420" s="2">
        <v>3079</v>
      </c>
      <c r="J420" s="2">
        <f>I420-'Controls-Split'!$D$14</f>
        <v>2290</v>
      </c>
      <c r="K420" s="1">
        <f>J420/'Controls-Split'!$C$14</f>
        <v>5.3874747094527831E-2</v>
      </c>
      <c r="L420" s="1" t="str">
        <f>IF(K420&gt;'Controls-Split'!$I$14,"Pos","Neg")</f>
        <v>Pos</v>
      </c>
      <c r="M420" s="17">
        <v>11</v>
      </c>
      <c r="N420" t="s">
        <v>24</v>
      </c>
      <c r="O420" t="s">
        <v>23</v>
      </c>
      <c r="P420">
        <v>2048</v>
      </c>
      <c r="Q420" s="19">
        <f>P420/'Controls-Split'!$D$24</f>
        <v>1.063343717549325</v>
      </c>
      <c r="R420" s="1" t="str">
        <f>IF(Q420&gt;'Controls-Split'!$J$26,"Pos","Neg")</f>
        <v>Neg</v>
      </c>
      <c r="S420">
        <v>3</v>
      </c>
    </row>
    <row r="421" spans="1:19" x14ac:dyDescent="0.2">
      <c r="A421" t="s">
        <v>77</v>
      </c>
      <c r="B421" t="s">
        <v>30</v>
      </c>
      <c r="C421" s="6" t="s">
        <v>20</v>
      </c>
      <c r="D421" t="s">
        <v>23</v>
      </c>
      <c r="E421">
        <v>3.2000000000000001E-2</v>
      </c>
      <c r="F421" s="7">
        <v>2</v>
      </c>
      <c r="G421" s="18" t="s">
        <v>22</v>
      </c>
      <c r="H421" s="18" t="s">
        <v>21</v>
      </c>
      <c r="I421" s="2">
        <v>1366</v>
      </c>
      <c r="J421" s="2">
        <f>I421-'Controls-Split'!$D$14</f>
        <v>577</v>
      </c>
      <c r="K421" s="1">
        <f>J421/'Controls-Split'!$C$14</f>
        <v>1.3574554180586271E-2</v>
      </c>
      <c r="L421" s="1" t="str">
        <f>IF(K421&gt;'Controls-Split'!$I$14,"Pos","Neg")</f>
        <v>Neg</v>
      </c>
      <c r="M421" s="17">
        <v>11</v>
      </c>
      <c r="N421" t="s">
        <v>24</v>
      </c>
      <c r="O421" t="s">
        <v>23</v>
      </c>
      <c r="P421">
        <v>1762</v>
      </c>
      <c r="Q421" s="19">
        <f>P421/'Controls-Split'!$D$24</f>
        <v>0.91484942886812048</v>
      </c>
      <c r="R421" s="1" t="str">
        <f>IF(Q421&gt;'Controls-Split'!$J$26,"Pos","Neg")</f>
        <v>Neg</v>
      </c>
      <c r="S421">
        <v>3</v>
      </c>
    </row>
    <row r="422" spans="1:19" x14ac:dyDescent="0.2">
      <c r="A422" t="s">
        <v>80</v>
      </c>
      <c r="B422" t="s">
        <v>85</v>
      </c>
      <c r="C422" s="6" t="s">
        <v>26</v>
      </c>
      <c r="D422" t="s">
        <v>23</v>
      </c>
      <c r="E422">
        <v>2.8000000000000001E-2</v>
      </c>
      <c r="F422" s="7">
        <v>2</v>
      </c>
      <c r="G422" s="18" t="s">
        <v>22</v>
      </c>
      <c r="H422" s="18" t="s">
        <v>21</v>
      </c>
      <c r="I422" s="2">
        <v>787</v>
      </c>
      <c r="J422" s="2">
        <f>I422-'Controls-Split'!$D$14</f>
        <v>-2</v>
      </c>
      <c r="K422" s="1">
        <f>J422/'Controls-Split'!$C$14</f>
        <v>-4.7052180868583256E-5</v>
      </c>
      <c r="L422" s="1" t="str">
        <f>IF(K422&gt;'Controls-Split'!$I$14,"Pos","Neg")</f>
        <v>Neg</v>
      </c>
      <c r="M422" s="17">
        <v>11</v>
      </c>
      <c r="N422" t="s">
        <v>24</v>
      </c>
      <c r="O422" t="s">
        <v>23</v>
      </c>
      <c r="P422">
        <v>2267</v>
      </c>
      <c r="Q422" s="19">
        <f>P422/'Controls-Split'!$D$24</f>
        <v>1.1770508826583592</v>
      </c>
      <c r="R422" s="1" t="str">
        <f>IF(Q422&gt;'Controls-Split'!$J$26,"Pos","Neg")</f>
        <v>Pos</v>
      </c>
      <c r="S422">
        <v>3</v>
      </c>
    </row>
    <row r="423" spans="1:19" x14ac:dyDescent="0.2">
      <c r="A423" t="s">
        <v>17</v>
      </c>
      <c r="B423" t="s">
        <v>17</v>
      </c>
      <c r="C423" s="6" t="s">
        <v>19</v>
      </c>
      <c r="D423" t="s">
        <v>26</v>
      </c>
      <c r="E423">
        <v>9.9000000000000005E-2</v>
      </c>
      <c r="F423" s="7">
        <v>1</v>
      </c>
      <c r="G423" s="1" t="s">
        <v>21</v>
      </c>
      <c r="H423" s="1" t="s">
        <v>22</v>
      </c>
      <c r="I423" s="2">
        <v>1202.5</v>
      </c>
      <c r="J423" s="2">
        <f>I423-'Controls-Split'!D16</f>
        <v>-30.75</v>
      </c>
      <c r="K423" s="1">
        <f>J423/'Controls-Split'!C16</f>
        <v>-7.7400841970134602E-4</v>
      </c>
      <c r="L423" s="1" t="str">
        <f>IF(K423&gt;'Controls-Split'!$I$10,"Pos","Neg")</f>
        <v>Neg</v>
      </c>
      <c r="M423" s="17">
        <v>13</v>
      </c>
      <c r="N423" t="s">
        <v>23</v>
      </c>
      <c r="O423" t="s">
        <v>24</v>
      </c>
      <c r="P423">
        <v>2472</v>
      </c>
      <c r="Q423" s="19">
        <f>P423/'Controls-Split'!$D$24</f>
        <v>1.2834890965732086</v>
      </c>
      <c r="R423" s="1" t="str">
        <f>IF(Q423&gt;'Controls-Split'!$J$24,"Pos","Neg")</f>
        <v>Pos</v>
      </c>
      <c r="S423">
        <v>1</v>
      </c>
    </row>
    <row r="424" spans="1:19" x14ac:dyDescent="0.2">
      <c r="A424" t="s">
        <v>17</v>
      </c>
      <c r="B424" t="s">
        <v>61</v>
      </c>
      <c r="C424" s="6" t="s">
        <v>19</v>
      </c>
      <c r="D424" t="s">
        <v>26</v>
      </c>
      <c r="E424">
        <v>3.7999999999999999E-2</v>
      </c>
      <c r="F424" s="7">
        <v>2</v>
      </c>
      <c r="G424" s="1" t="s">
        <v>21</v>
      </c>
      <c r="H424" s="1" t="s">
        <v>22</v>
      </c>
      <c r="I424" s="2">
        <v>1818</v>
      </c>
      <c r="J424" s="2">
        <f>I424-'Controls-Split'!D16</f>
        <v>584.75</v>
      </c>
      <c r="K424" s="1">
        <f>J424/'Controls-Split'!C16</f>
        <v>1.4718745477084946E-2</v>
      </c>
      <c r="L424" s="1" t="s">
        <v>131</v>
      </c>
      <c r="M424" s="17">
        <v>13</v>
      </c>
      <c r="N424" t="s">
        <v>23</v>
      </c>
      <c r="O424" t="s">
        <v>24</v>
      </c>
      <c r="P424">
        <v>3641</v>
      </c>
      <c r="Q424" s="19">
        <f>P424/'Controls-Split'!$D$32</f>
        <v>1.4663713250100685</v>
      </c>
      <c r="R424" s="1" t="str">
        <f>IF(Q424&gt;'Controls-Split'!$J$32,"Pos","Neg")</f>
        <v>Neg</v>
      </c>
      <c r="S424">
        <v>9</v>
      </c>
    </row>
    <row r="425" spans="1:19" x14ac:dyDescent="0.2">
      <c r="A425" t="s">
        <v>125</v>
      </c>
      <c r="B425" t="s">
        <v>58</v>
      </c>
      <c r="C425" s="6" t="s">
        <v>23</v>
      </c>
      <c r="D425" t="s">
        <v>26</v>
      </c>
      <c r="E425">
        <v>0.124</v>
      </c>
      <c r="F425" s="7">
        <v>2</v>
      </c>
      <c r="G425" s="1" t="s">
        <v>21</v>
      </c>
      <c r="H425" s="1" t="s">
        <v>22</v>
      </c>
      <c r="I425" s="2">
        <v>13931</v>
      </c>
      <c r="J425" s="2">
        <f>I425-'Controls-Split'!D16</f>
        <v>12697.75</v>
      </c>
      <c r="K425" s="1">
        <f>J425/'Controls-Split'!C16</f>
        <v>0.31961513532561842</v>
      </c>
      <c r="L425" s="1" t="str">
        <f>IF(K425&gt;'Controls-Split'!$I$10,"Pos","Neg")</f>
        <v>Pos</v>
      </c>
      <c r="M425" s="17">
        <v>13</v>
      </c>
      <c r="N425" t="s">
        <v>23</v>
      </c>
      <c r="O425" t="s">
        <v>24</v>
      </c>
      <c r="P425">
        <v>20830</v>
      </c>
      <c r="Q425" s="19">
        <f>P425/'Controls-Split'!$D$31</f>
        <v>7.7233963663329623</v>
      </c>
      <c r="R425" s="1" t="str">
        <f>IF(Q425&gt;'Controls-Split'!$J$31,"Pos","Neg")</f>
        <v>Pos</v>
      </c>
      <c r="S425">
        <v>8</v>
      </c>
    </row>
    <row r="426" spans="1:19" x14ac:dyDescent="0.2">
      <c r="A426" t="s">
        <v>72</v>
      </c>
      <c r="B426" t="s">
        <v>33</v>
      </c>
      <c r="C426" s="6" t="s">
        <v>23</v>
      </c>
      <c r="D426" t="s">
        <v>20</v>
      </c>
      <c r="E426">
        <v>3.2000000000000001E-2</v>
      </c>
      <c r="F426" s="7">
        <v>2</v>
      </c>
      <c r="G426" s="18" t="s">
        <v>21</v>
      </c>
      <c r="H426" s="1" t="s">
        <v>22</v>
      </c>
      <c r="I426" s="2"/>
      <c r="J426" s="2"/>
      <c r="M426" s="17"/>
      <c r="N426" t="s">
        <v>23</v>
      </c>
      <c r="O426" t="s">
        <v>24</v>
      </c>
      <c r="P426">
        <v>1274</v>
      </c>
      <c r="Q426" s="19">
        <f>P426/'Controls-Split'!$D$28</f>
        <v>0.85160427807486627</v>
      </c>
      <c r="R426" s="1" t="str">
        <f>IF(Q426&gt;'Controls-Split'!$J$28,"Pos","Neg")</f>
        <v>Neg</v>
      </c>
      <c r="S426">
        <v>5</v>
      </c>
    </row>
    <row r="427" spans="1:19" x14ac:dyDescent="0.2">
      <c r="A427" t="s">
        <v>108</v>
      </c>
      <c r="B427" t="s">
        <v>18</v>
      </c>
      <c r="C427" s="6" t="s">
        <v>26</v>
      </c>
      <c r="D427" t="s">
        <v>23</v>
      </c>
      <c r="E427">
        <v>0.10249999999999999</v>
      </c>
      <c r="F427" s="7">
        <v>2</v>
      </c>
      <c r="G427" s="18" t="s">
        <v>22</v>
      </c>
      <c r="H427" s="18" t="s">
        <v>21</v>
      </c>
      <c r="I427" s="2"/>
      <c r="J427" s="2"/>
      <c r="M427" s="17"/>
      <c r="N427" t="s">
        <v>24</v>
      </c>
      <c r="O427" t="s">
        <v>23</v>
      </c>
      <c r="P427">
        <v>2383</v>
      </c>
      <c r="Q427" s="19">
        <f>P427/'Controls-Split'!$D$29</f>
        <v>1.932684509326845</v>
      </c>
      <c r="R427" s="1" t="str">
        <f>IF(Q427&gt;'Controls-Split'!$J$29,"Pos","Neg")</f>
        <v>Pos</v>
      </c>
      <c r="S427">
        <v>6</v>
      </c>
    </row>
    <row r="428" spans="1:19" x14ac:dyDescent="0.2">
      <c r="A428" t="s">
        <v>58</v>
      </c>
      <c r="B428" t="s">
        <v>132</v>
      </c>
      <c r="C428" s="6" t="s">
        <v>26</v>
      </c>
      <c r="D428" t="s">
        <v>23</v>
      </c>
      <c r="E428">
        <v>3.7999999999999999E-2</v>
      </c>
      <c r="F428" s="7">
        <v>2</v>
      </c>
      <c r="G428" s="18" t="s">
        <v>22</v>
      </c>
      <c r="H428" s="18" t="s">
        <v>21</v>
      </c>
      <c r="I428" s="2"/>
      <c r="J428" s="2"/>
      <c r="M428" s="17"/>
      <c r="N428" t="s">
        <v>24</v>
      </c>
      <c r="O428" t="s">
        <v>23</v>
      </c>
      <c r="P428">
        <v>1088</v>
      </c>
      <c r="Q428" s="19">
        <f>P428/'Controls-Split'!$D$33</f>
        <v>0.42301710730948677</v>
      </c>
      <c r="R428" s="1" t="str">
        <f>IF(Q428&gt;'Controls-Split'!$J$33,"Pos","Neg")</f>
        <v>Neg</v>
      </c>
      <c r="S428">
        <v>10</v>
      </c>
    </row>
    <row r="429" spans="1:19" x14ac:dyDescent="0.2">
      <c r="A429" t="s">
        <v>29</v>
      </c>
      <c r="B429" t="s">
        <v>132</v>
      </c>
      <c r="C429" s="6" t="s">
        <v>20</v>
      </c>
      <c r="D429" t="s">
        <v>23</v>
      </c>
      <c r="E429">
        <v>4.2000000000000003E-2</v>
      </c>
      <c r="F429" s="7">
        <v>2</v>
      </c>
      <c r="G429" s="18" t="s">
        <v>22</v>
      </c>
      <c r="H429" s="18" t="s">
        <v>21</v>
      </c>
      <c r="I429" s="2"/>
      <c r="J429" s="2"/>
      <c r="M429" s="17"/>
      <c r="N429" t="s">
        <v>24</v>
      </c>
      <c r="O429" t="s">
        <v>23</v>
      </c>
      <c r="P429">
        <v>598</v>
      </c>
      <c r="Q429" s="19">
        <f>P429/'Controls-Split'!$D$34</f>
        <v>0.45823754789272031</v>
      </c>
      <c r="R429" s="1" t="str">
        <f>IF(Q429&gt;'Controls-Split'!$J$34,"Pos","Neg")</f>
        <v>Neg</v>
      </c>
      <c r="S429">
        <v>11</v>
      </c>
    </row>
    <row r="430" spans="1:19" x14ac:dyDescent="0.2">
      <c r="A430" t="s">
        <v>36</v>
      </c>
      <c r="B430" t="s">
        <v>132</v>
      </c>
      <c r="C430" s="6" t="s">
        <v>20</v>
      </c>
      <c r="D430" t="s">
        <v>23</v>
      </c>
      <c r="E430">
        <v>4.3999999999999997E-2</v>
      </c>
      <c r="F430" s="7">
        <v>2</v>
      </c>
      <c r="G430" s="18" t="s">
        <v>22</v>
      </c>
      <c r="H430" s="18" t="s">
        <v>21</v>
      </c>
      <c r="I430" s="2"/>
      <c r="J430" s="2"/>
      <c r="M430" s="17"/>
      <c r="N430" t="s">
        <v>24</v>
      </c>
      <c r="O430" t="s">
        <v>23</v>
      </c>
      <c r="P430">
        <v>1728</v>
      </c>
      <c r="Q430" s="19">
        <f>P430/'Controls-Split'!$D$26</f>
        <v>0.89210118740320088</v>
      </c>
      <c r="S430">
        <v>3</v>
      </c>
    </row>
    <row r="431" spans="1:19" x14ac:dyDescent="0.2">
      <c r="A431" t="s">
        <v>61</v>
      </c>
      <c r="B431" t="s">
        <v>132</v>
      </c>
      <c r="C431" s="6" t="s">
        <v>23</v>
      </c>
      <c r="D431" t="s">
        <v>20</v>
      </c>
      <c r="E431">
        <v>3.1E-2</v>
      </c>
      <c r="F431" s="7">
        <v>2</v>
      </c>
      <c r="G431" s="18" t="s">
        <v>21</v>
      </c>
      <c r="H431" s="18" t="s">
        <v>22</v>
      </c>
      <c r="I431" s="2"/>
      <c r="J431" s="2"/>
      <c r="M431" s="17"/>
    </row>
  </sheetData>
  <sortState xmlns:xlrd2="http://schemas.microsoft.com/office/spreadsheetml/2017/richdata2" ref="A3:S431">
    <sortCondition ref="M3:M431"/>
    <sortCondition ref="A3:A431"/>
    <sortCondition ref="B3:B431"/>
  </sortState>
  <mergeCells count="3">
    <mergeCell ref="C1:F1"/>
    <mergeCell ref="N1:P1"/>
    <mergeCell ref="G1:M1"/>
  </mergeCells>
  <conditionalFormatting sqref="L1:L40">
    <cfRule type="containsText" dxfId="19" priority="422" operator="containsText" text="Pos">
      <formula>NOT(ISERROR(SEARCH("Pos",L1)))</formula>
    </cfRule>
  </conditionalFormatting>
  <conditionalFormatting sqref="L42:L1048576">
    <cfRule type="containsText" dxfId="18" priority="393" operator="containsText" text="Pos">
      <formula>NOT(ISERROR(SEARCH("Pos",L42)))</formula>
    </cfRule>
  </conditionalFormatting>
  <conditionalFormatting sqref="R3:R6">
    <cfRule type="containsText" dxfId="17" priority="9" operator="containsText" text="Pos">
      <formula>NOT(ISERROR(SEARCH("Pos",R3)))</formula>
    </cfRule>
  </conditionalFormatting>
  <conditionalFormatting sqref="R8:R20">
    <cfRule type="containsText" dxfId="16" priority="14" operator="containsText" text="Pos">
      <formula>NOT(ISERROR(SEARCH("Pos",R8)))</formula>
    </cfRule>
  </conditionalFormatting>
  <conditionalFormatting sqref="R22:R58">
    <cfRule type="containsText" dxfId="15" priority="11" operator="containsText" text="Pos">
      <formula>NOT(ISERROR(SEARCH("Pos",R22)))</formula>
    </cfRule>
  </conditionalFormatting>
  <conditionalFormatting sqref="R60">
    <cfRule type="containsText" dxfId="14" priority="184" operator="containsText" text="Pos">
      <formula>NOT(ISERROR(SEARCH("Pos",R60)))</formula>
    </cfRule>
  </conditionalFormatting>
  <conditionalFormatting sqref="R62:R66">
    <cfRule type="containsText" dxfId="13" priority="371" operator="containsText" text="Pos">
      <formula>NOT(ISERROR(SEARCH("Pos",R62)))</formula>
    </cfRule>
  </conditionalFormatting>
  <conditionalFormatting sqref="R68:R95">
    <cfRule type="containsText" dxfId="12" priority="15" operator="containsText" text="Pos">
      <formula>NOT(ISERROR(SEARCH("Pos",R68)))</formula>
    </cfRule>
  </conditionalFormatting>
  <conditionalFormatting sqref="R97:R111">
    <cfRule type="containsText" dxfId="11" priority="32" operator="containsText" text="Pos">
      <formula>NOT(ISERROR(SEARCH("Pos",R97)))</formula>
    </cfRule>
  </conditionalFormatting>
  <conditionalFormatting sqref="R113:R153">
    <cfRule type="containsText" dxfId="10" priority="8" operator="containsText" text="Pos">
      <formula>NOT(ISERROR(SEARCH("Pos",R113)))</formula>
    </cfRule>
  </conditionalFormatting>
  <conditionalFormatting sqref="R155:R229">
    <cfRule type="containsText" dxfId="9" priority="6" operator="containsText" text="Pos">
      <formula>NOT(ISERROR(SEARCH("Pos",R155)))</formula>
    </cfRule>
  </conditionalFormatting>
  <conditionalFormatting sqref="R231:R280">
    <cfRule type="containsText" dxfId="8" priority="5" operator="containsText" text="Pos">
      <formula>NOT(ISERROR(SEARCH("Pos",R231)))</formula>
    </cfRule>
  </conditionalFormatting>
  <conditionalFormatting sqref="R282:R296">
    <cfRule type="containsText" dxfId="7" priority="64" operator="containsText" text="Pos">
      <formula>NOT(ISERROR(SEARCH("Pos",R282)))</formula>
    </cfRule>
  </conditionalFormatting>
  <conditionalFormatting sqref="R298:R342">
    <cfRule type="containsText" dxfId="6" priority="3" operator="containsText" text="Pos">
      <formula>NOT(ISERROR(SEARCH("Pos",R298)))</formula>
    </cfRule>
  </conditionalFormatting>
  <conditionalFormatting sqref="R344:R350">
    <cfRule type="containsText" dxfId="5" priority="92" operator="containsText" text="Pos">
      <formula>NOT(ISERROR(SEARCH("Pos",R344)))</formula>
    </cfRule>
  </conditionalFormatting>
  <conditionalFormatting sqref="R353:R369">
    <cfRule type="containsText" dxfId="4" priority="1" operator="containsText" text="Pos">
      <formula>NOT(ISERROR(SEARCH("Pos",R353)))</formula>
    </cfRule>
  </conditionalFormatting>
  <conditionalFormatting sqref="R371:R372">
    <cfRule type="containsText" dxfId="3" priority="128" operator="containsText" text="Pos">
      <formula>NOT(ISERROR(SEARCH("Pos",R371)))</formula>
    </cfRule>
  </conditionalFormatting>
  <conditionalFormatting sqref="R374:R404">
    <cfRule type="containsText" dxfId="2" priority="17" operator="containsText" text="Pos">
      <formula>NOT(ISERROR(SEARCH("Pos",R374)))</formula>
    </cfRule>
  </conditionalFormatting>
  <conditionalFormatting sqref="R407:R409">
    <cfRule type="containsText" dxfId="1" priority="19" operator="containsText" text="Pos">
      <formula>NOT(ISERROR(SEARCH("Pos",R407)))</formula>
    </cfRule>
  </conditionalFormatting>
  <conditionalFormatting sqref="R411:R429">
    <cfRule type="containsText" dxfId="0" priority="47" operator="containsText" text="Pos">
      <formula>NOT(ISERROR(SEARCH("Pos",R411)))</formula>
    </cfRule>
  </conditionalFormatting>
  <pageMargins left="0.75" right="0.75" top="1" bottom="1" header="0.5" footer="0.5"/>
  <pageSetup paperSize="9" orientation="portrait" horizontalDpi="4294967292" verticalDpi="4294967292"/>
  <ignoredErrors>
    <ignoredError sqref="R135 Q365:R365 Q363:R363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ACE2-CD70-5744-B4F5-F81C7D030CE7}">
  <dimension ref="A1:K430"/>
  <sheetViews>
    <sheetView tabSelected="1" workbookViewId="0">
      <selection activeCell="I10" sqref="I10"/>
    </sheetView>
  </sheetViews>
  <sheetFormatPr baseColWidth="10" defaultRowHeight="16" x14ac:dyDescent="0.2"/>
  <cols>
    <col min="7" max="7" width="13.83203125" bestFit="1" customWidth="1"/>
    <col min="10" max="10" width="18" bestFit="1" customWidth="1"/>
  </cols>
  <sheetData>
    <row r="1" spans="1:11" ht="17" thickBot="1" x14ac:dyDescent="0.25">
      <c r="A1" s="37" t="s">
        <v>3</v>
      </c>
      <c r="B1" s="37" t="s">
        <v>4</v>
      </c>
      <c r="C1" s="38" t="s">
        <v>316</v>
      </c>
      <c r="D1" s="39" t="s">
        <v>317</v>
      </c>
      <c r="E1" s="41" t="s">
        <v>312</v>
      </c>
      <c r="F1" s="41" t="s">
        <v>313</v>
      </c>
      <c r="G1" s="40" t="s">
        <v>314</v>
      </c>
      <c r="H1" s="42" t="s">
        <v>315</v>
      </c>
      <c r="I1" s="38" t="s">
        <v>318</v>
      </c>
      <c r="J1" s="43" t="s">
        <v>319</v>
      </c>
      <c r="K1" s="38" t="s">
        <v>320</v>
      </c>
    </row>
    <row r="2" spans="1:11" x14ac:dyDescent="0.2">
      <c r="A2" s="23" t="s">
        <v>17</v>
      </c>
      <c r="B2" s="23" t="s">
        <v>18</v>
      </c>
      <c r="C2" s="23">
        <v>5.5E-2</v>
      </c>
      <c r="D2" s="44">
        <v>1</v>
      </c>
      <c r="E2" s="21">
        <v>1867</v>
      </c>
      <c r="F2" s="21">
        <v>369</v>
      </c>
      <c r="G2" s="18">
        <v>7.0000000000000001E-3</v>
      </c>
      <c r="H2" s="18" t="s">
        <v>71</v>
      </c>
      <c r="I2" s="23">
        <v>3860</v>
      </c>
      <c r="J2" s="26">
        <v>1.55</v>
      </c>
      <c r="K2" s="18" t="s">
        <v>71</v>
      </c>
    </row>
    <row r="3" spans="1:11" x14ac:dyDescent="0.2">
      <c r="A3" s="23" t="s">
        <v>17</v>
      </c>
      <c r="B3" s="23" t="s">
        <v>25</v>
      </c>
      <c r="C3" s="23">
        <v>0.03</v>
      </c>
      <c r="D3" s="44">
        <v>2</v>
      </c>
      <c r="E3" s="21">
        <v>1746</v>
      </c>
      <c r="F3" s="21">
        <v>248</v>
      </c>
      <c r="G3" s="18">
        <v>4.0000000000000001E-3</v>
      </c>
      <c r="H3" s="18" t="s">
        <v>71</v>
      </c>
      <c r="I3" s="23">
        <v>2344</v>
      </c>
      <c r="J3" s="26">
        <v>1.1399999999999999</v>
      </c>
      <c r="K3" s="18" t="s">
        <v>71</v>
      </c>
    </row>
    <row r="4" spans="1:11" x14ac:dyDescent="0.2">
      <c r="A4" s="23" t="s">
        <v>17</v>
      </c>
      <c r="B4" s="23" t="s">
        <v>27</v>
      </c>
      <c r="C4" s="23">
        <v>3.9E-2</v>
      </c>
      <c r="D4" s="44">
        <v>2</v>
      </c>
      <c r="E4" s="21">
        <v>1751</v>
      </c>
      <c r="F4" s="21">
        <v>253</v>
      </c>
      <c r="G4" s="18">
        <v>5.0000000000000001E-3</v>
      </c>
      <c r="H4" s="18" t="s">
        <v>71</v>
      </c>
      <c r="I4" s="23">
        <v>2658</v>
      </c>
      <c r="J4" s="26">
        <v>1.07</v>
      </c>
      <c r="K4" s="18" t="s">
        <v>71</v>
      </c>
    </row>
    <row r="5" spans="1:11" x14ac:dyDescent="0.2">
      <c r="A5" s="23" t="s">
        <v>17</v>
      </c>
      <c r="B5" s="23" t="s">
        <v>28</v>
      </c>
      <c r="C5" s="23">
        <v>2.9000000000000001E-2</v>
      </c>
      <c r="D5" s="44">
        <v>2</v>
      </c>
      <c r="E5" s="21">
        <v>1769</v>
      </c>
      <c r="F5" s="21">
        <v>271</v>
      </c>
      <c r="G5" s="18">
        <v>5.0000000000000001E-3</v>
      </c>
      <c r="H5" s="18" t="s">
        <v>71</v>
      </c>
      <c r="I5" s="23">
        <v>1253</v>
      </c>
      <c r="J5" s="26">
        <v>0.97</v>
      </c>
      <c r="K5" s="18" t="s">
        <v>71</v>
      </c>
    </row>
    <row r="6" spans="1:11" x14ac:dyDescent="0.2">
      <c r="A6" s="23" t="s">
        <v>17</v>
      </c>
      <c r="B6" s="23" t="s">
        <v>29</v>
      </c>
      <c r="C6" s="23">
        <v>3.3000000000000002E-2</v>
      </c>
      <c r="D6" s="44">
        <v>2</v>
      </c>
      <c r="E6" s="21">
        <v>3677</v>
      </c>
      <c r="F6" s="21">
        <v>2179</v>
      </c>
      <c r="G6" s="18">
        <v>3.9E-2</v>
      </c>
      <c r="H6" s="18" t="s">
        <v>71</v>
      </c>
      <c r="I6" s="23"/>
      <c r="J6" s="26"/>
      <c r="K6" s="23"/>
    </row>
    <row r="7" spans="1:11" x14ac:dyDescent="0.2">
      <c r="A7" s="23" t="s">
        <v>17</v>
      </c>
      <c r="B7" s="23" t="s">
        <v>30</v>
      </c>
      <c r="C7" s="23">
        <v>0.03</v>
      </c>
      <c r="D7" s="44">
        <v>1</v>
      </c>
      <c r="E7" s="21">
        <v>2246</v>
      </c>
      <c r="F7" s="21">
        <v>748</v>
      </c>
      <c r="G7" s="18">
        <v>1.4E-2</v>
      </c>
      <c r="H7" s="18" t="s">
        <v>71</v>
      </c>
      <c r="I7" s="23">
        <v>1933</v>
      </c>
      <c r="J7" s="26">
        <v>1</v>
      </c>
      <c r="K7" s="18" t="s">
        <v>71</v>
      </c>
    </row>
    <row r="8" spans="1:11" x14ac:dyDescent="0.2">
      <c r="A8" s="23" t="s">
        <v>31</v>
      </c>
      <c r="B8" s="23" t="s">
        <v>32</v>
      </c>
      <c r="C8" s="23">
        <v>6.6000000000000003E-2</v>
      </c>
      <c r="D8" s="44">
        <v>2</v>
      </c>
      <c r="E8" s="21">
        <v>1826</v>
      </c>
      <c r="F8" s="21">
        <v>328</v>
      </c>
      <c r="G8" s="18">
        <v>6.0000000000000001E-3</v>
      </c>
      <c r="H8" s="18" t="s">
        <v>71</v>
      </c>
      <c r="I8" s="23">
        <v>569</v>
      </c>
      <c r="J8" s="26">
        <v>0.39</v>
      </c>
      <c r="K8" s="18" t="s">
        <v>71</v>
      </c>
    </row>
    <row r="9" spans="1:11" x14ac:dyDescent="0.2">
      <c r="A9" s="23" t="s">
        <v>31</v>
      </c>
      <c r="B9" s="23" t="s">
        <v>33</v>
      </c>
      <c r="C9" s="23">
        <v>2.8000000000000001E-2</v>
      </c>
      <c r="D9" s="44">
        <v>2</v>
      </c>
      <c r="E9" s="21">
        <v>1708</v>
      </c>
      <c r="F9" s="21">
        <v>210</v>
      </c>
      <c r="G9" s="18">
        <v>4.0000000000000001E-3</v>
      </c>
      <c r="H9" s="18" t="s">
        <v>71</v>
      </c>
      <c r="I9" s="23">
        <v>684</v>
      </c>
      <c r="J9" s="26">
        <v>0.47</v>
      </c>
      <c r="K9" s="18" t="s">
        <v>71</v>
      </c>
    </row>
    <row r="10" spans="1:11" x14ac:dyDescent="0.2">
      <c r="A10" s="23" t="s">
        <v>34</v>
      </c>
      <c r="B10" s="23" t="s">
        <v>34</v>
      </c>
      <c r="C10" s="23">
        <v>0.108</v>
      </c>
      <c r="D10" s="44">
        <v>2</v>
      </c>
      <c r="E10" s="21">
        <v>2427</v>
      </c>
      <c r="F10" s="21">
        <v>929</v>
      </c>
      <c r="G10" s="18">
        <v>1.7000000000000001E-2</v>
      </c>
      <c r="H10" s="18" t="s">
        <v>71</v>
      </c>
      <c r="I10" s="23">
        <v>4724</v>
      </c>
      <c r="J10" s="26">
        <v>1.75</v>
      </c>
      <c r="K10" s="45" t="s">
        <v>131</v>
      </c>
    </row>
    <row r="11" spans="1:11" x14ac:dyDescent="0.2">
      <c r="A11" s="23" t="s">
        <v>34</v>
      </c>
      <c r="B11" s="23" t="s">
        <v>35</v>
      </c>
      <c r="C11" s="23">
        <v>3.4000000000000002E-2</v>
      </c>
      <c r="D11" s="44">
        <v>2</v>
      </c>
      <c r="E11" s="21">
        <v>1617</v>
      </c>
      <c r="F11" s="21">
        <v>119</v>
      </c>
      <c r="G11" s="18">
        <v>2E-3</v>
      </c>
      <c r="H11" s="18" t="s">
        <v>71</v>
      </c>
      <c r="I11" s="23">
        <v>8134</v>
      </c>
      <c r="J11" s="26">
        <v>3.28</v>
      </c>
      <c r="K11" s="45" t="s">
        <v>131</v>
      </c>
    </row>
    <row r="12" spans="1:11" x14ac:dyDescent="0.2">
      <c r="A12" s="23" t="s">
        <v>34</v>
      </c>
      <c r="B12" s="23" t="s">
        <v>36</v>
      </c>
      <c r="C12" s="23">
        <v>4.1000000000000002E-2</v>
      </c>
      <c r="D12" s="44">
        <v>2</v>
      </c>
      <c r="E12" s="21">
        <v>1911</v>
      </c>
      <c r="F12" s="21">
        <v>413</v>
      </c>
      <c r="G12" s="18">
        <v>7.0000000000000001E-3</v>
      </c>
      <c r="H12" s="18" t="s">
        <v>71</v>
      </c>
      <c r="I12" s="23">
        <v>7080</v>
      </c>
      <c r="J12" s="26">
        <v>2.63</v>
      </c>
      <c r="K12" s="45" t="s">
        <v>131</v>
      </c>
    </row>
    <row r="13" spans="1:11" x14ac:dyDescent="0.2">
      <c r="A13" s="23" t="s">
        <v>34</v>
      </c>
      <c r="B13" s="23" t="s">
        <v>30</v>
      </c>
      <c r="C13" s="23">
        <v>3.2000000000000001E-2</v>
      </c>
      <c r="D13" s="44">
        <v>2</v>
      </c>
      <c r="E13" s="21">
        <v>1872</v>
      </c>
      <c r="F13" s="21">
        <v>374</v>
      </c>
      <c r="G13" s="18">
        <v>7.0000000000000001E-3</v>
      </c>
      <c r="H13" s="18" t="s">
        <v>71</v>
      </c>
      <c r="I13" s="23">
        <v>1191</v>
      </c>
      <c r="J13" s="26">
        <v>0.44</v>
      </c>
      <c r="K13" s="18" t="s">
        <v>71</v>
      </c>
    </row>
    <row r="14" spans="1:11" x14ac:dyDescent="0.2">
      <c r="A14" s="23" t="s">
        <v>34</v>
      </c>
      <c r="B14" s="23" t="s">
        <v>37</v>
      </c>
      <c r="C14" s="23">
        <v>2.8000000000000001E-2</v>
      </c>
      <c r="D14" s="44">
        <v>2</v>
      </c>
      <c r="E14" s="21">
        <v>1544</v>
      </c>
      <c r="F14" s="21">
        <v>46</v>
      </c>
      <c r="G14" s="18">
        <v>1E-3</v>
      </c>
      <c r="H14" s="18" t="s">
        <v>71</v>
      </c>
      <c r="I14" s="23">
        <v>5605</v>
      </c>
      <c r="J14" s="26">
        <v>2.08</v>
      </c>
      <c r="K14" s="45" t="s">
        <v>131</v>
      </c>
    </row>
    <row r="15" spans="1:11" x14ac:dyDescent="0.2">
      <c r="A15" s="23" t="s">
        <v>34</v>
      </c>
      <c r="B15" s="23" t="s">
        <v>38</v>
      </c>
      <c r="C15" s="23">
        <v>5.2999999999999999E-2</v>
      </c>
      <c r="D15" s="44">
        <v>2</v>
      </c>
      <c r="E15" s="21">
        <v>2722</v>
      </c>
      <c r="F15" s="21">
        <v>1224</v>
      </c>
      <c r="G15" s="18">
        <v>2.1999999999999999E-2</v>
      </c>
      <c r="H15" s="18" t="s">
        <v>71</v>
      </c>
      <c r="I15" s="23">
        <v>1222</v>
      </c>
      <c r="J15" s="26">
        <v>0.94</v>
      </c>
      <c r="K15" s="18" t="s">
        <v>71</v>
      </c>
    </row>
    <row r="16" spans="1:11" x14ac:dyDescent="0.2">
      <c r="A16" s="23" t="s">
        <v>39</v>
      </c>
      <c r="B16" s="23" t="s">
        <v>39</v>
      </c>
      <c r="C16" s="23">
        <v>0.182</v>
      </c>
      <c r="D16" s="44">
        <v>2</v>
      </c>
      <c r="E16" s="21">
        <v>4841</v>
      </c>
      <c r="F16" s="21">
        <v>3343</v>
      </c>
      <c r="G16" s="18">
        <v>0.06</v>
      </c>
      <c r="H16" s="45" t="s">
        <v>131</v>
      </c>
      <c r="I16" s="23">
        <v>2467</v>
      </c>
      <c r="J16" s="26">
        <v>1.89</v>
      </c>
      <c r="K16" s="18" t="s">
        <v>71</v>
      </c>
    </row>
    <row r="17" spans="1:11" x14ac:dyDescent="0.2">
      <c r="A17" s="23" t="s">
        <v>39</v>
      </c>
      <c r="B17" s="23" t="s">
        <v>40</v>
      </c>
      <c r="C17" s="23">
        <v>0.03</v>
      </c>
      <c r="D17" s="44">
        <v>1</v>
      </c>
      <c r="E17" s="21">
        <v>3315</v>
      </c>
      <c r="F17" s="21">
        <v>1817</v>
      </c>
      <c r="G17" s="18">
        <v>3.3000000000000002E-2</v>
      </c>
      <c r="H17" s="18" t="s">
        <v>71</v>
      </c>
      <c r="I17" s="23">
        <v>1724</v>
      </c>
      <c r="J17" s="26">
        <v>1.32</v>
      </c>
      <c r="K17" s="18" t="s">
        <v>71</v>
      </c>
    </row>
    <row r="18" spans="1:11" x14ac:dyDescent="0.2">
      <c r="A18" s="23" t="s">
        <v>39</v>
      </c>
      <c r="B18" s="23" t="s">
        <v>41</v>
      </c>
      <c r="C18" s="23">
        <v>3.2000000000000001E-2</v>
      </c>
      <c r="D18" s="44">
        <v>2</v>
      </c>
      <c r="E18" s="21">
        <v>7079</v>
      </c>
      <c r="F18" s="21">
        <v>5581</v>
      </c>
      <c r="G18" s="18">
        <v>0.10100000000000001</v>
      </c>
      <c r="H18" s="45" t="s">
        <v>131</v>
      </c>
      <c r="I18" s="23">
        <v>630</v>
      </c>
      <c r="J18" s="26">
        <v>0.43</v>
      </c>
      <c r="K18" s="18" t="s">
        <v>71</v>
      </c>
    </row>
    <row r="19" spans="1:11" x14ac:dyDescent="0.2">
      <c r="A19" s="23" t="s">
        <v>39</v>
      </c>
      <c r="B19" s="23" t="s">
        <v>30</v>
      </c>
      <c r="C19" s="23">
        <v>0.03</v>
      </c>
      <c r="D19" s="44">
        <v>1</v>
      </c>
      <c r="E19" s="21">
        <v>1962</v>
      </c>
      <c r="F19" s="21">
        <v>464</v>
      </c>
      <c r="G19" s="18">
        <v>8.0000000000000002E-3</v>
      </c>
      <c r="H19" s="18" t="s">
        <v>71</v>
      </c>
      <c r="I19" s="23">
        <v>1791</v>
      </c>
      <c r="J19" s="26">
        <v>0.92</v>
      </c>
      <c r="K19" s="18" t="s">
        <v>71</v>
      </c>
    </row>
    <row r="20" spans="1:11" x14ac:dyDescent="0.2">
      <c r="A20" s="23" t="s">
        <v>39</v>
      </c>
      <c r="B20" s="23" t="s">
        <v>42</v>
      </c>
      <c r="C20" s="23">
        <v>2.8000000000000001E-2</v>
      </c>
      <c r="D20" s="44">
        <v>2</v>
      </c>
      <c r="E20" s="21">
        <v>2079</v>
      </c>
      <c r="F20" s="21">
        <v>581</v>
      </c>
      <c r="G20" s="18">
        <v>1.0999999999999999E-2</v>
      </c>
      <c r="H20" s="18" t="s">
        <v>71</v>
      </c>
      <c r="I20" s="23"/>
      <c r="J20" s="26"/>
      <c r="K20" s="23"/>
    </row>
    <row r="21" spans="1:11" x14ac:dyDescent="0.2">
      <c r="A21" s="23" t="s">
        <v>43</v>
      </c>
      <c r="B21" s="23" t="s">
        <v>44</v>
      </c>
      <c r="C21" s="23">
        <v>2.7E-2</v>
      </c>
      <c r="D21" s="44">
        <v>1</v>
      </c>
      <c r="E21" s="21">
        <v>2150</v>
      </c>
      <c r="F21" s="21">
        <v>652</v>
      </c>
      <c r="G21" s="18">
        <v>1.2E-2</v>
      </c>
      <c r="H21" s="18" t="s">
        <v>71</v>
      </c>
      <c r="I21" s="23">
        <v>1060</v>
      </c>
      <c r="J21" s="26">
        <v>0.81</v>
      </c>
      <c r="K21" s="18" t="s">
        <v>71</v>
      </c>
    </row>
    <row r="22" spans="1:11" x14ac:dyDescent="0.2">
      <c r="A22" s="23" t="s">
        <v>43</v>
      </c>
      <c r="B22" s="23" t="s">
        <v>45</v>
      </c>
      <c r="C22" s="23">
        <v>3.3000000000000002E-2</v>
      </c>
      <c r="D22" s="44">
        <v>1</v>
      </c>
      <c r="E22" s="21">
        <v>1816</v>
      </c>
      <c r="F22" s="21">
        <v>318</v>
      </c>
      <c r="G22" s="18">
        <v>6.0000000000000001E-3</v>
      </c>
      <c r="H22" s="18" t="s">
        <v>71</v>
      </c>
      <c r="I22" s="23">
        <v>1160</v>
      </c>
      <c r="J22" s="26">
        <v>0.8</v>
      </c>
      <c r="K22" s="18" t="s">
        <v>71</v>
      </c>
    </row>
    <row r="23" spans="1:11" x14ac:dyDescent="0.2">
      <c r="A23" s="23" t="s">
        <v>43</v>
      </c>
      <c r="B23" s="23" t="s">
        <v>32</v>
      </c>
      <c r="C23" s="23">
        <v>5.3999999999999999E-2</v>
      </c>
      <c r="D23" s="44">
        <v>2</v>
      </c>
      <c r="E23" s="21">
        <v>1614</v>
      </c>
      <c r="F23" s="21">
        <v>116</v>
      </c>
      <c r="G23" s="18">
        <v>2E-3</v>
      </c>
      <c r="H23" s="18" t="s">
        <v>71</v>
      </c>
      <c r="I23" s="23">
        <v>1106</v>
      </c>
      <c r="J23" s="26">
        <v>0.9</v>
      </c>
      <c r="K23" s="18" t="s">
        <v>71</v>
      </c>
    </row>
    <row r="24" spans="1:11" x14ac:dyDescent="0.2">
      <c r="A24" s="23" t="s">
        <v>43</v>
      </c>
      <c r="B24" s="23" t="s">
        <v>40</v>
      </c>
      <c r="C24" s="23">
        <v>4.2999999999999997E-2</v>
      </c>
      <c r="D24" s="44">
        <v>1</v>
      </c>
      <c r="E24" s="21">
        <v>3511</v>
      </c>
      <c r="F24" s="21">
        <v>2013</v>
      </c>
      <c r="G24" s="18">
        <v>3.5999999999999997E-2</v>
      </c>
      <c r="H24" s="18" t="s">
        <v>71</v>
      </c>
      <c r="I24" s="23">
        <v>939</v>
      </c>
      <c r="J24" s="26">
        <v>0.63</v>
      </c>
      <c r="K24" s="18" t="s">
        <v>71</v>
      </c>
    </row>
    <row r="25" spans="1:11" x14ac:dyDescent="0.2">
      <c r="A25" s="23" t="s">
        <v>43</v>
      </c>
      <c r="B25" s="23" t="s">
        <v>47</v>
      </c>
      <c r="C25" s="23">
        <v>3.3000000000000002E-2</v>
      </c>
      <c r="D25" s="44">
        <v>2</v>
      </c>
      <c r="E25" s="21">
        <v>1960</v>
      </c>
      <c r="F25" s="21">
        <v>462</v>
      </c>
      <c r="G25" s="18">
        <v>8.0000000000000002E-3</v>
      </c>
      <c r="H25" s="18" t="s">
        <v>71</v>
      </c>
      <c r="I25" s="23">
        <v>2086</v>
      </c>
      <c r="J25" s="26">
        <v>1.6</v>
      </c>
      <c r="K25" s="18" t="s">
        <v>71</v>
      </c>
    </row>
    <row r="26" spans="1:11" x14ac:dyDescent="0.2">
      <c r="A26" s="23" t="s">
        <v>43</v>
      </c>
      <c r="B26" s="23" t="s">
        <v>42</v>
      </c>
      <c r="C26" s="23">
        <v>3.7999999999999999E-2</v>
      </c>
      <c r="D26" s="44">
        <v>2</v>
      </c>
      <c r="E26" s="21">
        <v>2102</v>
      </c>
      <c r="F26" s="21">
        <v>604</v>
      </c>
      <c r="G26" s="18">
        <v>1.0999999999999999E-2</v>
      </c>
      <c r="H26" s="18" t="s">
        <v>71</v>
      </c>
      <c r="I26" s="23">
        <v>2547</v>
      </c>
      <c r="J26" s="26">
        <v>1.03</v>
      </c>
      <c r="K26" s="18" t="s">
        <v>71</v>
      </c>
    </row>
    <row r="27" spans="1:11" x14ac:dyDescent="0.2">
      <c r="A27" s="23" t="s">
        <v>48</v>
      </c>
      <c r="B27" s="23" t="s">
        <v>42</v>
      </c>
      <c r="C27" s="23">
        <v>5.2999999999999999E-2</v>
      </c>
      <c r="D27" s="44">
        <v>2</v>
      </c>
      <c r="E27" s="21">
        <v>1968</v>
      </c>
      <c r="F27" s="21">
        <v>470</v>
      </c>
      <c r="G27" s="18">
        <v>8.9999999999999993E-3</v>
      </c>
      <c r="H27" s="18" t="s">
        <v>71</v>
      </c>
      <c r="I27" s="23">
        <v>1527</v>
      </c>
      <c r="J27" s="26">
        <v>0.61</v>
      </c>
      <c r="K27" s="18" t="s">
        <v>71</v>
      </c>
    </row>
    <row r="28" spans="1:11" x14ac:dyDescent="0.2">
      <c r="A28" s="23" t="s">
        <v>49</v>
      </c>
      <c r="B28" s="23" t="s">
        <v>50</v>
      </c>
      <c r="C28" s="23">
        <v>3.4000000000000002E-2</v>
      </c>
      <c r="D28" s="44">
        <v>1</v>
      </c>
      <c r="E28" s="21">
        <v>3119</v>
      </c>
      <c r="F28" s="21">
        <v>1621</v>
      </c>
      <c r="G28" s="18">
        <v>2.9000000000000001E-2</v>
      </c>
      <c r="H28" s="18" t="s">
        <v>71</v>
      </c>
      <c r="I28" s="23">
        <v>1805</v>
      </c>
      <c r="J28" s="26">
        <v>0.73</v>
      </c>
      <c r="K28" s="18" t="s">
        <v>71</v>
      </c>
    </row>
    <row r="29" spans="1:11" x14ac:dyDescent="0.2">
      <c r="A29" s="23" t="s">
        <v>51</v>
      </c>
      <c r="B29" s="23" t="s">
        <v>52</v>
      </c>
      <c r="C29" s="23">
        <v>3.1E-2</v>
      </c>
      <c r="D29" s="44">
        <v>2</v>
      </c>
      <c r="E29" s="21">
        <v>1736</v>
      </c>
      <c r="F29" s="21">
        <v>238</v>
      </c>
      <c r="G29" s="18">
        <v>4.0000000000000001E-3</v>
      </c>
      <c r="H29" s="18" t="s">
        <v>71</v>
      </c>
      <c r="I29" s="23">
        <v>566</v>
      </c>
      <c r="J29" s="26">
        <v>0.44</v>
      </c>
      <c r="K29" s="18" t="s">
        <v>71</v>
      </c>
    </row>
    <row r="30" spans="1:11" x14ac:dyDescent="0.2">
      <c r="A30" s="23" t="s">
        <v>53</v>
      </c>
      <c r="B30" s="23" t="s">
        <v>53</v>
      </c>
      <c r="C30" s="23">
        <v>0.113</v>
      </c>
      <c r="D30" s="44">
        <v>2</v>
      </c>
      <c r="E30" s="21">
        <v>3140</v>
      </c>
      <c r="F30" s="21">
        <v>1642</v>
      </c>
      <c r="G30" s="18">
        <v>0.03</v>
      </c>
      <c r="H30" s="18" t="s">
        <v>71</v>
      </c>
      <c r="I30" s="23">
        <v>2342</v>
      </c>
      <c r="J30" s="26">
        <v>1.79</v>
      </c>
      <c r="K30" s="18" t="s">
        <v>71</v>
      </c>
    </row>
    <row r="31" spans="1:11" x14ac:dyDescent="0.2">
      <c r="A31" s="23" t="s">
        <v>53</v>
      </c>
      <c r="B31" s="23" t="s">
        <v>52</v>
      </c>
      <c r="C31" s="23">
        <v>3.9E-2</v>
      </c>
      <c r="D31" s="44">
        <v>1</v>
      </c>
      <c r="E31" s="21">
        <v>2076</v>
      </c>
      <c r="F31" s="21">
        <v>578</v>
      </c>
      <c r="G31" s="18">
        <v>0.01</v>
      </c>
      <c r="H31" s="18" t="s">
        <v>71</v>
      </c>
      <c r="I31" s="23">
        <v>821</v>
      </c>
      <c r="J31" s="26">
        <v>0.63</v>
      </c>
      <c r="K31" s="18" t="s">
        <v>71</v>
      </c>
    </row>
    <row r="32" spans="1:11" x14ac:dyDescent="0.2">
      <c r="A32" s="23" t="s">
        <v>53</v>
      </c>
      <c r="B32" s="23" t="s">
        <v>54</v>
      </c>
      <c r="C32" s="23">
        <v>3.1E-2</v>
      </c>
      <c r="D32" s="44">
        <v>2</v>
      </c>
      <c r="E32" s="21">
        <v>2190</v>
      </c>
      <c r="F32" s="21">
        <v>692</v>
      </c>
      <c r="G32" s="18">
        <v>1.2999999999999999E-2</v>
      </c>
      <c r="H32" s="18" t="s">
        <v>71</v>
      </c>
      <c r="I32" s="23">
        <v>1021</v>
      </c>
      <c r="J32" s="26">
        <v>0.78</v>
      </c>
      <c r="K32" s="18" t="s">
        <v>71</v>
      </c>
    </row>
    <row r="33" spans="1:11" x14ac:dyDescent="0.2">
      <c r="A33" s="23" t="s">
        <v>53</v>
      </c>
      <c r="B33" s="23" t="s">
        <v>42</v>
      </c>
      <c r="C33" s="23">
        <v>0.03</v>
      </c>
      <c r="D33" s="44">
        <v>2</v>
      </c>
      <c r="E33" s="21">
        <v>2098</v>
      </c>
      <c r="F33" s="21">
        <v>600</v>
      </c>
      <c r="G33" s="18">
        <v>1.0999999999999999E-2</v>
      </c>
      <c r="H33" s="18" t="s">
        <v>71</v>
      </c>
      <c r="I33" s="23">
        <v>3544</v>
      </c>
      <c r="J33" s="26">
        <v>1.43</v>
      </c>
      <c r="K33" s="18" t="s">
        <v>71</v>
      </c>
    </row>
    <row r="34" spans="1:11" x14ac:dyDescent="0.2">
      <c r="A34" s="23" t="s">
        <v>55</v>
      </c>
      <c r="B34" s="23" t="s">
        <v>56</v>
      </c>
      <c r="C34" s="23">
        <v>2.7E-2</v>
      </c>
      <c r="D34" s="44">
        <v>2</v>
      </c>
      <c r="E34" s="21">
        <v>2121</v>
      </c>
      <c r="F34" s="21">
        <v>623</v>
      </c>
      <c r="G34" s="18">
        <v>1.0999999999999999E-2</v>
      </c>
      <c r="H34" s="18" t="s">
        <v>71</v>
      </c>
      <c r="I34" s="23">
        <v>1330</v>
      </c>
      <c r="J34" s="26">
        <v>0.89</v>
      </c>
      <c r="K34" s="18" t="s">
        <v>71</v>
      </c>
    </row>
    <row r="35" spans="1:11" x14ac:dyDescent="0.2">
      <c r="A35" s="23" t="s">
        <v>55</v>
      </c>
      <c r="B35" s="23" t="s">
        <v>57</v>
      </c>
      <c r="C35" s="23">
        <v>3.5000000000000003E-2</v>
      </c>
      <c r="D35" s="44">
        <v>2</v>
      </c>
      <c r="E35" s="21">
        <v>1813</v>
      </c>
      <c r="F35" s="21">
        <v>315</v>
      </c>
      <c r="G35" s="18">
        <v>6.0000000000000001E-3</v>
      </c>
      <c r="H35" s="18" t="s">
        <v>71</v>
      </c>
      <c r="I35" s="23">
        <v>1300</v>
      </c>
      <c r="J35" s="26">
        <v>0.87</v>
      </c>
      <c r="K35" s="18" t="s">
        <v>71</v>
      </c>
    </row>
    <row r="36" spans="1:11" x14ac:dyDescent="0.2">
      <c r="A36" s="23" t="s">
        <v>58</v>
      </c>
      <c r="B36" s="23" t="s">
        <v>48</v>
      </c>
      <c r="C36" s="23">
        <v>4.5999999999999999E-2</v>
      </c>
      <c r="D36" s="44">
        <v>2</v>
      </c>
      <c r="E36" s="21">
        <v>5694</v>
      </c>
      <c r="F36" s="21">
        <v>4905</v>
      </c>
      <c r="G36" s="18">
        <v>0.115</v>
      </c>
      <c r="H36" s="45" t="s">
        <v>131</v>
      </c>
      <c r="I36" s="23">
        <v>2779</v>
      </c>
      <c r="J36" s="26">
        <v>1.03</v>
      </c>
      <c r="K36" s="18" t="s">
        <v>71</v>
      </c>
    </row>
    <row r="37" spans="1:11" x14ac:dyDescent="0.2">
      <c r="A37" s="23" t="s">
        <v>37</v>
      </c>
      <c r="B37" s="23" t="s">
        <v>59</v>
      </c>
      <c r="C37" s="23">
        <v>5.7000000000000002E-2</v>
      </c>
      <c r="D37" s="44">
        <v>1</v>
      </c>
      <c r="E37" s="21">
        <v>1765</v>
      </c>
      <c r="F37" s="21">
        <v>267</v>
      </c>
      <c r="G37" s="18">
        <v>5.0000000000000001E-3</v>
      </c>
      <c r="H37" s="18" t="s">
        <v>71</v>
      </c>
      <c r="I37" s="23">
        <v>2937</v>
      </c>
      <c r="J37" s="26">
        <v>1.52</v>
      </c>
      <c r="K37" s="45" t="s">
        <v>131</v>
      </c>
    </row>
    <row r="38" spans="1:11" x14ac:dyDescent="0.2">
      <c r="A38" s="23" t="s">
        <v>37</v>
      </c>
      <c r="B38" s="23" t="s">
        <v>37</v>
      </c>
      <c r="C38" s="23">
        <v>4.4999999999999998E-2</v>
      </c>
      <c r="D38" s="44">
        <v>1</v>
      </c>
      <c r="E38" s="21">
        <v>1750</v>
      </c>
      <c r="F38" s="21">
        <v>252</v>
      </c>
      <c r="G38" s="18">
        <v>5.0000000000000001E-3</v>
      </c>
      <c r="H38" s="18" t="s">
        <v>71</v>
      </c>
      <c r="I38" s="23">
        <v>2024</v>
      </c>
      <c r="J38" s="26">
        <v>1.04</v>
      </c>
      <c r="K38" s="18" t="s">
        <v>71</v>
      </c>
    </row>
    <row r="39" spans="1:11" x14ac:dyDescent="0.2">
      <c r="A39" s="23" t="s">
        <v>60</v>
      </c>
      <c r="B39" s="23" t="s">
        <v>61</v>
      </c>
      <c r="C39" s="23">
        <v>2.8000000000000001E-2</v>
      </c>
      <c r="D39" s="44">
        <v>1</v>
      </c>
      <c r="E39" s="21">
        <v>2077</v>
      </c>
      <c r="F39" s="21">
        <v>579</v>
      </c>
      <c r="G39" s="18">
        <v>0.01</v>
      </c>
      <c r="H39" s="18" t="s">
        <v>71</v>
      </c>
      <c r="I39" s="23">
        <v>1117</v>
      </c>
      <c r="J39" s="26">
        <v>0.45</v>
      </c>
      <c r="K39" s="18" t="s">
        <v>71</v>
      </c>
    </row>
    <row r="40" spans="1:11" x14ac:dyDescent="0.2">
      <c r="A40" s="23" t="s">
        <v>47</v>
      </c>
      <c r="B40" s="23" t="s">
        <v>39</v>
      </c>
      <c r="C40" s="23">
        <v>0.03</v>
      </c>
      <c r="D40" s="44">
        <v>1</v>
      </c>
      <c r="E40" s="21">
        <v>1874</v>
      </c>
      <c r="F40" s="21">
        <v>376</v>
      </c>
      <c r="G40" s="18">
        <v>7.0000000000000001E-3</v>
      </c>
      <c r="H40" s="18" t="s">
        <v>71</v>
      </c>
      <c r="I40" s="23">
        <v>1596</v>
      </c>
      <c r="J40" s="26">
        <v>1.22</v>
      </c>
      <c r="K40" s="18" t="s">
        <v>71</v>
      </c>
    </row>
    <row r="41" spans="1:11" x14ac:dyDescent="0.2">
      <c r="A41" s="23" t="s">
        <v>47</v>
      </c>
      <c r="B41" s="23" t="s">
        <v>62</v>
      </c>
      <c r="C41" s="23">
        <v>0.04</v>
      </c>
      <c r="D41" s="44">
        <v>1</v>
      </c>
      <c r="E41" s="21">
        <v>1743</v>
      </c>
      <c r="F41" s="21">
        <v>245</v>
      </c>
      <c r="G41" s="18">
        <v>4.0000000000000001E-3</v>
      </c>
      <c r="H41" s="18" t="s">
        <v>71</v>
      </c>
      <c r="I41" s="23">
        <v>5248</v>
      </c>
      <c r="J41" s="26">
        <v>2.5499999999999998</v>
      </c>
      <c r="K41" s="45" t="s">
        <v>131</v>
      </c>
    </row>
    <row r="42" spans="1:11" x14ac:dyDescent="0.2">
      <c r="A42" s="23" t="s">
        <v>38</v>
      </c>
      <c r="B42" s="23" t="s">
        <v>38</v>
      </c>
      <c r="C42" s="23">
        <v>3.4000000000000002E-2</v>
      </c>
      <c r="D42" s="44">
        <v>2</v>
      </c>
      <c r="E42" s="21">
        <v>6763</v>
      </c>
      <c r="F42" s="21">
        <v>5265</v>
      </c>
      <c r="G42" s="18">
        <v>9.5000000000000001E-2</v>
      </c>
      <c r="H42" s="45" t="s">
        <v>131</v>
      </c>
      <c r="I42" s="23">
        <v>906</v>
      </c>
      <c r="J42" s="26">
        <v>0.7</v>
      </c>
      <c r="K42" s="18" t="s">
        <v>71</v>
      </c>
    </row>
    <row r="43" spans="1:11" x14ac:dyDescent="0.2">
      <c r="A43" s="23" t="s">
        <v>35</v>
      </c>
      <c r="B43" s="23" t="s">
        <v>41</v>
      </c>
      <c r="C43" s="23">
        <v>3.1E-2</v>
      </c>
      <c r="D43" s="44">
        <v>2</v>
      </c>
      <c r="E43" s="21">
        <v>11278</v>
      </c>
      <c r="F43" s="21">
        <v>7931</v>
      </c>
      <c r="G43" s="18">
        <v>0.20799999999999999</v>
      </c>
      <c r="H43" s="45" t="s">
        <v>131</v>
      </c>
      <c r="I43" s="23">
        <v>1976</v>
      </c>
      <c r="J43" s="26">
        <v>1.02</v>
      </c>
      <c r="K43" s="18" t="s">
        <v>71</v>
      </c>
    </row>
    <row r="44" spans="1:11" x14ac:dyDescent="0.2">
      <c r="A44" s="23" t="s">
        <v>63</v>
      </c>
      <c r="B44" s="23" t="s">
        <v>41</v>
      </c>
      <c r="C44" s="23">
        <v>0.03</v>
      </c>
      <c r="D44" s="44">
        <v>2</v>
      </c>
      <c r="E44" s="21">
        <v>10379</v>
      </c>
      <c r="F44" s="21">
        <v>7032</v>
      </c>
      <c r="G44" s="18">
        <v>0.185</v>
      </c>
      <c r="H44" s="45" t="s">
        <v>131</v>
      </c>
      <c r="I44" s="23">
        <v>2384</v>
      </c>
      <c r="J44" s="26">
        <v>1.23</v>
      </c>
      <c r="K44" s="45" t="s">
        <v>131</v>
      </c>
    </row>
    <row r="45" spans="1:11" x14ac:dyDescent="0.2">
      <c r="A45" s="23" t="s">
        <v>63</v>
      </c>
      <c r="B45" s="23" t="s">
        <v>64</v>
      </c>
      <c r="C45" s="23">
        <v>3.4000000000000002E-2</v>
      </c>
      <c r="D45" s="44">
        <v>2</v>
      </c>
      <c r="E45" s="21">
        <v>2901</v>
      </c>
      <c r="F45" s="21">
        <v>-446</v>
      </c>
      <c r="G45" s="18">
        <v>-1.2E-2</v>
      </c>
      <c r="H45" s="18" t="s">
        <v>71</v>
      </c>
      <c r="I45" s="23">
        <v>1854</v>
      </c>
      <c r="J45" s="26">
        <v>0.96</v>
      </c>
      <c r="K45" s="18" t="s">
        <v>71</v>
      </c>
    </row>
    <row r="46" spans="1:11" x14ac:dyDescent="0.2">
      <c r="A46" s="23" t="s">
        <v>63</v>
      </c>
      <c r="B46" s="23" t="s">
        <v>42</v>
      </c>
      <c r="C46" s="23">
        <v>0.06</v>
      </c>
      <c r="D46" s="44">
        <v>2</v>
      </c>
      <c r="E46" s="21">
        <v>2653</v>
      </c>
      <c r="F46" s="21">
        <v>-694</v>
      </c>
      <c r="G46" s="18">
        <v>-1.7999999999999999E-2</v>
      </c>
      <c r="H46" s="18" t="s">
        <v>71</v>
      </c>
      <c r="I46" s="23">
        <v>4059</v>
      </c>
      <c r="J46" s="26">
        <v>1.63</v>
      </c>
      <c r="K46" s="18" t="s">
        <v>71</v>
      </c>
    </row>
    <row r="47" spans="1:11" x14ac:dyDescent="0.2">
      <c r="A47" s="23" t="s">
        <v>65</v>
      </c>
      <c r="B47" s="23" t="s">
        <v>42</v>
      </c>
      <c r="C47" s="23">
        <v>2.7E-2</v>
      </c>
      <c r="D47" s="44">
        <v>2</v>
      </c>
      <c r="E47" s="21">
        <v>3243</v>
      </c>
      <c r="F47" s="21">
        <v>-104</v>
      </c>
      <c r="G47" s="18">
        <v>-3.0000000000000001E-3</v>
      </c>
      <c r="H47" s="18" t="s">
        <v>71</v>
      </c>
      <c r="I47" s="23">
        <v>2985</v>
      </c>
      <c r="J47" s="26">
        <v>1.2</v>
      </c>
      <c r="K47" s="18" t="s">
        <v>71</v>
      </c>
    </row>
    <row r="48" spans="1:11" x14ac:dyDescent="0.2">
      <c r="A48" s="23" t="s">
        <v>50</v>
      </c>
      <c r="B48" s="23" t="s">
        <v>50</v>
      </c>
      <c r="C48" s="23">
        <v>0.219</v>
      </c>
      <c r="D48" s="44">
        <v>2</v>
      </c>
      <c r="E48" s="21">
        <v>4945</v>
      </c>
      <c r="F48" s="21">
        <v>1598</v>
      </c>
      <c r="G48" s="18">
        <v>4.2000000000000003E-2</v>
      </c>
      <c r="H48" s="18" t="s">
        <v>71</v>
      </c>
      <c r="I48" s="23">
        <v>15649</v>
      </c>
      <c r="J48" s="26">
        <v>10.73</v>
      </c>
      <c r="K48" s="45" t="s">
        <v>131</v>
      </c>
    </row>
    <row r="49" spans="1:11" x14ac:dyDescent="0.2">
      <c r="A49" s="23" t="s">
        <v>18</v>
      </c>
      <c r="B49" s="23" t="s">
        <v>18</v>
      </c>
      <c r="C49" s="23">
        <v>0.193</v>
      </c>
      <c r="D49" s="44">
        <v>1</v>
      </c>
      <c r="E49" s="21">
        <v>3309</v>
      </c>
      <c r="F49" s="21">
        <v>-38</v>
      </c>
      <c r="G49" s="18">
        <v>-1E-3</v>
      </c>
      <c r="H49" s="18" t="s">
        <v>71</v>
      </c>
      <c r="I49" s="23">
        <v>30779</v>
      </c>
      <c r="J49" s="26">
        <v>12.4</v>
      </c>
      <c r="K49" s="45" t="s">
        <v>131</v>
      </c>
    </row>
    <row r="50" spans="1:11" x14ac:dyDescent="0.2">
      <c r="A50" s="23" t="s">
        <v>18</v>
      </c>
      <c r="B50" s="23" t="s">
        <v>61</v>
      </c>
      <c r="C50" s="23">
        <v>0.14199999999999999</v>
      </c>
      <c r="D50" s="44">
        <v>2</v>
      </c>
      <c r="E50" s="21">
        <v>3188</v>
      </c>
      <c r="F50" s="21">
        <v>-159</v>
      </c>
      <c r="G50" s="18">
        <v>-4.0000000000000001E-3</v>
      </c>
      <c r="H50" s="18" t="s">
        <v>71</v>
      </c>
      <c r="I50" s="23">
        <v>3498</v>
      </c>
      <c r="J50" s="26">
        <v>1.41</v>
      </c>
      <c r="K50" s="18" t="s">
        <v>71</v>
      </c>
    </row>
    <row r="51" spans="1:11" x14ac:dyDescent="0.2">
      <c r="A51" s="23" t="s">
        <v>18</v>
      </c>
      <c r="B51" s="23" t="s">
        <v>30</v>
      </c>
      <c r="C51" s="23">
        <v>4.7E-2</v>
      </c>
      <c r="D51" s="44">
        <v>1</v>
      </c>
      <c r="E51" s="21">
        <v>3279</v>
      </c>
      <c r="F51" s="21">
        <v>-68</v>
      </c>
      <c r="G51" s="18">
        <v>-2E-3</v>
      </c>
      <c r="H51" s="18" t="s">
        <v>71</v>
      </c>
      <c r="I51" s="23">
        <v>1078</v>
      </c>
      <c r="J51" s="26">
        <v>0.43</v>
      </c>
      <c r="K51" s="18" t="s">
        <v>71</v>
      </c>
    </row>
    <row r="52" spans="1:11" x14ac:dyDescent="0.2">
      <c r="A52" s="23" t="s">
        <v>66</v>
      </c>
      <c r="B52" s="23" t="s">
        <v>66</v>
      </c>
      <c r="C52" s="23">
        <v>2.8000000000000001E-2</v>
      </c>
      <c r="D52" s="44">
        <v>2</v>
      </c>
      <c r="E52" s="21">
        <v>4940</v>
      </c>
      <c r="F52" s="21">
        <v>1593</v>
      </c>
      <c r="G52" s="18">
        <v>4.2000000000000003E-2</v>
      </c>
      <c r="H52" s="18" t="s">
        <v>71</v>
      </c>
      <c r="I52" s="23">
        <v>4302</v>
      </c>
      <c r="J52" s="26">
        <v>2.88</v>
      </c>
      <c r="K52" s="45" t="s">
        <v>131</v>
      </c>
    </row>
    <row r="53" spans="1:11" x14ac:dyDescent="0.2">
      <c r="A53" s="23" t="s">
        <v>66</v>
      </c>
      <c r="B53" s="23" t="s">
        <v>67</v>
      </c>
      <c r="C53" s="23">
        <v>4.2999999999999997E-2</v>
      </c>
      <c r="D53" s="44">
        <v>1</v>
      </c>
      <c r="E53" s="21">
        <v>4589</v>
      </c>
      <c r="F53" s="21">
        <v>1242</v>
      </c>
      <c r="G53" s="18">
        <v>3.3000000000000002E-2</v>
      </c>
      <c r="H53" s="18" t="s">
        <v>71</v>
      </c>
      <c r="I53" s="23">
        <v>2010</v>
      </c>
      <c r="J53" s="26">
        <v>1.34</v>
      </c>
      <c r="K53" s="18" t="s">
        <v>71</v>
      </c>
    </row>
    <row r="54" spans="1:11" x14ac:dyDescent="0.2">
      <c r="A54" s="23" t="s">
        <v>66</v>
      </c>
      <c r="B54" s="23" t="s">
        <v>52</v>
      </c>
      <c r="C54" s="23">
        <v>2.8000000000000001E-2</v>
      </c>
      <c r="D54" s="44">
        <v>2</v>
      </c>
      <c r="E54" s="21">
        <v>298</v>
      </c>
      <c r="F54" s="21">
        <v>-3049</v>
      </c>
      <c r="G54" s="18">
        <v>-0.08</v>
      </c>
      <c r="H54" s="18" t="s">
        <v>71</v>
      </c>
      <c r="I54" s="23">
        <v>2894</v>
      </c>
      <c r="J54" s="26">
        <v>1.41</v>
      </c>
      <c r="K54" s="18" t="s">
        <v>71</v>
      </c>
    </row>
    <row r="55" spans="1:11" x14ac:dyDescent="0.2">
      <c r="A55" s="23" t="s">
        <v>68</v>
      </c>
      <c r="B55" s="23" t="s">
        <v>69</v>
      </c>
      <c r="C55" s="23">
        <v>3.1E-2</v>
      </c>
      <c r="D55" s="44">
        <v>1</v>
      </c>
      <c r="E55" s="21">
        <v>3488</v>
      </c>
      <c r="F55" s="21">
        <v>141</v>
      </c>
      <c r="G55" s="18">
        <v>4.0000000000000001E-3</v>
      </c>
      <c r="H55" s="18" t="s">
        <v>71</v>
      </c>
      <c r="I55" s="23">
        <v>3196</v>
      </c>
      <c r="J55" s="26">
        <v>2.4500000000000002</v>
      </c>
      <c r="K55" s="45" t="s">
        <v>131</v>
      </c>
    </row>
    <row r="56" spans="1:11" x14ac:dyDescent="0.2">
      <c r="A56" s="23" t="s">
        <v>68</v>
      </c>
      <c r="B56" s="23" t="s">
        <v>32</v>
      </c>
      <c r="C56" s="23">
        <v>0.06</v>
      </c>
      <c r="D56" s="44">
        <v>1</v>
      </c>
      <c r="E56" s="21">
        <v>3170</v>
      </c>
      <c r="F56" s="21">
        <v>-177</v>
      </c>
      <c r="G56" s="18">
        <v>-5.0000000000000001E-3</v>
      </c>
      <c r="H56" s="18" t="s">
        <v>71</v>
      </c>
      <c r="I56" s="23">
        <v>3136</v>
      </c>
      <c r="J56" s="26">
        <v>2.54</v>
      </c>
      <c r="K56" s="45" t="s">
        <v>131</v>
      </c>
    </row>
    <row r="57" spans="1:11" x14ac:dyDescent="0.2">
      <c r="A57" s="23" t="s">
        <v>68</v>
      </c>
      <c r="B57" s="23" t="s">
        <v>40</v>
      </c>
      <c r="C57" s="23">
        <v>2.7E-2</v>
      </c>
      <c r="D57" s="44">
        <v>2</v>
      </c>
      <c r="E57" s="21">
        <v>4643</v>
      </c>
      <c r="F57" s="21">
        <v>1296</v>
      </c>
      <c r="G57" s="18">
        <v>3.4000000000000002E-2</v>
      </c>
      <c r="H57" s="18" t="s">
        <v>71</v>
      </c>
      <c r="I57" s="23">
        <v>2308</v>
      </c>
      <c r="J57" s="26">
        <v>1.54</v>
      </c>
      <c r="K57" s="18" t="s">
        <v>71</v>
      </c>
    </row>
    <row r="58" spans="1:11" x14ac:dyDescent="0.2">
      <c r="A58" s="23" t="s">
        <v>70</v>
      </c>
      <c r="B58" s="23" t="s">
        <v>69</v>
      </c>
      <c r="C58" s="23">
        <v>3.2000000000000001E-2</v>
      </c>
      <c r="D58" s="44">
        <v>2</v>
      </c>
      <c r="E58" s="21">
        <v>4236</v>
      </c>
      <c r="F58" s="21">
        <v>889</v>
      </c>
      <c r="G58" s="18">
        <v>2.3E-2</v>
      </c>
      <c r="H58" s="18" t="s">
        <v>71</v>
      </c>
      <c r="I58" s="23">
        <v>1133</v>
      </c>
      <c r="J58" s="26">
        <v>0.75</v>
      </c>
      <c r="K58" s="18" t="s">
        <v>71</v>
      </c>
    </row>
    <row r="59" spans="1:11" x14ac:dyDescent="0.2">
      <c r="A59" s="23" t="s">
        <v>45</v>
      </c>
      <c r="B59" s="23" t="s">
        <v>45</v>
      </c>
      <c r="C59" s="23">
        <v>3.3000000000000002E-2</v>
      </c>
      <c r="D59" s="44">
        <v>2</v>
      </c>
      <c r="E59" s="21">
        <v>2754</v>
      </c>
      <c r="F59" s="21">
        <v>-593</v>
      </c>
      <c r="G59" s="18">
        <v>-1.6E-2</v>
      </c>
      <c r="H59" s="18" t="s">
        <v>71</v>
      </c>
      <c r="I59" s="23">
        <v>9112</v>
      </c>
      <c r="J59" s="26">
        <v>6.25</v>
      </c>
      <c r="K59" s="45" t="s">
        <v>131</v>
      </c>
    </row>
    <row r="60" spans="1:11" x14ac:dyDescent="0.2">
      <c r="A60" s="23" t="s">
        <v>72</v>
      </c>
      <c r="B60" s="23" t="s">
        <v>39</v>
      </c>
      <c r="C60" s="23">
        <v>3.1E-2</v>
      </c>
      <c r="D60" s="44">
        <v>2</v>
      </c>
      <c r="E60" s="21">
        <v>4437</v>
      </c>
      <c r="F60" s="21">
        <v>1090</v>
      </c>
      <c r="G60" s="18">
        <v>2.9000000000000001E-2</v>
      </c>
      <c r="H60" s="18" t="s">
        <v>71</v>
      </c>
      <c r="I60" s="23"/>
      <c r="J60" s="26"/>
      <c r="K60" s="23"/>
    </row>
    <row r="61" spans="1:11" x14ac:dyDescent="0.2">
      <c r="A61" s="23" t="s">
        <v>72</v>
      </c>
      <c r="B61" s="23" t="s">
        <v>72</v>
      </c>
      <c r="C61" s="23">
        <v>0.11600000000000001</v>
      </c>
      <c r="D61" s="44">
        <v>2</v>
      </c>
      <c r="E61" s="21">
        <v>2354</v>
      </c>
      <c r="F61" s="21">
        <v>-993</v>
      </c>
      <c r="G61" s="18">
        <v>-2.5999999999999999E-2</v>
      </c>
      <c r="H61" s="18" t="s">
        <v>71</v>
      </c>
      <c r="I61" s="23">
        <v>5024</v>
      </c>
      <c r="J61" s="26">
        <v>2.44</v>
      </c>
      <c r="K61" s="45" t="s">
        <v>131</v>
      </c>
    </row>
    <row r="62" spans="1:11" x14ac:dyDescent="0.2">
      <c r="A62" s="23" t="s">
        <v>52</v>
      </c>
      <c r="B62" s="23" t="s">
        <v>52</v>
      </c>
      <c r="C62" s="23">
        <v>0.14199999999999999</v>
      </c>
      <c r="D62" s="44">
        <v>1</v>
      </c>
      <c r="E62" s="21">
        <v>3438</v>
      </c>
      <c r="F62" s="21">
        <v>91</v>
      </c>
      <c r="G62" s="18">
        <v>2E-3</v>
      </c>
      <c r="H62" s="18" t="s">
        <v>71</v>
      </c>
      <c r="I62" s="23">
        <v>1985</v>
      </c>
      <c r="J62" s="26">
        <v>0.97</v>
      </c>
      <c r="K62" s="18" t="s">
        <v>71</v>
      </c>
    </row>
    <row r="63" spans="1:11" x14ac:dyDescent="0.2">
      <c r="A63" s="23" t="s">
        <v>52</v>
      </c>
      <c r="B63" s="23" t="s">
        <v>62</v>
      </c>
      <c r="C63" s="23">
        <v>3.2000000000000001E-2</v>
      </c>
      <c r="D63" s="44">
        <v>1</v>
      </c>
      <c r="E63" s="21">
        <v>3746</v>
      </c>
      <c r="F63" s="21">
        <v>399</v>
      </c>
      <c r="G63" s="18">
        <v>0.01</v>
      </c>
      <c r="H63" s="18" t="s">
        <v>71</v>
      </c>
      <c r="I63" s="23">
        <v>1941</v>
      </c>
      <c r="J63" s="26">
        <v>0.94</v>
      </c>
      <c r="K63" s="18" t="s">
        <v>71</v>
      </c>
    </row>
    <row r="64" spans="1:11" x14ac:dyDescent="0.2">
      <c r="A64" s="23" t="s">
        <v>73</v>
      </c>
      <c r="B64" s="23" t="s">
        <v>73</v>
      </c>
      <c r="C64" s="23">
        <v>0.221</v>
      </c>
      <c r="D64" s="44">
        <v>2</v>
      </c>
      <c r="E64" s="21">
        <v>8486</v>
      </c>
      <c r="F64" s="21">
        <v>5139</v>
      </c>
      <c r="G64" s="18">
        <v>0.13500000000000001</v>
      </c>
      <c r="H64" s="45" t="s">
        <v>131</v>
      </c>
      <c r="I64" s="23">
        <v>9747</v>
      </c>
      <c r="J64" s="26">
        <v>4.74</v>
      </c>
      <c r="K64" s="45" t="s">
        <v>131</v>
      </c>
    </row>
    <row r="65" spans="1:11" x14ac:dyDescent="0.2">
      <c r="A65" s="23" t="s">
        <v>73</v>
      </c>
      <c r="B65" s="23" t="s">
        <v>74</v>
      </c>
      <c r="C65" s="23">
        <v>3.5000000000000003E-2</v>
      </c>
      <c r="D65" s="44">
        <v>2</v>
      </c>
      <c r="E65" s="21">
        <v>3688</v>
      </c>
      <c r="F65" s="21">
        <v>341</v>
      </c>
      <c r="G65" s="18">
        <v>8.9999999999999993E-3</v>
      </c>
      <c r="H65" s="18" t="s">
        <v>71</v>
      </c>
      <c r="I65" s="23">
        <v>1890</v>
      </c>
      <c r="J65" s="26">
        <v>0.92</v>
      </c>
      <c r="K65" s="18" t="s">
        <v>71</v>
      </c>
    </row>
    <row r="66" spans="1:11" x14ac:dyDescent="0.2">
      <c r="A66" s="23" t="s">
        <v>74</v>
      </c>
      <c r="B66" s="23" t="s">
        <v>75</v>
      </c>
      <c r="C66" s="23">
        <v>3.2000000000000001E-2</v>
      </c>
      <c r="D66" s="44">
        <v>1</v>
      </c>
      <c r="E66" s="21">
        <v>4009</v>
      </c>
      <c r="F66" s="21">
        <v>662</v>
      </c>
      <c r="G66" s="18">
        <v>1.7000000000000001E-2</v>
      </c>
      <c r="H66" s="18" t="s">
        <v>71</v>
      </c>
      <c r="I66" s="23">
        <v>1984</v>
      </c>
      <c r="J66" s="26">
        <v>1.19</v>
      </c>
      <c r="K66" s="18" t="s">
        <v>71</v>
      </c>
    </row>
    <row r="67" spans="1:11" x14ac:dyDescent="0.2">
      <c r="A67" s="23" t="s">
        <v>74</v>
      </c>
      <c r="B67" s="23" t="s">
        <v>40</v>
      </c>
      <c r="C67" s="23">
        <v>3.1E-2</v>
      </c>
      <c r="D67" s="44">
        <v>1</v>
      </c>
      <c r="E67" s="21">
        <v>7087</v>
      </c>
      <c r="F67" s="21">
        <v>3740</v>
      </c>
      <c r="G67" s="18">
        <v>9.8000000000000004E-2</v>
      </c>
      <c r="H67" s="18" t="s">
        <v>71</v>
      </c>
      <c r="I67" s="23">
        <v>846</v>
      </c>
      <c r="J67" s="26">
        <v>0.56999999999999995</v>
      </c>
      <c r="K67" s="18" t="s">
        <v>71</v>
      </c>
    </row>
    <row r="68" spans="1:11" x14ac:dyDescent="0.2">
      <c r="A68" s="23" t="s">
        <v>74</v>
      </c>
      <c r="B68" s="23" t="s">
        <v>42</v>
      </c>
      <c r="C68" s="23">
        <v>2.8000000000000001E-2</v>
      </c>
      <c r="D68" s="44">
        <v>2</v>
      </c>
      <c r="E68" s="21">
        <v>3193</v>
      </c>
      <c r="F68" s="21">
        <v>-154</v>
      </c>
      <c r="G68" s="18">
        <v>-4.0000000000000001E-3</v>
      </c>
      <c r="H68" s="18" t="s">
        <v>71</v>
      </c>
      <c r="I68" s="23">
        <v>4926</v>
      </c>
      <c r="J68" s="26">
        <v>1.98</v>
      </c>
      <c r="K68" s="18" t="s">
        <v>71</v>
      </c>
    </row>
    <row r="69" spans="1:11" x14ac:dyDescent="0.2">
      <c r="A69" s="23" t="s">
        <v>76</v>
      </c>
      <c r="B69" s="23" t="s">
        <v>76</v>
      </c>
      <c r="C69" s="23">
        <v>0.182</v>
      </c>
      <c r="D69" s="44">
        <v>2</v>
      </c>
      <c r="E69" s="21">
        <v>7359</v>
      </c>
      <c r="F69" s="21">
        <v>4012</v>
      </c>
      <c r="G69" s="18">
        <v>0.105</v>
      </c>
      <c r="H69" s="18" t="s">
        <v>71</v>
      </c>
      <c r="I69" s="23">
        <v>84503</v>
      </c>
      <c r="J69" s="26">
        <v>41.12</v>
      </c>
      <c r="K69" s="45" t="s">
        <v>131</v>
      </c>
    </row>
    <row r="70" spans="1:11" x14ac:dyDescent="0.2">
      <c r="A70" s="23" t="s">
        <v>27</v>
      </c>
      <c r="B70" s="23" t="s">
        <v>18</v>
      </c>
      <c r="C70" s="23">
        <v>6.0999999999999999E-2</v>
      </c>
      <c r="D70" s="44">
        <v>2</v>
      </c>
      <c r="E70" s="21">
        <v>3768</v>
      </c>
      <c r="F70" s="21">
        <v>421</v>
      </c>
      <c r="G70" s="18">
        <v>1.0999999999999999E-2</v>
      </c>
      <c r="H70" s="18" t="s">
        <v>71</v>
      </c>
      <c r="I70" s="23">
        <v>4589</v>
      </c>
      <c r="J70" s="26">
        <v>1.85</v>
      </c>
      <c r="K70" s="18" t="s">
        <v>71</v>
      </c>
    </row>
    <row r="71" spans="1:11" x14ac:dyDescent="0.2">
      <c r="A71" s="23" t="s">
        <v>27</v>
      </c>
      <c r="B71" s="23" t="s">
        <v>52</v>
      </c>
      <c r="C71" s="23">
        <v>4.7E-2</v>
      </c>
      <c r="D71" s="44">
        <v>1</v>
      </c>
      <c r="E71" s="21">
        <v>4557</v>
      </c>
      <c r="F71" s="21">
        <v>1210</v>
      </c>
      <c r="G71" s="18">
        <v>3.2000000000000001E-2</v>
      </c>
      <c r="H71" s="18" t="s">
        <v>71</v>
      </c>
      <c r="I71" s="23">
        <v>1324</v>
      </c>
      <c r="J71" s="26">
        <v>0.53</v>
      </c>
      <c r="K71" s="18" t="s">
        <v>71</v>
      </c>
    </row>
    <row r="72" spans="1:11" x14ac:dyDescent="0.2">
      <c r="A72" s="23" t="s">
        <v>27</v>
      </c>
      <c r="B72" s="23" t="s">
        <v>27</v>
      </c>
      <c r="C72" s="23">
        <v>0.14099999999999999</v>
      </c>
      <c r="D72" s="44">
        <v>2</v>
      </c>
      <c r="E72" s="21">
        <v>3698</v>
      </c>
      <c r="F72" s="21">
        <v>351</v>
      </c>
      <c r="G72" s="18">
        <v>8.9999999999999993E-3</v>
      </c>
      <c r="H72" s="18" t="s">
        <v>71</v>
      </c>
      <c r="I72" s="23">
        <v>2758</v>
      </c>
      <c r="J72" s="26">
        <v>1.1100000000000001</v>
      </c>
      <c r="K72" s="18" t="s">
        <v>71</v>
      </c>
    </row>
    <row r="73" spans="1:11" x14ac:dyDescent="0.2">
      <c r="A73" s="23" t="s">
        <v>32</v>
      </c>
      <c r="B73" s="23" t="s">
        <v>75</v>
      </c>
      <c r="C73" s="23">
        <v>2.8000000000000001E-2</v>
      </c>
      <c r="D73" s="44">
        <v>2</v>
      </c>
      <c r="E73" s="21">
        <v>3347</v>
      </c>
      <c r="F73" s="21">
        <v>0</v>
      </c>
      <c r="G73" s="18">
        <v>0</v>
      </c>
      <c r="H73" s="18" t="s">
        <v>71</v>
      </c>
      <c r="I73" s="23">
        <v>973</v>
      </c>
      <c r="J73" s="26">
        <v>0.79</v>
      </c>
      <c r="K73" s="18" t="s">
        <v>71</v>
      </c>
    </row>
    <row r="74" spans="1:11" x14ac:dyDescent="0.2">
      <c r="A74" s="23" t="s">
        <v>29</v>
      </c>
      <c r="B74" s="23" t="s">
        <v>77</v>
      </c>
      <c r="C74" s="23">
        <v>3.7999999999999999E-2</v>
      </c>
      <c r="D74" s="44">
        <v>2</v>
      </c>
      <c r="E74" s="21">
        <v>2966</v>
      </c>
      <c r="F74" s="21">
        <v>-381</v>
      </c>
      <c r="G74" s="18">
        <v>-0.01</v>
      </c>
      <c r="H74" s="18" t="s">
        <v>71</v>
      </c>
      <c r="I74" s="23">
        <v>1018</v>
      </c>
      <c r="J74" s="26">
        <v>0.4</v>
      </c>
      <c r="K74" s="18" t="s">
        <v>71</v>
      </c>
    </row>
    <row r="75" spans="1:11" x14ac:dyDescent="0.2">
      <c r="A75" s="23" t="s">
        <v>29</v>
      </c>
      <c r="B75" s="23" t="s">
        <v>60</v>
      </c>
      <c r="C75" s="23">
        <v>3.5999999999999997E-2</v>
      </c>
      <c r="D75" s="44">
        <v>2</v>
      </c>
      <c r="E75" s="21">
        <v>2915</v>
      </c>
      <c r="F75" s="21">
        <v>-432</v>
      </c>
      <c r="G75" s="18">
        <v>-1.0999999999999999E-2</v>
      </c>
      <c r="H75" s="18" t="s">
        <v>71</v>
      </c>
      <c r="I75" s="23">
        <v>1305</v>
      </c>
      <c r="J75" s="26">
        <v>0.51</v>
      </c>
      <c r="K75" s="18" t="s">
        <v>71</v>
      </c>
    </row>
    <row r="76" spans="1:11" x14ac:dyDescent="0.2">
      <c r="A76" s="23" t="s">
        <v>29</v>
      </c>
      <c r="B76" s="23" t="s">
        <v>47</v>
      </c>
      <c r="C76" s="23">
        <v>2.9000000000000001E-2</v>
      </c>
      <c r="D76" s="44">
        <v>2</v>
      </c>
      <c r="E76" s="21">
        <v>3791</v>
      </c>
      <c r="F76" s="21">
        <v>444</v>
      </c>
      <c r="G76" s="18">
        <v>1.2E-2</v>
      </c>
      <c r="H76" s="18" t="s">
        <v>71</v>
      </c>
      <c r="I76" s="23">
        <v>3127</v>
      </c>
      <c r="J76" s="26">
        <v>1.22</v>
      </c>
      <c r="K76" s="18" t="s">
        <v>71</v>
      </c>
    </row>
    <row r="77" spans="1:11" x14ac:dyDescent="0.2">
      <c r="A77" s="23" t="s">
        <v>29</v>
      </c>
      <c r="B77" s="23" t="s">
        <v>78</v>
      </c>
      <c r="C77" s="23">
        <v>0.04</v>
      </c>
      <c r="D77" s="44">
        <v>2</v>
      </c>
      <c r="E77" s="21">
        <v>3682</v>
      </c>
      <c r="F77" s="21">
        <v>335</v>
      </c>
      <c r="G77" s="18">
        <v>8.9999999999999993E-3</v>
      </c>
      <c r="H77" s="18" t="s">
        <v>71</v>
      </c>
      <c r="I77" s="23">
        <v>1568</v>
      </c>
      <c r="J77" s="26">
        <v>0.61</v>
      </c>
      <c r="K77" s="18" t="s">
        <v>71</v>
      </c>
    </row>
    <row r="78" spans="1:11" x14ac:dyDescent="0.2">
      <c r="A78" s="23" t="s">
        <v>79</v>
      </c>
      <c r="B78" s="23" t="s">
        <v>58</v>
      </c>
      <c r="C78" s="23">
        <v>3.7999999999999999E-2</v>
      </c>
      <c r="D78" s="44">
        <v>2</v>
      </c>
      <c r="E78" s="21">
        <v>5303</v>
      </c>
      <c r="F78" s="21">
        <v>1956</v>
      </c>
      <c r="G78" s="18">
        <v>5.0999999999999997E-2</v>
      </c>
      <c r="H78" s="18" t="s">
        <v>71</v>
      </c>
      <c r="I78" s="23">
        <v>1288</v>
      </c>
      <c r="J78" s="26">
        <v>0.48</v>
      </c>
      <c r="K78" s="18" t="s">
        <v>71</v>
      </c>
    </row>
    <row r="79" spans="1:11" x14ac:dyDescent="0.2">
      <c r="A79" s="23" t="s">
        <v>80</v>
      </c>
      <c r="B79" s="23" t="s">
        <v>42</v>
      </c>
      <c r="C79" s="23">
        <v>2.9000000000000001E-2</v>
      </c>
      <c r="D79" s="44">
        <v>2</v>
      </c>
      <c r="E79" s="21">
        <v>3384</v>
      </c>
      <c r="F79" s="21">
        <v>37</v>
      </c>
      <c r="G79" s="18">
        <v>1E-3</v>
      </c>
      <c r="H79" s="18" t="s">
        <v>71</v>
      </c>
      <c r="I79" s="23">
        <v>2345</v>
      </c>
      <c r="J79" s="26">
        <v>0.94</v>
      </c>
      <c r="K79" s="18" t="s">
        <v>71</v>
      </c>
    </row>
    <row r="80" spans="1:11" x14ac:dyDescent="0.2">
      <c r="A80" s="23" t="s">
        <v>42</v>
      </c>
      <c r="B80" s="23" t="s">
        <v>42</v>
      </c>
      <c r="C80" s="23">
        <v>4.4999999999999998E-2</v>
      </c>
      <c r="D80" s="44">
        <v>2</v>
      </c>
      <c r="E80" s="21">
        <v>4393</v>
      </c>
      <c r="F80" s="21">
        <v>1046</v>
      </c>
      <c r="G80" s="18">
        <v>2.7E-2</v>
      </c>
      <c r="H80" s="18" t="s">
        <v>71</v>
      </c>
      <c r="I80" s="23">
        <v>3391</v>
      </c>
      <c r="J80" s="26">
        <v>1.37</v>
      </c>
      <c r="K80" s="18" t="s">
        <v>71</v>
      </c>
    </row>
    <row r="81" spans="1:11" x14ac:dyDescent="0.2">
      <c r="A81" s="23" t="s">
        <v>81</v>
      </c>
      <c r="B81" s="23" t="s">
        <v>67</v>
      </c>
      <c r="C81" s="23">
        <v>0.03</v>
      </c>
      <c r="D81" s="44">
        <v>2</v>
      </c>
      <c r="E81" s="21">
        <v>4220</v>
      </c>
      <c r="F81" s="21">
        <v>873</v>
      </c>
      <c r="G81" s="18">
        <v>2.3E-2</v>
      </c>
      <c r="H81" s="18" t="s">
        <v>71</v>
      </c>
      <c r="I81" s="23">
        <v>5576</v>
      </c>
      <c r="J81" s="26">
        <v>4.3</v>
      </c>
      <c r="K81" s="45" t="s">
        <v>131</v>
      </c>
    </row>
    <row r="82" spans="1:11" x14ac:dyDescent="0.2">
      <c r="A82" s="23" t="s">
        <v>32</v>
      </c>
      <c r="B82" s="23" t="s">
        <v>32</v>
      </c>
      <c r="C82" s="23">
        <v>0.08</v>
      </c>
      <c r="D82" s="44">
        <v>2</v>
      </c>
      <c r="E82" s="21">
        <v>2562</v>
      </c>
      <c r="F82" s="21">
        <v>1819</v>
      </c>
      <c r="G82" s="18">
        <v>0.04</v>
      </c>
      <c r="H82" s="45" t="s">
        <v>131</v>
      </c>
      <c r="I82" s="23">
        <v>841</v>
      </c>
      <c r="J82" s="26">
        <v>0.68</v>
      </c>
      <c r="K82" s="18" t="s">
        <v>71</v>
      </c>
    </row>
    <row r="83" spans="1:11" x14ac:dyDescent="0.2">
      <c r="A83" s="23" t="s">
        <v>32</v>
      </c>
      <c r="B83" s="23" t="s">
        <v>30</v>
      </c>
      <c r="C83" s="23">
        <v>3.5999999999999997E-2</v>
      </c>
      <c r="D83" s="44">
        <v>1</v>
      </c>
      <c r="E83" s="21">
        <v>1517</v>
      </c>
      <c r="F83" s="21">
        <v>774</v>
      </c>
      <c r="G83" s="18">
        <v>1.7000000000000001E-2</v>
      </c>
      <c r="H83" s="18" t="s">
        <v>71</v>
      </c>
      <c r="I83" s="23">
        <v>961</v>
      </c>
      <c r="J83" s="26">
        <v>0.78</v>
      </c>
      <c r="K83" s="18" t="s">
        <v>71</v>
      </c>
    </row>
    <row r="84" spans="1:11" x14ac:dyDescent="0.2">
      <c r="A84" s="23" t="s">
        <v>32</v>
      </c>
      <c r="B84" s="23" t="s">
        <v>82</v>
      </c>
      <c r="C84" s="23">
        <v>5.0999999999999997E-2</v>
      </c>
      <c r="D84" s="44">
        <v>2</v>
      </c>
      <c r="E84" s="21">
        <v>1338</v>
      </c>
      <c r="F84" s="21">
        <v>595</v>
      </c>
      <c r="G84" s="18">
        <v>1.2999999999999999E-2</v>
      </c>
      <c r="H84" s="18" t="s">
        <v>71</v>
      </c>
      <c r="I84" s="23">
        <v>1244</v>
      </c>
      <c r="J84" s="26">
        <v>1.01</v>
      </c>
      <c r="K84" s="18" t="s">
        <v>71</v>
      </c>
    </row>
    <row r="85" spans="1:11" x14ac:dyDescent="0.2">
      <c r="A85" s="23" t="s">
        <v>32</v>
      </c>
      <c r="B85" s="23" t="s">
        <v>47</v>
      </c>
      <c r="C85" s="23">
        <v>3.1E-2</v>
      </c>
      <c r="D85" s="44">
        <v>2</v>
      </c>
      <c r="E85" s="21">
        <v>1417</v>
      </c>
      <c r="F85" s="21">
        <v>674</v>
      </c>
      <c r="G85" s="18">
        <v>1.4999999999999999E-2</v>
      </c>
      <c r="H85" s="18" t="s">
        <v>71</v>
      </c>
      <c r="I85" s="23">
        <v>1301</v>
      </c>
      <c r="J85" s="26">
        <v>1.06</v>
      </c>
      <c r="K85" s="18" t="s">
        <v>71</v>
      </c>
    </row>
    <row r="86" spans="1:11" x14ac:dyDescent="0.2">
      <c r="A86" s="23" t="s">
        <v>32</v>
      </c>
      <c r="B86" s="23" t="s">
        <v>78</v>
      </c>
      <c r="C86" s="23">
        <v>3.7999999999999999E-2</v>
      </c>
      <c r="D86" s="44">
        <v>2</v>
      </c>
      <c r="E86" s="21">
        <v>1052</v>
      </c>
      <c r="F86" s="21">
        <v>309</v>
      </c>
      <c r="G86" s="18">
        <v>7.0000000000000001E-3</v>
      </c>
      <c r="H86" s="18" t="s">
        <v>71</v>
      </c>
      <c r="I86" s="23">
        <v>1027</v>
      </c>
      <c r="J86" s="26">
        <v>0.83</v>
      </c>
      <c r="K86" s="18" t="s">
        <v>71</v>
      </c>
    </row>
    <row r="87" spans="1:11" x14ac:dyDescent="0.2">
      <c r="A87" s="23" t="s">
        <v>32</v>
      </c>
      <c r="B87" s="23" t="s">
        <v>42</v>
      </c>
      <c r="C87" s="23">
        <v>3.5999999999999997E-2</v>
      </c>
      <c r="D87" s="44">
        <v>1</v>
      </c>
      <c r="E87" s="21">
        <v>1410</v>
      </c>
      <c r="F87" s="21">
        <v>667</v>
      </c>
      <c r="G87" s="18">
        <v>1.4999999999999999E-2</v>
      </c>
      <c r="H87" s="18" t="s">
        <v>71</v>
      </c>
      <c r="I87" s="23">
        <v>1087</v>
      </c>
      <c r="J87" s="26">
        <v>0.88</v>
      </c>
      <c r="K87" s="18" t="s">
        <v>71</v>
      </c>
    </row>
    <row r="88" spans="1:11" x14ac:dyDescent="0.2">
      <c r="A88" s="23" t="s">
        <v>40</v>
      </c>
      <c r="B88" s="23" t="s">
        <v>50</v>
      </c>
      <c r="C88" s="23">
        <v>5.2999999999999999E-2</v>
      </c>
      <c r="D88" s="44">
        <v>1</v>
      </c>
      <c r="E88" s="21">
        <v>9533</v>
      </c>
      <c r="F88" s="21">
        <v>8790</v>
      </c>
      <c r="G88" s="18">
        <v>0.193</v>
      </c>
      <c r="H88" s="45" t="s">
        <v>131</v>
      </c>
      <c r="I88" s="23">
        <v>840</v>
      </c>
      <c r="J88" s="26">
        <v>0.57999999999999996</v>
      </c>
      <c r="K88" s="18" t="s">
        <v>71</v>
      </c>
    </row>
    <row r="89" spans="1:11" x14ac:dyDescent="0.2">
      <c r="A89" s="23" t="s">
        <v>40</v>
      </c>
      <c r="B89" s="23" t="s">
        <v>40</v>
      </c>
      <c r="C89" s="23">
        <v>0.193</v>
      </c>
      <c r="D89" s="44">
        <v>2</v>
      </c>
      <c r="E89" s="21">
        <v>38448</v>
      </c>
      <c r="F89" s="21">
        <v>37705</v>
      </c>
      <c r="G89" s="18">
        <v>0.82799999999999996</v>
      </c>
      <c r="H89" s="45" t="s">
        <v>131</v>
      </c>
      <c r="I89" s="23">
        <v>1403</v>
      </c>
      <c r="J89" s="26">
        <v>0.94</v>
      </c>
      <c r="K89" s="18" t="s">
        <v>71</v>
      </c>
    </row>
    <row r="90" spans="1:11" x14ac:dyDescent="0.2">
      <c r="A90" s="23" t="s">
        <v>40</v>
      </c>
      <c r="B90" s="23" t="s">
        <v>83</v>
      </c>
      <c r="C90" s="23">
        <v>2.7E-2</v>
      </c>
      <c r="D90" s="44">
        <v>2</v>
      </c>
      <c r="E90" s="21">
        <v>3229</v>
      </c>
      <c r="F90" s="21">
        <v>2486</v>
      </c>
      <c r="G90" s="18">
        <v>5.5E-2</v>
      </c>
      <c r="H90" s="45" t="s">
        <v>131</v>
      </c>
      <c r="I90" s="23">
        <v>1468</v>
      </c>
      <c r="J90" s="26">
        <v>0.98</v>
      </c>
      <c r="K90" s="18" t="s">
        <v>71</v>
      </c>
    </row>
    <row r="91" spans="1:11" x14ac:dyDescent="0.2">
      <c r="A91" s="23" t="s">
        <v>56</v>
      </c>
      <c r="B91" s="23" t="s">
        <v>74</v>
      </c>
      <c r="C91" s="23">
        <v>2.9000000000000001E-2</v>
      </c>
      <c r="D91" s="44">
        <v>2</v>
      </c>
      <c r="E91" s="21">
        <v>1169</v>
      </c>
      <c r="F91" s="21">
        <v>426</v>
      </c>
      <c r="G91" s="18">
        <v>8.9999999999999993E-3</v>
      </c>
      <c r="H91" s="18" t="s">
        <v>71</v>
      </c>
      <c r="I91" s="23">
        <v>893</v>
      </c>
      <c r="J91" s="26">
        <v>0.6</v>
      </c>
      <c r="K91" s="18" t="s">
        <v>71</v>
      </c>
    </row>
    <row r="92" spans="1:11" x14ac:dyDescent="0.2">
      <c r="A92" s="23" t="s">
        <v>56</v>
      </c>
      <c r="B92" s="23" t="s">
        <v>40</v>
      </c>
      <c r="C92" s="23">
        <v>0.109</v>
      </c>
      <c r="D92" s="44">
        <v>2</v>
      </c>
      <c r="E92" s="21">
        <v>13473</v>
      </c>
      <c r="F92" s="21">
        <v>12730</v>
      </c>
      <c r="G92" s="18">
        <v>0.27900000000000003</v>
      </c>
      <c r="H92" s="45" t="s">
        <v>131</v>
      </c>
      <c r="I92" s="23">
        <v>1680</v>
      </c>
      <c r="J92" s="26">
        <v>1.1200000000000001</v>
      </c>
      <c r="K92" s="18" t="s">
        <v>71</v>
      </c>
    </row>
    <row r="93" spans="1:11" x14ac:dyDescent="0.2">
      <c r="A93" s="23" t="s">
        <v>56</v>
      </c>
      <c r="B93" s="23" t="s">
        <v>56</v>
      </c>
      <c r="C93" s="23">
        <v>8.8999999999999996E-2</v>
      </c>
      <c r="D93" s="44">
        <v>2</v>
      </c>
      <c r="E93" s="21">
        <v>9436</v>
      </c>
      <c r="F93" s="21">
        <v>8693</v>
      </c>
      <c r="G93" s="18">
        <v>0.191</v>
      </c>
      <c r="H93" s="45" t="s">
        <v>131</v>
      </c>
      <c r="I93" s="23">
        <v>1166</v>
      </c>
      <c r="J93" s="26">
        <v>0.78</v>
      </c>
      <c r="K93" s="18" t="s">
        <v>71</v>
      </c>
    </row>
    <row r="94" spans="1:11" x14ac:dyDescent="0.2">
      <c r="A94" s="23" t="s">
        <v>56</v>
      </c>
      <c r="B94" s="23" t="s">
        <v>84</v>
      </c>
      <c r="C94" s="23">
        <v>2.7E-2</v>
      </c>
      <c r="D94" s="44">
        <v>2</v>
      </c>
      <c r="E94" s="21">
        <v>1669</v>
      </c>
      <c r="F94" s="21">
        <v>926</v>
      </c>
      <c r="G94" s="18">
        <v>0.02</v>
      </c>
      <c r="H94" s="18" t="s">
        <v>71</v>
      </c>
      <c r="I94" s="23">
        <v>942</v>
      </c>
      <c r="J94" s="26">
        <v>0.63</v>
      </c>
      <c r="K94" s="18" t="s">
        <v>71</v>
      </c>
    </row>
    <row r="95" spans="1:11" x14ac:dyDescent="0.2">
      <c r="A95" s="23" t="s">
        <v>56</v>
      </c>
      <c r="B95" s="23" t="s">
        <v>85</v>
      </c>
      <c r="C95" s="23">
        <v>3.5999999999999997E-2</v>
      </c>
      <c r="D95" s="44">
        <v>2</v>
      </c>
      <c r="E95" s="21">
        <v>1764</v>
      </c>
      <c r="F95" s="21">
        <v>1021</v>
      </c>
      <c r="G95" s="18">
        <v>2.1999999999999999E-2</v>
      </c>
      <c r="H95" s="18" t="s">
        <v>71</v>
      </c>
      <c r="I95" s="23">
        <v>1567</v>
      </c>
      <c r="J95" s="26">
        <v>1.05</v>
      </c>
      <c r="K95" s="18" t="s">
        <v>71</v>
      </c>
    </row>
    <row r="96" spans="1:11" x14ac:dyDescent="0.2">
      <c r="A96" s="23" t="s">
        <v>54</v>
      </c>
      <c r="B96" s="23" t="s">
        <v>54</v>
      </c>
      <c r="C96" s="23">
        <v>0.17699999999999999</v>
      </c>
      <c r="D96" s="44">
        <v>2</v>
      </c>
      <c r="E96" s="21">
        <v>8314</v>
      </c>
      <c r="F96" s="21">
        <v>7571</v>
      </c>
      <c r="G96" s="18">
        <v>0.16600000000000001</v>
      </c>
      <c r="H96" s="45" t="s">
        <v>131</v>
      </c>
      <c r="I96" s="23">
        <v>65697</v>
      </c>
      <c r="J96" s="26">
        <v>31.97</v>
      </c>
      <c r="K96" s="45" t="s">
        <v>131</v>
      </c>
    </row>
    <row r="97" spans="1:11" x14ac:dyDescent="0.2">
      <c r="A97" s="23" t="s">
        <v>86</v>
      </c>
      <c r="B97" s="23" t="s">
        <v>86</v>
      </c>
      <c r="C97" s="23">
        <v>5.0999999999999997E-2</v>
      </c>
      <c r="D97" s="44">
        <v>2</v>
      </c>
      <c r="E97" s="21">
        <v>1532</v>
      </c>
      <c r="F97" s="21">
        <v>789</v>
      </c>
      <c r="G97" s="18">
        <v>1.7000000000000001E-2</v>
      </c>
      <c r="H97" s="18" t="s">
        <v>71</v>
      </c>
      <c r="I97" s="23">
        <v>23362</v>
      </c>
      <c r="J97" s="26">
        <v>11.37</v>
      </c>
      <c r="K97" s="45" t="s">
        <v>131</v>
      </c>
    </row>
    <row r="98" spans="1:11" x14ac:dyDescent="0.2">
      <c r="A98" s="23" t="s">
        <v>29</v>
      </c>
      <c r="B98" s="23" t="s">
        <v>87</v>
      </c>
      <c r="C98" s="23">
        <v>3.5000000000000003E-2</v>
      </c>
      <c r="D98" s="44">
        <v>2</v>
      </c>
      <c r="E98" s="21">
        <v>4013</v>
      </c>
      <c r="F98" s="21">
        <v>3270</v>
      </c>
      <c r="G98" s="18">
        <v>7.1999999999999995E-2</v>
      </c>
      <c r="H98" s="45" t="s">
        <v>131</v>
      </c>
      <c r="I98" s="23">
        <v>6354</v>
      </c>
      <c r="J98" s="26">
        <v>3.09</v>
      </c>
      <c r="K98" s="45" t="s">
        <v>131</v>
      </c>
    </row>
    <row r="99" spans="1:11" x14ac:dyDescent="0.2">
      <c r="A99" s="23" t="s">
        <v>29</v>
      </c>
      <c r="B99" s="23" t="s">
        <v>88</v>
      </c>
      <c r="C99" s="23">
        <v>2.7E-2</v>
      </c>
      <c r="D99" s="44">
        <v>2</v>
      </c>
      <c r="E99" s="21">
        <v>4051</v>
      </c>
      <c r="F99" s="21">
        <v>3308</v>
      </c>
      <c r="G99" s="18">
        <v>7.2999999999999995E-2</v>
      </c>
      <c r="H99" s="45" t="s">
        <v>131</v>
      </c>
      <c r="I99" s="23">
        <v>1776</v>
      </c>
      <c r="J99" s="26">
        <v>0.69</v>
      </c>
      <c r="K99" s="18" t="s">
        <v>71</v>
      </c>
    </row>
    <row r="100" spans="1:11" x14ac:dyDescent="0.2">
      <c r="A100" s="23" t="s">
        <v>29</v>
      </c>
      <c r="B100" s="23" t="s">
        <v>89</v>
      </c>
      <c r="C100" s="23">
        <v>4.1000000000000002E-2</v>
      </c>
      <c r="D100" s="44">
        <v>2</v>
      </c>
      <c r="E100" s="21">
        <v>15478</v>
      </c>
      <c r="F100" s="21">
        <v>14735</v>
      </c>
      <c r="G100" s="18">
        <v>0.32300000000000001</v>
      </c>
      <c r="H100" s="45" t="s">
        <v>131</v>
      </c>
      <c r="I100" s="23">
        <v>12913</v>
      </c>
      <c r="J100" s="26">
        <v>6.28</v>
      </c>
      <c r="K100" s="45" t="s">
        <v>131</v>
      </c>
    </row>
    <row r="101" spans="1:11" x14ac:dyDescent="0.2">
      <c r="A101" s="23" t="s">
        <v>29</v>
      </c>
      <c r="B101" s="23" t="s">
        <v>90</v>
      </c>
      <c r="C101" s="23">
        <v>7.0000000000000007E-2</v>
      </c>
      <c r="D101" s="44">
        <v>2</v>
      </c>
      <c r="E101" s="21">
        <v>5825</v>
      </c>
      <c r="F101" s="21">
        <v>5082</v>
      </c>
      <c r="G101" s="18">
        <v>0.112</v>
      </c>
      <c r="H101" s="45" t="s">
        <v>131</v>
      </c>
      <c r="I101" s="23">
        <v>1653</v>
      </c>
      <c r="J101" s="26">
        <v>1.1299999999999999</v>
      </c>
      <c r="K101" s="18" t="s">
        <v>71</v>
      </c>
    </row>
    <row r="102" spans="1:11" x14ac:dyDescent="0.2">
      <c r="A102" s="23" t="s">
        <v>29</v>
      </c>
      <c r="B102" s="23" t="s">
        <v>91</v>
      </c>
      <c r="C102" s="23">
        <v>3.2000000000000001E-2</v>
      </c>
      <c r="D102" s="44">
        <v>2</v>
      </c>
      <c r="E102" s="21">
        <v>3613</v>
      </c>
      <c r="F102" s="21">
        <v>2870</v>
      </c>
      <c r="G102" s="18">
        <v>6.3E-2</v>
      </c>
      <c r="H102" s="45" t="s">
        <v>131</v>
      </c>
      <c r="I102" s="23">
        <v>6992</v>
      </c>
      <c r="J102" s="26">
        <v>2.72</v>
      </c>
      <c r="K102" s="18" t="s">
        <v>71</v>
      </c>
    </row>
    <row r="103" spans="1:11" x14ac:dyDescent="0.2">
      <c r="A103" s="23" t="s">
        <v>29</v>
      </c>
      <c r="B103" s="23" t="s">
        <v>92</v>
      </c>
      <c r="C103" s="23">
        <v>3.6999999999999998E-2</v>
      </c>
      <c r="D103" s="44">
        <v>2</v>
      </c>
      <c r="E103" s="21">
        <v>1766</v>
      </c>
      <c r="F103" s="21">
        <v>1023</v>
      </c>
      <c r="G103" s="18">
        <v>2.1999999999999999E-2</v>
      </c>
      <c r="H103" s="18" t="s">
        <v>71</v>
      </c>
      <c r="I103" s="23">
        <v>982</v>
      </c>
      <c r="J103" s="26">
        <v>0.38</v>
      </c>
      <c r="K103" s="18" t="s">
        <v>71</v>
      </c>
    </row>
    <row r="104" spans="1:11" x14ac:dyDescent="0.2">
      <c r="A104" s="23" t="s">
        <v>79</v>
      </c>
      <c r="B104" s="23" t="s">
        <v>29</v>
      </c>
      <c r="C104" s="23">
        <v>3.5000000000000003E-2</v>
      </c>
      <c r="D104" s="44">
        <v>2</v>
      </c>
      <c r="E104" s="21">
        <v>1850</v>
      </c>
      <c r="F104" s="21">
        <v>1107</v>
      </c>
      <c r="G104" s="18">
        <v>2.4E-2</v>
      </c>
      <c r="H104" s="18" t="s">
        <v>71</v>
      </c>
      <c r="I104" s="23">
        <v>1467</v>
      </c>
      <c r="J104" s="26">
        <v>0.56999999999999995</v>
      </c>
      <c r="K104" s="18" t="s">
        <v>71</v>
      </c>
    </row>
    <row r="105" spans="1:11" x14ac:dyDescent="0.2">
      <c r="A105" s="23" t="s">
        <v>79</v>
      </c>
      <c r="B105" s="23" t="s">
        <v>42</v>
      </c>
      <c r="C105" s="23">
        <v>3.1E-2</v>
      </c>
      <c r="D105" s="44">
        <v>2</v>
      </c>
      <c r="E105" s="21">
        <v>1170</v>
      </c>
      <c r="F105" s="21">
        <v>427</v>
      </c>
      <c r="G105" s="18">
        <v>8.9999999999999993E-3</v>
      </c>
      <c r="H105" s="18" t="s">
        <v>71</v>
      </c>
      <c r="I105" s="23">
        <v>1272</v>
      </c>
      <c r="J105" s="26">
        <v>0.51</v>
      </c>
      <c r="K105" s="18" t="s">
        <v>71</v>
      </c>
    </row>
    <row r="106" spans="1:11" x14ac:dyDescent="0.2">
      <c r="A106" s="23" t="s">
        <v>93</v>
      </c>
      <c r="B106" s="23" t="s">
        <v>94</v>
      </c>
      <c r="C106" s="23">
        <v>3.3000000000000002E-2</v>
      </c>
      <c r="D106" s="44">
        <v>2</v>
      </c>
      <c r="E106" s="21">
        <v>1064</v>
      </c>
      <c r="F106" s="21">
        <v>321</v>
      </c>
      <c r="G106" s="18">
        <v>7.0000000000000001E-3</v>
      </c>
      <c r="H106" s="18" t="s">
        <v>71</v>
      </c>
      <c r="I106" s="23">
        <v>2393</v>
      </c>
      <c r="J106" s="26">
        <v>1.24</v>
      </c>
      <c r="K106" s="45" t="s">
        <v>131</v>
      </c>
    </row>
    <row r="107" spans="1:11" x14ac:dyDescent="0.2">
      <c r="A107" s="23" t="s">
        <v>95</v>
      </c>
      <c r="B107" s="23" t="s">
        <v>87</v>
      </c>
      <c r="C107" s="23">
        <v>2.8000000000000001E-2</v>
      </c>
      <c r="D107" s="44">
        <v>2</v>
      </c>
      <c r="E107" s="21">
        <v>2501</v>
      </c>
      <c r="F107" s="21">
        <v>1758</v>
      </c>
      <c r="G107" s="18">
        <v>3.9E-2</v>
      </c>
      <c r="H107" s="45" t="s">
        <v>131</v>
      </c>
      <c r="I107" s="23">
        <v>2549</v>
      </c>
      <c r="J107" s="26">
        <v>1.24</v>
      </c>
      <c r="K107" s="18" t="s">
        <v>71</v>
      </c>
    </row>
    <row r="108" spans="1:11" x14ac:dyDescent="0.2">
      <c r="A108" s="23" t="s">
        <v>95</v>
      </c>
      <c r="B108" s="23" t="s">
        <v>96</v>
      </c>
      <c r="C108" s="23">
        <v>2.8000000000000001E-2</v>
      </c>
      <c r="D108" s="44">
        <v>2</v>
      </c>
      <c r="E108" s="21">
        <v>1471</v>
      </c>
      <c r="F108" s="21">
        <v>728</v>
      </c>
      <c r="G108" s="18">
        <v>1.6E-2</v>
      </c>
      <c r="H108" s="18" t="s">
        <v>71</v>
      </c>
      <c r="I108" s="23">
        <v>2639</v>
      </c>
      <c r="J108" s="26">
        <v>1.36</v>
      </c>
      <c r="K108" s="45" t="s">
        <v>131</v>
      </c>
    </row>
    <row r="109" spans="1:11" x14ac:dyDescent="0.2">
      <c r="A109" s="23" t="s">
        <v>91</v>
      </c>
      <c r="B109" s="23" t="s">
        <v>32</v>
      </c>
      <c r="C109" s="23">
        <v>3.1E-2</v>
      </c>
      <c r="D109" s="44">
        <v>2</v>
      </c>
      <c r="E109" s="21">
        <v>1303</v>
      </c>
      <c r="F109" s="21">
        <v>560</v>
      </c>
      <c r="G109" s="18">
        <v>1.2E-2</v>
      </c>
      <c r="H109" s="18" t="s">
        <v>71</v>
      </c>
      <c r="I109" s="23">
        <v>2840</v>
      </c>
      <c r="J109" s="26">
        <v>2.2999999999999998</v>
      </c>
      <c r="K109" s="45" t="s">
        <v>131</v>
      </c>
    </row>
    <row r="110" spans="1:11" x14ac:dyDescent="0.2">
      <c r="A110" s="23" t="s">
        <v>91</v>
      </c>
      <c r="B110" s="23" t="s">
        <v>83</v>
      </c>
      <c r="C110" s="23">
        <v>3.2000000000000001E-2</v>
      </c>
      <c r="D110" s="44">
        <v>1</v>
      </c>
      <c r="E110" s="21">
        <v>1163</v>
      </c>
      <c r="F110" s="21">
        <v>420</v>
      </c>
      <c r="G110" s="18">
        <v>8.9999999999999993E-3</v>
      </c>
      <c r="H110" s="18" t="s">
        <v>71</v>
      </c>
      <c r="I110" s="23">
        <v>52548</v>
      </c>
      <c r="J110" s="26">
        <v>25.57</v>
      </c>
      <c r="K110" s="45" t="s">
        <v>131</v>
      </c>
    </row>
    <row r="111" spans="1:11" x14ac:dyDescent="0.2">
      <c r="A111" s="23" t="s">
        <v>36</v>
      </c>
      <c r="B111" s="23" t="s">
        <v>45</v>
      </c>
      <c r="C111" s="23">
        <v>3.3000000000000002E-2</v>
      </c>
      <c r="D111" s="44">
        <v>2</v>
      </c>
      <c r="E111" s="21">
        <v>1211</v>
      </c>
      <c r="F111" s="21">
        <v>468</v>
      </c>
      <c r="G111" s="18">
        <v>0.01</v>
      </c>
      <c r="H111" s="18" t="s">
        <v>71</v>
      </c>
      <c r="I111" s="23">
        <v>1892</v>
      </c>
      <c r="J111" s="26">
        <v>0.98</v>
      </c>
      <c r="K111" s="23"/>
    </row>
    <row r="112" spans="1:11" x14ac:dyDescent="0.2">
      <c r="A112" s="23" t="s">
        <v>36</v>
      </c>
      <c r="B112" s="23" t="s">
        <v>76</v>
      </c>
      <c r="C112" s="23">
        <v>2.9000000000000001E-2</v>
      </c>
      <c r="D112" s="44">
        <v>2</v>
      </c>
      <c r="E112" s="21">
        <v>3438</v>
      </c>
      <c r="F112" s="21">
        <v>2695</v>
      </c>
      <c r="G112" s="18">
        <v>5.8999999999999997E-2</v>
      </c>
      <c r="H112" s="45" t="s">
        <v>131</v>
      </c>
      <c r="I112" s="23">
        <v>2488</v>
      </c>
      <c r="J112" s="26">
        <v>1.21</v>
      </c>
      <c r="K112" s="18" t="s">
        <v>71</v>
      </c>
    </row>
    <row r="113" spans="1:11" x14ac:dyDescent="0.2">
      <c r="A113" s="23" t="s">
        <v>36</v>
      </c>
      <c r="B113" s="23" t="s">
        <v>40</v>
      </c>
      <c r="C113" s="23">
        <v>0.03</v>
      </c>
      <c r="D113" s="44">
        <v>2</v>
      </c>
      <c r="E113" s="21">
        <v>2708</v>
      </c>
      <c r="F113" s="21">
        <v>1965</v>
      </c>
      <c r="G113" s="18">
        <v>4.2999999999999997E-2</v>
      </c>
      <c r="H113" s="45" t="s">
        <v>131</v>
      </c>
      <c r="I113" s="23">
        <v>1291</v>
      </c>
      <c r="J113" s="26">
        <v>0.86</v>
      </c>
      <c r="K113" s="18" t="s">
        <v>71</v>
      </c>
    </row>
    <row r="114" spans="1:11" x14ac:dyDescent="0.2">
      <c r="A114" s="23" t="s">
        <v>36</v>
      </c>
      <c r="B114" s="23" t="s">
        <v>36</v>
      </c>
      <c r="C114" s="23">
        <v>8.4000000000000005E-2</v>
      </c>
      <c r="D114" s="44">
        <v>2</v>
      </c>
      <c r="E114" s="21">
        <v>6851</v>
      </c>
      <c r="F114" s="21">
        <v>6108</v>
      </c>
      <c r="G114" s="18">
        <v>0.13400000000000001</v>
      </c>
      <c r="H114" s="45" t="s">
        <v>131</v>
      </c>
      <c r="I114" s="23">
        <v>16139</v>
      </c>
      <c r="J114" s="26">
        <v>8.33</v>
      </c>
      <c r="K114" s="45" t="s">
        <v>131</v>
      </c>
    </row>
    <row r="115" spans="1:11" x14ac:dyDescent="0.2">
      <c r="A115" s="23" t="s">
        <v>61</v>
      </c>
      <c r="B115" s="23" t="s">
        <v>61</v>
      </c>
      <c r="C115" s="23">
        <v>0.13500000000000001</v>
      </c>
      <c r="D115" s="44">
        <v>2</v>
      </c>
      <c r="E115" s="21">
        <v>1637</v>
      </c>
      <c r="F115" s="21">
        <v>894</v>
      </c>
      <c r="G115" s="18">
        <v>0.02</v>
      </c>
      <c r="H115" s="18" t="s">
        <v>71</v>
      </c>
      <c r="I115" s="23">
        <v>1319</v>
      </c>
      <c r="J115" s="26">
        <v>0.9</v>
      </c>
      <c r="K115" s="18" t="s">
        <v>71</v>
      </c>
    </row>
    <row r="116" spans="1:11" x14ac:dyDescent="0.2">
      <c r="A116" s="23" t="s">
        <v>92</v>
      </c>
      <c r="B116" s="23" t="s">
        <v>90</v>
      </c>
      <c r="C116" s="23">
        <v>0.05</v>
      </c>
      <c r="D116" s="44">
        <v>1</v>
      </c>
      <c r="E116" s="21">
        <v>1106</v>
      </c>
      <c r="F116" s="21">
        <v>363</v>
      </c>
      <c r="G116" s="18">
        <v>8.0000000000000002E-3</v>
      </c>
      <c r="H116" s="18" t="s">
        <v>71</v>
      </c>
      <c r="I116" s="23">
        <v>2694</v>
      </c>
      <c r="J116" s="26">
        <v>1.85</v>
      </c>
      <c r="K116" s="18" t="s">
        <v>71</v>
      </c>
    </row>
    <row r="117" spans="1:11" x14ac:dyDescent="0.2">
      <c r="A117" s="23" t="s">
        <v>92</v>
      </c>
      <c r="B117" s="23" t="s">
        <v>77</v>
      </c>
      <c r="C117" s="23">
        <v>2.7E-2</v>
      </c>
      <c r="D117" s="44">
        <v>2</v>
      </c>
      <c r="E117" s="21">
        <v>864</v>
      </c>
      <c r="F117" s="21">
        <v>121</v>
      </c>
      <c r="G117" s="18">
        <v>3.0000000000000001E-3</v>
      </c>
      <c r="H117" s="18" t="s">
        <v>71</v>
      </c>
      <c r="I117" s="23">
        <v>1689</v>
      </c>
      <c r="J117" s="26">
        <v>0.87</v>
      </c>
      <c r="K117" s="18" t="s">
        <v>71</v>
      </c>
    </row>
    <row r="118" spans="1:11" x14ac:dyDescent="0.2">
      <c r="A118" s="23" t="s">
        <v>77</v>
      </c>
      <c r="B118" s="23" t="s">
        <v>48</v>
      </c>
      <c r="C118" s="23">
        <v>4.8000000000000001E-2</v>
      </c>
      <c r="D118" s="44">
        <v>1</v>
      </c>
      <c r="E118" s="21">
        <v>1627</v>
      </c>
      <c r="F118" s="21">
        <v>884</v>
      </c>
      <c r="G118" s="18">
        <v>1.9E-2</v>
      </c>
      <c r="H118" s="18" t="s">
        <v>71</v>
      </c>
      <c r="I118" s="23">
        <v>1778</v>
      </c>
      <c r="J118" s="26">
        <v>0.92</v>
      </c>
      <c r="K118" s="18" t="s">
        <v>71</v>
      </c>
    </row>
    <row r="119" spans="1:11" x14ac:dyDescent="0.2">
      <c r="A119" s="23" t="s">
        <v>77</v>
      </c>
      <c r="B119" s="23" t="s">
        <v>59</v>
      </c>
      <c r="C119" s="23">
        <v>3.1E-2</v>
      </c>
      <c r="D119" s="44">
        <v>2</v>
      </c>
      <c r="E119" s="21">
        <v>1973</v>
      </c>
      <c r="F119" s="21">
        <v>1230</v>
      </c>
      <c r="G119" s="18">
        <v>2.7E-2</v>
      </c>
      <c r="H119" s="18" t="s">
        <v>71</v>
      </c>
      <c r="I119" s="23">
        <v>2200</v>
      </c>
      <c r="J119" s="26">
        <v>1.1399999999999999</v>
      </c>
      <c r="K119" s="18" t="s">
        <v>71</v>
      </c>
    </row>
    <row r="120" spans="1:11" x14ac:dyDescent="0.2">
      <c r="A120" s="23" t="s">
        <v>77</v>
      </c>
      <c r="B120" s="23" t="s">
        <v>33</v>
      </c>
      <c r="C120" s="23">
        <v>3.2000000000000001E-2</v>
      </c>
      <c r="D120" s="44">
        <v>1</v>
      </c>
      <c r="E120" s="21">
        <v>1709</v>
      </c>
      <c r="F120" s="21">
        <v>966</v>
      </c>
      <c r="G120" s="18">
        <v>2.1000000000000001E-2</v>
      </c>
      <c r="H120" s="18" t="s">
        <v>71</v>
      </c>
      <c r="I120" s="23">
        <v>2142</v>
      </c>
      <c r="J120" s="26">
        <v>1.1100000000000001</v>
      </c>
      <c r="K120" s="18" t="s">
        <v>71</v>
      </c>
    </row>
    <row r="121" spans="1:11" x14ac:dyDescent="0.2">
      <c r="A121" s="23" t="s">
        <v>77</v>
      </c>
      <c r="B121" s="23" t="s">
        <v>91</v>
      </c>
      <c r="C121" s="23">
        <v>2.7E-2</v>
      </c>
      <c r="D121" s="44">
        <v>2</v>
      </c>
      <c r="E121" s="21">
        <v>4680</v>
      </c>
      <c r="F121" s="21">
        <v>3937</v>
      </c>
      <c r="G121" s="18">
        <v>8.5999999999999993E-2</v>
      </c>
      <c r="H121" s="45" t="s">
        <v>131</v>
      </c>
      <c r="I121" s="23">
        <v>6186</v>
      </c>
      <c r="J121" s="26">
        <v>3.19</v>
      </c>
      <c r="K121" s="45" t="s">
        <v>131</v>
      </c>
    </row>
    <row r="122" spans="1:11" x14ac:dyDescent="0.2">
      <c r="A122" s="23" t="s">
        <v>77</v>
      </c>
      <c r="B122" s="23" t="s">
        <v>97</v>
      </c>
      <c r="C122" s="23">
        <v>3.1E-2</v>
      </c>
      <c r="D122" s="44">
        <v>1</v>
      </c>
      <c r="E122" s="21">
        <v>1243</v>
      </c>
      <c r="F122" s="21">
        <v>500</v>
      </c>
      <c r="G122" s="18">
        <v>1.0999999999999999E-2</v>
      </c>
      <c r="H122" s="18" t="s">
        <v>71</v>
      </c>
      <c r="I122" s="23">
        <v>1849</v>
      </c>
      <c r="J122" s="26">
        <v>0.95</v>
      </c>
      <c r="K122" s="18" t="s">
        <v>71</v>
      </c>
    </row>
    <row r="123" spans="1:11" x14ac:dyDescent="0.2">
      <c r="A123" s="23" t="s">
        <v>77</v>
      </c>
      <c r="B123" s="23" t="s">
        <v>77</v>
      </c>
      <c r="C123" s="23">
        <v>3.9E-2</v>
      </c>
      <c r="D123" s="44">
        <v>2</v>
      </c>
      <c r="E123" s="21">
        <v>5785</v>
      </c>
      <c r="F123" s="21">
        <v>5042</v>
      </c>
      <c r="G123" s="18">
        <v>0.111</v>
      </c>
      <c r="H123" s="45" t="s">
        <v>131</v>
      </c>
      <c r="I123" s="23">
        <v>1902</v>
      </c>
      <c r="J123" s="26">
        <v>0.98</v>
      </c>
      <c r="K123" s="18" t="s">
        <v>71</v>
      </c>
    </row>
    <row r="124" spans="1:11" x14ac:dyDescent="0.2">
      <c r="A124" s="23" t="s">
        <v>98</v>
      </c>
      <c r="B124" s="23" t="s">
        <v>45</v>
      </c>
      <c r="C124" s="23">
        <v>2.7E-2</v>
      </c>
      <c r="D124" s="44">
        <v>1</v>
      </c>
      <c r="E124" s="21">
        <v>1145</v>
      </c>
      <c r="F124" s="21">
        <v>-213</v>
      </c>
      <c r="G124" s="18">
        <v>-3.0000000000000001E-3</v>
      </c>
      <c r="H124" s="18" t="s">
        <v>71</v>
      </c>
      <c r="I124" s="23">
        <v>754</v>
      </c>
      <c r="J124" s="26">
        <v>0.52</v>
      </c>
      <c r="K124" s="18" t="s">
        <v>71</v>
      </c>
    </row>
    <row r="125" spans="1:11" x14ac:dyDescent="0.2">
      <c r="A125" s="23" t="s">
        <v>98</v>
      </c>
      <c r="B125" s="23" t="s">
        <v>32</v>
      </c>
      <c r="C125" s="23">
        <v>2.8000000000000001E-2</v>
      </c>
      <c r="D125" s="44">
        <v>1</v>
      </c>
      <c r="E125" s="21">
        <v>2014</v>
      </c>
      <c r="F125" s="21">
        <v>656</v>
      </c>
      <c r="G125" s="18">
        <v>1.0999999999999999E-2</v>
      </c>
      <c r="H125" s="18" t="s">
        <v>71</v>
      </c>
      <c r="I125" s="23">
        <v>812</v>
      </c>
      <c r="J125" s="26">
        <v>0.66</v>
      </c>
      <c r="K125" s="18" t="s">
        <v>71</v>
      </c>
    </row>
    <row r="126" spans="1:11" x14ac:dyDescent="0.2">
      <c r="A126" s="23" t="s">
        <v>32</v>
      </c>
      <c r="B126" s="23" t="s">
        <v>74</v>
      </c>
      <c r="C126" s="23">
        <v>3.4000000000000002E-2</v>
      </c>
      <c r="D126" s="44">
        <v>2</v>
      </c>
      <c r="E126" s="21">
        <v>2040</v>
      </c>
      <c r="F126" s="21">
        <v>682</v>
      </c>
      <c r="G126" s="18">
        <v>1.0999999999999999E-2</v>
      </c>
      <c r="H126" s="18" t="s">
        <v>71</v>
      </c>
      <c r="I126" s="23">
        <v>731</v>
      </c>
      <c r="J126" s="26">
        <v>0.59</v>
      </c>
      <c r="K126" s="18" t="s">
        <v>71</v>
      </c>
    </row>
    <row r="127" spans="1:11" x14ac:dyDescent="0.2">
      <c r="A127" s="23" t="s">
        <v>57</v>
      </c>
      <c r="B127" s="23" t="s">
        <v>63</v>
      </c>
      <c r="C127" s="23">
        <v>2.9000000000000001E-2</v>
      </c>
      <c r="D127" s="44">
        <v>1</v>
      </c>
      <c r="E127" s="21">
        <v>1786</v>
      </c>
      <c r="F127" s="21">
        <v>428</v>
      </c>
      <c r="G127" s="18">
        <v>7.0000000000000001E-3</v>
      </c>
      <c r="H127" s="18" t="s">
        <v>71</v>
      </c>
      <c r="I127" s="23">
        <v>2609</v>
      </c>
      <c r="J127" s="26">
        <v>1.74</v>
      </c>
      <c r="K127" s="18" t="s">
        <v>71</v>
      </c>
    </row>
    <row r="128" spans="1:11" x14ac:dyDescent="0.2">
      <c r="A128" s="23" t="s">
        <v>57</v>
      </c>
      <c r="B128" s="23" t="s">
        <v>57</v>
      </c>
      <c r="C128" s="23">
        <v>5.8999999999999997E-2</v>
      </c>
      <c r="D128" s="44">
        <v>1</v>
      </c>
      <c r="E128" s="21">
        <v>4579</v>
      </c>
      <c r="F128" s="21">
        <v>3221</v>
      </c>
      <c r="G128" s="18">
        <v>5.1999999999999998E-2</v>
      </c>
      <c r="H128" s="45" t="s">
        <v>131</v>
      </c>
      <c r="I128" s="23">
        <v>15882</v>
      </c>
      <c r="J128" s="26">
        <v>10.62</v>
      </c>
      <c r="K128" s="45" t="s">
        <v>131</v>
      </c>
    </row>
    <row r="129" spans="1:11" x14ac:dyDescent="0.2">
      <c r="A129" s="23" t="s">
        <v>99</v>
      </c>
      <c r="B129" s="23" t="s">
        <v>87</v>
      </c>
      <c r="C129" s="23">
        <v>2.8000000000000001E-2</v>
      </c>
      <c r="D129" s="44">
        <v>2</v>
      </c>
      <c r="E129" s="21">
        <v>1624</v>
      </c>
      <c r="F129" s="21">
        <v>266</v>
      </c>
      <c r="G129" s="18">
        <v>4.0000000000000001E-3</v>
      </c>
      <c r="H129" s="18" t="s">
        <v>71</v>
      </c>
      <c r="I129" s="23">
        <v>1312</v>
      </c>
      <c r="J129" s="26">
        <v>0.64</v>
      </c>
      <c r="K129" s="18" t="s">
        <v>71</v>
      </c>
    </row>
    <row r="130" spans="1:11" x14ac:dyDescent="0.2">
      <c r="A130" s="23" t="s">
        <v>87</v>
      </c>
      <c r="B130" s="23" t="s">
        <v>70</v>
      </c>
      <c r="C130" s="23">
        <v>2.8000000000000001E-2</v>
      </c>
      <c r="D130" s="44">
        <v>2</v>
      </c>
      <c r="E130" s="21">
        <v>1895</v>
      </c>
      <c r="F130" s="21">
        <v>537</v>
      </c>
      <c r="G130" s="18">
        <v>8.9999999999999993E-3</v>
      </c>
      <c r="H130" s="18" t="s">
        <v>71</v>
      </c>
      <c r="I130" s="23">
        <v>2039</v>
      </c>
      <c r="J130" s="26">
        <v>0.99</v>
      </c>
      <c r="K130" s="18" t="s">
        <v>71</v>
      </c>
    </row>
    <row r="131" spans="1:11" x14ac:dyDescent="0.2">
      <c r="A131" s="23" t="s">
        <v>87</v>
      </c>
      <c r="B131" s="23" t="s">
        <v>87</v>
      </c>
      <c r="C131" s="23">
        <v>0.19700000000000001</v>
      </c>
      <c r="D131" s="44">
        <v>2</v>
      </c>
      <c r="E131" s="21">
        <v>10707</v>
      </c>
      <c r="F131" s="21">
        <v>9349</v>
      </c>
      <c r="G131" s="18">
        <v>0.152</v>
      </c>
      <c r="H131" s="45" t="s">
        <v>131</v>
      </c>
      <c r="I131" s="23">
        <v>14030</v>
      </c>
      <c r="J131" s="26">
        <v>6.83</v>
      </c>
      <c r="K131" s="45" t="s">
        <v>131</v>
      </c>
    </row>
    <row r="132" spans="1:11" x14ac:dyDescent="0.2">
      <c r="A132" s="23" t="s">
        <v>88</v>
      </c>
      <c r="B132" s="23" t="s">
        <v>32</v>
      </c>
      <c r="C132" s="23">
        <v>4.2999999999999997E-2</v>
      </c>
      <c r="D132" s="44">
        <v>2</v>
      </c>
      <c r="E132" s="21">
        <v>1728</v>
      </c>
      <c r="F132" s="21">
        <v>370</v>
      </c>
      <c r="G132" s="18">
        <v>6.0000000000000001E-3</v>
      </c>
      <c r="H132" s="18" t="s">
        <v>71</v>
      </c>
      <c r="I132" s="23">
        <v>812</v>
      </c>
      <c r="J132" s="26">
        <v>0.66</v>
      </c>
      <c r="K132" s="18" t="s">
        <v>71</v>
      </c>
    </row>
    <row r="133" spans="1:11" x14ac:dyDescent="0.2">
      <c r="A133" s="23" t="s">
        <v>88</v>
      </c>
      <c r="B133" s="23" t="s">
        <v>56</v>
      </c>
      <c r="C133" s="23">
        <v>2.7E-2</v>
      </c>
      <c r="D133" s="44">
        <v>2</v>
      </c>
      <c r="E133" s="21">
        <v>1816</v>
      </c>
      <c r="F133" s="21">
        <v>458</v>
      </c>
      <c r="G133" s="18">
        <v>7.0000000000000001E-3</v>
      </c>
      <c r="H133" s="18" t="s">
        <v>71</v>
      </c>
      <c r="I133" s="23">
        <v>1003</v>
      </c>
      <c r="J133" s="26">
        <v>0.67</v>
      </c>
      <c r="K133" s="18" t="s">
        <v>71</v>
      </c>
    </row>
    <row r="134" spans="1:11" x14ac:dyDescent="0.2">
      <c r="A134" s="23" t="s">
        <v>89</v>
      </c>
      <c r="B134" s="23" t="s">
        <v>83</v>
      </c>
      <c r="C134" s="23">
        <v>2.7E-2</v>
      </c>
      <c r="D134" s="44">
        <v>1</v>
      </c>
      <c r="E134" s="21">
        <v>7746</v>
      </c>
      <c r="F134" s="21">
        <v>6388</v>
      </c>
      <c r="G134" s="18">
        <v>0.104</v>
      </c>
      <c r="H134" s="45" t="s">
        <v>131</v>
      </c>
      <c r="I134" s="23">
        <v>16711</v>
      </c>
      <c r="J134" s="26">
        <v>8.1300000000000008</v>
      </c>
      <c r="K134" s="45" t="s">
        <v>131</v>
      </c>
    </row>
    <row r="135" spans="1:11" x14ac:dyDescent="0.2">
      <c r="A135" s="23" t="s">
        <v>100</v>
      </c>
      <c r="B135" s="23" t="s">
        <v>40</v>
      </c>
      <c r="C135" s="23">
        <v>2.8000000000000001E-2</v>
      </c>
      <c r="D135" s="44">
        <v>1</v>
      </c>
      <c r="E135" s="21">
        <v>2588</v>
      </c>
      <c r="F135" s="21">
        <v>1230</v>
      </c>
      <c r="G135" s="18">
        <v>0.02</v>
      </c>
      <c r="H135" s="18" t="s">
        <v>71</v>
      </c>
      <c r="I135" s="23">
        <v>786</v>
      </c>
      <c r="J135" s="26">
        <v>0.53</v>
      </c>
      <c r="K135" s="18" t="s">
        <v>71</v>
      </c>
    </row>
    <row r="136" spans="1:11" x14ac:dyDescent="0.2">
      <c r="A136" s="23" t="s">
        <v>100</v>
      </c>
      <c r="B136" s="23" t="s">
        <v>100</v>
      </c>
      <c r="C136" s="23">
        <v>0.08</v>
      </c>
      <c r="D136" s="44">
        <v>2</v>
      </c>
      <c r="E136" s="21">
        <v>1721</v>
      </c>
      <c r="F136" s="21">
        <v>363</v>
      </c>
      <c r="G136" s="18">
        <v>6.0000000000000001E-3</v>
      </c>
      <c r="H136" s="18" t="s">
        <v>71</v>
      </c>
      <c r="I136" s="23">
        <v>71585</v>
      </c>
      <c r="J136" s="26">
        <v>34.83</v>
      </c>
      <c r="K136" s="45" t="s">
        <v>131</v>
      </c>
    </row>
    <row r="137" spans="1:11" x14ac:dyDescent="0.2">
      <c r="A137" s="23" t="s">
        <v>85</v>
      </c>
      <c r="B137" s="23" t="s">
        <v>101</v>
      </c>
      <c r="C137" s="23">
        <v>3.5000000000000003E-2</v>
      </c>
      <c r="D137" s="44">
        <v>1</v>
      </c>
      <c r="E137" s="21">
        <v>1478</v>
      </c>
      <c r="F137" s="21">
        <v>120</v>
      </c>
      <c r="G137" s="18">
        <v>2E-3</v>
      </c>
      <c r="H137" s="18" t="s">
        <v>71</v>
      </c>
      <c r="I137" s="23">
        <v>1376</v>
      </c>
      <c r="J137" s="26">
        <v>0.92</v>
      </c>
      <c r="K137" s="18" t="s">
        <v>71</v>
      </c>
    </row>
    <row r="138" spans="1:11" x14ac:dyDescent="0.2">
      <c r="A138" s="23" t="s">
        <v>102</v>
      </c>
      <c r="B138" s="23" t="s">
        <v>58</v>
      </c>
      <c r="C138" s="23">
        <v>4.5999999999999999E-2</v>
      </c>
      <c r="D138" s="44">
        <v>2</v>
      </c>
      <c r="E138" s="21">
        <v>11261</v>
      </c>
      <c r="F138" s="21">
        <v>9903</v>
      </c>
      <c r="G138" s="18">
        <v>0.161</v>
      </c>
      <c r="H138" s="45" t="s">
        <v>131</v>
      </c>
      <c r="I138" s="23">
        <v>3291</v>
      </c>
      <c r="J138" s="26">
        <v>1.22</v>
      </c>
      <c r="K138" s="18" t="s">
        <v>71</v>
      </c>
    </row>
    <row r="139" spans="1:11" x14ac:dyDescent="0.2">
      <c r="A139" s="23" t="s">
        <v>102</v>
      </c>
      <c r="B139" s="23" t="s">
        <v>29</v>
      </c>
      <c r="C139" s="23">
        <v>3.5000000000000003E-2</v>
      </c>
      <c r="D139" s="44">
        <v>2</v>
      </c>
      <c r="E139" s="21">
        <v>1485</v>
      </c>
      <c r="F139" s="21">
        <v>127</v>
      </c>
      <c r="G139" s="18">
        <v>2E-3</v>
      </c>
      <c r="H139" s="18" t="s">
        <v>71</v>
      </c>
      <c r="I139" s="23">
        <v>1937</v>
      </c>
      <c r="J139" s="26">
        <v>1.29</v>
      </c>
      <c r="K139" s="18" t="s">
        <v>71</v>
      </c>
    </row>
    <row r="140" spans="1:11" x14ac:dyDescent="0.2">
      <c r="A140" s="23" t="s">
        <v>103</v>
      </c>
      <c r="B140" s="23" t="s">
        <v>104</v>
      </c>
      <c r="C140" s="23">
        <v>7.2999999999999995E-2</v>
      </c>
      <c r="D140" s="44">
        <v>2</v>
      </c>
      <c r="E140" s="21">
        <v>1690</v>
      </c>
      <c r="F140" s="21">
        <v>332</v>
      </c>
      <c r="G140" s="18">
        <v>5.0000000000000001E-3</v>
      </c>
      <c r="H140" s="18" t="s">
        <v>71</v>
      </c>
      <c r="I140" s="23">
        <v>1941</v>
      </c>
      <c r="J140" s="26">
        <v>1.5</v>
      </c>
      <c r="K140" s="18" t="s">
        <v>71</v>
      </c>
    </row>
    <row r="141" spans="1:11" x14ac:dyDescent="0.2">
      <c r="A141" s="23" t="s">
        <v>103</v>
      </c>
      <c r="B141" s="23" t="s">
        <v>90</v>
      </c>
      <c r="C141" s="23">
        <v>3.5000000000000003E-2</v>
      </c>
      <c r="D141" s="44">
        <v>1</v>
      </c>
      <c r="E141" s="21">
        <v>2303</v>
      </c>
      <c r="F141" s="21">
        <v>945</v>
      </c>
      <c r="G141" s="18">
        <v>1.4999999999999999E-2</v>
      </c>
      <c r="H141" s="18" t="s">
        <v>71</v>
      </c>
      <c r="I141" s="23">
        <v>1205</v>
      </c>
      <c r="J141" s="26">
        <v>0.83</v>
      </c>
      <c r="K141" s="18" t="s">
        <v>71</v>
      </c>
    </row>
    <row r="142" spans="1:11" x14ac:dyDescent="0.2">
      <c r="A142" s="23" t="s">
        <v>103</v>
      </c>
      <c r="B142" s="23" t="s">
        <v>58</v>
      </c>
      <c r="C142" s="23">
        <v>4.2000000000000003E-2</v>
      </c>
      <c r="D142" s="44">
        <v>2</v>
      </c>
      <c r="E142" s="21">
        <v>21716</v>
      </c>
      <c r="F142" s="21">
        <v>20358</v>
      </c>
      <c r="G142" s="18">
        <v>0.33100000000000002</v>
      </c>
      <c r="H142" s="45" t="s">
        <v>131</v>
      </c>
      <c r="I142" s="23">
        <v>7772</v>
      </c>
      <c r="J142" s="26">
        <v>3.02</v>
      </c>
      <c r="K142" s="18" t="s">
        <v>71</v>
      </c>
    </row>
    <row r="143" spans="1:11" x14ac:dyDescent="0.2">
      <c r="A143" s="23" t="s">
        <v>103</v>
      </c>
      <c r="B143" s="23" t="s">
        <v>42</v>
      </c>
      <c r="C143" s="23">
        <v>0.03</v>
      </c>
      <c r="D143" s="44">
        <v>2</v>
      </c>
      <c r="E143" s="21">
        <v>1665</v>
      </c>
      <c r="F143" s="21">
        <v>307</v>
      </c>
      <c r="G143" s="18">
        <v>5.0000000000000001E-3</v>
      </c>
      <c r="H143" s="18" t="s">
        <v>71</v>
      </c>
      <c r="I143" s="23">
        <v>6207</v>
      </c>
      <c r="J143" s="26">
        <v>2.5</v>
      </c>
      <c r="K143" s="45" t="s">
        <v>131</v>
      </c>
    </row>
    <row r="144" spans="1:11" x14ac:dyDescent="0.2">
      <c r="A144" s="23" t="s">
        <v>105</v>
      </c>
      <c r="B144" s="23" t="s">
        <v>32</v>
      </c>
      <c r="C144" s="23">
        <v>4.2999999999999997E-2</v>
      </c>
      <c r="D144" s="44">
        <v>2</v>
      </c>
      <c r="E144" s="21">
        <v>2201</v>
      </c>
      <c r="F144" s="21">
        <v>843</v>
      </c>
      <c r="G144" s="18">
        <v>1.4E-2</v>
      </c>
      <c r="H144" s="18" t="s">
        <v>71</v>
      </c>
      <c r="I144" s="23">
        <v>6238</v>
      </c>
      <c r="J144" s="26">
        <v>5.0599999999999996</v>
      </c>
      <c r="K144" s="45" t="s">
        <v>131</v>
      </c>
    </row>
    <row r="145" spans="1:11" x14ac:dyDescent="0.2">
      <c r="A145" s="23" t="s">
        <v>105</v>
      </c>
      <c r="B145" s="23" t="s">
        <v>105</v>
      </c>
      <c r="C145" s="23">
        <v>2.7E-2</v>
      </c>
      <c r="D145" s="44">
        <v>2</v>
      </c>
      <c r="E145" s="21">
        <v>2698</v>
      </c>
      <c r="F145" s="21">
        <v>1340</v>
      </c>
      <c r="G145" s="18">
        <v>2.1999999999999999E-2</v>
      </c>
      <c r="H145" s="18" t="s">
        <v>71</v>
      </c>
      <c r="I145" s="23">
        <v>4038</v>
      </c>
      <c r="J145" s="26">
        <v>2.7</v>
      </c>
      <c r="K145" s="45" t="s">
        <v>131</v>
      </c>
    </row>
    <row r="146" spans="1:11" x14ac:dyDescent="0.2">
      <c r="A146" s="23" t="s">
        <v>106</v>
      </c>
      <c r="B146" s="23" t="s">
        <v>58</v>
      </c>
      <c r="C146" s="23">
        <v>0.14979999999999999</v>
      </c>
      <c r="D146" s="44">
        <v>1</v>
      </c>
      <c r="E146" s="21">
        <v>30106</v>
      </c>
      <c r="F146" s="21">
        <v>28748</v>
      </c>
      <c r="G146" s="18">
        <v>0.46700000000000003</v>
      </c>
      <c r="H146" s="45" t="s">
        <v>131</v>
      </c>
      <c r="I146" s="23">
        <v>1868</v>
      </c>
      <c r="J146" s="26">
        <v>0.73</v>
      </c>
      <c r="K146" s="18" t="s">
        <v>71</v>
      </c>
    </row>
    <row r="147" spans="1:11" x14ac:dyDescent="0.2">
      <c r="A147" s="23" t="s">
        <v>107</v>
      </c>
      <c r="B147" s="23" t="s">
        <v>107</v>
      </c>
      <c r="C147" s="23">
        <v>0.44040000000000001</v>
      </c>
      <c r="D147" s="44">
        <v>1</v>
      </c>
      <c r="E147" s="21">
        <v>1412</v>
      </c>
      <c r="F147" s="21">
        <v>54</v>
      </c>
      <c r="G147" s="18">
        <v>1E-3</v>
      </c>
      <c r="H147" s="18" t="s">
        <v>71</v>
      </c>
      <c r="I147" s="23">
        <v>1531</v>
      </c>
      <c r="J147" s="26">
        <v>1.24</v>
      </c>
      <c r="K147" s="18" t="s">
        <v>71</v>
      </c>
    </row>
    <row r="148" spans="1:11" x14ac:dyDescent="0.2">
      <c r="A148" s="23" t="s">
        <v>107</v>
      </c>
      <c r="B148" s="23" t="s">
        <v>108</v>
      </c>
      <c r="C148" s="23">
        <v>3.5000000000000003E-2</v>
      </c>
      <c r="D148" s="44">
        <v>2</v>
      </c>
      <c r="E148" s="21">
        <v>1396</v>
      </c>
      <c r="F148" s="21">
        <v>38</v>
      </c>
      <c r="G148" s="18">
        <v>1E-3</v>
      </c>
      <c r="H148" s="18" t="s">
        <v>71</v>
      </c>
      <c r="I148" s="23">
        <v>1556</v>
      </c>
      <c r="J148" s="26">
        <v>1.26</v>
      </c>
      <c r="K148" s="18" t="s">
        <v>71</v>
      </c>
    </row>
    <row r="149" spans="1:11" x14ac:dyDescent="0.2">
      <c r="A149" s="23" t="s">
        <v>109</v>
      </c>
      <c r="B149" s="23" t="s">
        <v>107</v>
      </c>
      <c r="C149" s="23">
        <v>4.1000000000000002E-2</v>
      </c>
      <c r="D149" s="44">
        <v>1</v>
      </c>
      <c r="E149" s="21">
        <v>4246</v>
      </c>
      <c r="F149" s="21">
        <v>2888</v>
      </c>
      <c r="G149" s="18">
        <v>4.7E-2</v>
      </c>
      <c r="H149" s="45" t="s">
        <v>131</v>
      </c>
      <c r="I149" s="23">
        <v>1934</v>
      </c>
      <c r="J149" s="26">
        <v>1.48</v>
      </c>
      <c r="K149" s="18" t="s">
        <v>71</v>
      </c>
    </row>
    <row r="150" spans="1:11" x14ac:dyDescent="0.2">
      <c r="A150" s="23" t="s">
        <v>109</v>
      </c>
      <c r="B150" s="23" t="s">
        <v>29</v>
      </c>
      <c r="C150" s="23">
        <v>3.5000000000000003E-2</v>
      </c>
      <c r="D150" s="44">
        <v>2</v>
      </c>
      <c r="E150" s="21">
        <v>8501</v>
      </c>
      <c r="F150" s="21">
        <v>7143</v>
      </c>
      <c r="G150" s="18">
        <v>0.11600000000000001</v>
      </c>
      <c r="H150" s="45" t="s">
        <v>131</v>
      </c>
      <c r="I150" s="23">
        <v>1536</v>
      </c>
      <c r="J150" s="26">
        <v>1.18</v>
      </c>
      <c r="K150" s="18" t="s">
        <v>71</v>
      </c>
    </row>
    <row r="151" spans="1:11" x14ac:dyDescent="0.2">
      <c r="A151" s="23" t="s">
        <v>109</v>
      </c>
      <c r="B151" s="23" t="s">
        <v>36</v>
      </c>
      <c r="C151" s="23">
        <v>2.7E-2</v>
      </c>
      <c r="D151" s="44">
        <v>2</v>
      </c>
      <c r="E151" s="21">
        <v>10777</v>
      </c>
      <c r="F151" s="21">
        <v>9419</v>
      </c>
      <c r="G151" s="18">
        <v>0.153</v>
      </c>
      <c r="H151" s="45" t="s">
        <v>131</v>
      </c>
      <c r="I151" s="23">
        <v>1133</v>
      </c>
      <c r="J151" s="26">
        <v>0.87</v>
      </c>
      <c r="K151" s="18" t="s">
        <v>71</v>
      </c>
    </row>
    <row r="152" spans="1:11" x14ac:dyDescent="0.2">
      <c r="A152" s="23" t="s">
        <v>29</v>
      </c>
      <c r="B152" s="23" t="s">
        <v>31</v>
      </c>
      <c r="C152" s="23">
        <v>5.0999999999999997E-2</v>
      </c>
      <c r="D152" s="44">
        <v>2</v>
      </c>
      <c r="E152" s="21">
        <v>4741</v>
      </c>
      <c r="F152" s="21">
        <v>3383</v>
      </c>
      <c r="G152" s="18">
        <v>5.5E-2</v>
      </c>
      <c r="H152" s="45" t="s">
        <v>131</v>
      </c>
      <c r="I152" s="23">
        <v>581</v>
      </c>
      <c r="J152" s="26">
        <v>0.45</v>
      </c>
      <c r="K152" s="18" t="s">
        <v>71</v>
      </c>
    </row>
    <row r="153" spans="1:11" x14ac:dyDescent="0.2">
      <c r="A153" s="23" t="s">
        <v>29</v>
      </c>
      <c r="B153" s="23" t="s">
        <v>39</v>
      </c>
      <c r="C153" s="23">
        <v>6.5000000000000002E-2</v>
      </c>
      <c r="D153" s="44">
        <v>2</v>
      </c>
      <c r="E153" s="21">
        <v>2168</v>
      </c>
      <c r="F153" s="21">
        <v>810</v>
      </c>
      <c r="G153" s="18">
        <v>1.2999999999999999E-2</v>
      </c>
      <c r="H153" s="18" t="s">
        <v>71</v>
      </c>
      <c r="I153" s="23"/>
      <c r="J153" s="26"/>
      <c r="K153" s="23"/>
    </row>
    <row r="154" spans="1:11" x14ac:dyDescent="0.2">
      <c r="A154" s="23" t="s">
        <v>29</v>
      </c>
      <c r="B154" s="23" t="s">
        <v>43</v>
      </c>
      <c r="C154" s="23">
        <v>4.1000000000000002E-2</v>
      </c>
      <c r="D154" s="44">
        <v>2</v>
      </c>
      <c r="E154" s="21">
        <v>4984</v>
      </c>
      <c r="F154" s="21">
        <v>3626</v>
      </c>
      <c r="G154" s="18">
        <v>5.8999999999999997E-2</v>
      </c>
      <c r="H154" s="45" t="s">
        <v>131</v>
      </c>
      <c r="I154" s="23">
        <v>1539</v>
      </c>
      <c r="J154" s="26">
        <v>0.6</v>
      </c>
      <c r="K154" s="18" t="s">
        <v>71</v>
      </c>
    </row>
    <row r="155" spans="1:11" x14ac:dyDescent="0.2">
      <c r="A155" s="23" t="s">
        <v>29</v>
      </c>
      <c r="B155" s="23" t="s">
        <v>48</v>
      </c>
      <c r="C155" s="23">
        <v>2.8000000000000001E-2</v>
      </c>
      <c r="D155" s="44">
        <v>2</v>
      </c>
      <c r="E155" s="21">
        <v>2287</v>
      </c>
      <c r="F155" s="21">
        <v>929</v>
      </c>
      <c r="G155" s="18">
        <v>1.4999999999999999E-2</v>
      </c>
      <c r="H155" s="18" t="s">
        <v>71</v>
      </c>
      <c r="I155" s="23">
        <v>1908</v>
      </c>
      <c r="J155" s="26">
        <v>0.74</v>
      </c>
      <c r="K155" s="18" t="s">
        <v>71</v>
      </c>
    </row>
    <row r="156" spans="1:11" x14ac:dyDescent="0.2">
      <c r="A156" s="23" t="s">
        <v>29</v>
      </c>
      <c r="B156" s="23" t="s">
        <v>53</v>
      </c>
      <c r="C156" s="23">
        <v>3.5999999999999997E-2</v>
      </c>
      <c r="D156" s="44">
        <v>2</v>
      </c>
      <c r="E156" s="21">
        <v>16009</v>
      </c>
      <c r="F156" s="21">
        <v>14651</v>
      </c>
      <c r="G156" s="18">
        <v>0.23799999999999999</v>
      </c>
      <c r="H156" s="45" t="s">
        <v>131</v>
      </c>
      <c r="I156" s="23">
        <v>2413</v>
      </c>
      <c r="J156" s="26">
        <v>0.94</v>
      </c>
      <c r="K156" s="18" t="s">
        <v>71</v>
      </c>
    </row>
    <row r="157" spans="1:11" x14ac:dyDescent="0.2">
      <c r="A157" s="23" t="s">
        <v>29</v>
      </c>
      <c r="B157" s="23" t="s">
        <v>55</v>
      </c>
      <c r="C157" s="23">
        <v>3.1E-2</v>
      </c>
      <c r="D157" s="44">
        <v>2</v>
      </c>
      <c r="E157" s="21">
        <v>14100</v>
      </c>
      <c r="F157" s="21">
        <v>12742</v>
      </c>
      <c r="G157" s="18">
        <v>0.20699999999999999</v>
      </c>
      <c r="H157" s="45" t="s">
        <v>131</v>
      </c>
      <c r="I157" s="23">
        <v>1901</v>
      </c>
      <c r="J157" s="26">
        <v>0.74</v>
      </c>
      <c r="K157" s="18" t="s">
        <v>71</v>
      </c>
    </row>
    <row r="158" spans="1:11" x14ac:dyDescent="0.2">
      <c r="A158" s="23" t="s">
        <v>29</v>
      </c>
      <c r="B158" s="23" t="s">
        <v>110</v>
      </c>
      <c r="C158" s="23">
        <v>3.9E-2</v>
      </c>
      <c r="D158" s="44">
        <v>2</v>
      </c>
      <c r="E158" s="21">
        <v>2700</v>
      </c>
      <c r="F158" s="21">
        <v>1342</v>
      </c>
      <c r="G158" s="18">
        <v>2.1999999999999999E-2</v>
      </c>
      <c r="H158" s="18" t="s">
        <v>71</v>
      </c>
      <c r="I158" s="23">
        <v>11805</v>
      </c>
      <c r="J158" s="26">
        <v>4.75</v>
      </c>
      <c r="K158" s="45" t="s">
        <v>131</v>
      </c>
    </row>
    <row r="159" spans="1:11" x14ac:dyDescent="0.2">
      <c r="A159" s="23" t="s">
        <v>29</v>
      </c>
      <c r="B159" s="23" t="s">
        <v>65</v>
      </c>
      <c r="C159" s="23">
        <v>4.9000000000000002E-2</v>
      </c>
      <c r="D159" s="44">
        <v>1</v>
      </c>
      <c r="E159" s="21">
        <v>4046</v>
      </c>
      <c r="F159" s="21">
        <v>2688</v>
      </c>
      <c r="G159" s="18">
        <v>4.3999999999999997E-2</v>
      </c>
      <c r="H159" s="45" t="s">
        <v>131</v>
      </c>
      <c r="I159" s="23">
        <v>1445</v>
      </c>
      <c r="J159" s="26">
        <v>0.56000000000000005</v>
      </c>
      <c r="K159" s="18" t="s">
        <v>71</v>
      </c>
    </row>
    <row r="160" spans="1:11" x14ac:dyDescent="0.2">
      <c r="A160" s="23" t="s">
        <v>29</v>
      </c>
      <c r="B160" s="23" t="s">
        <v>94</v>
      </c>
      <c r="C160" s="23">
        <v>2.7E-2</v>
      </c>
      <c r="D160" s="44">
        <v>2</v>
      </c>
      <c r="E160" s="21">
        <v>7492</v>
      </c>
      <c r="F160" s="21">
        <v>6134</v>
      </c>
      <c r="G160" s="18">
        <v>0.1</v>
      </c>
      <c r="H160" s="45" t="s">
        <v>131</v>
      </c>
      <c r="I160" s="23">
        <v>2253</v>
      </c>
      <c r="J160" s="26">
        <v>0.88</v>
      </c>
      <c r="K160" s="18" t="s">
        <v>71</v>
      </c>
    </row>
    <row r="161" spans="1:11" x14ac:dyDescent="0.2">
      <c r="A161" s="23" t="s">
        <v>107</v>
      </c>
      <c r="B161" s="23" t="s">
        <v>58</v>
      </c>
      <c r="C161" s="23">
        <v>0.12089999999999999</v>
      </c>
      <c r="D161" s="44">
        <v>2</v>
      </c>
      <c r="E161" s="21">
        <v>20409</v>
      </c>
      <c r="F161" s="21">
        <v>19775</v>
      </c>
      <c r="G161" s="18">
        <v>0.436</v>
      </c>
      <c r="H161" s="45" t="s">
        <v>131</v>
      </c>
      <c r="I161" s="23">
        <v>11915</v>
      </c>
      <c r="J161" s="26">
        <v>4.63</v>
      </c>
      <c r="K161" s="45" t="s">
        <v>131</v>
      </c>
    </row>
    <row r="162" spans="1:11" x14ac:dyDescent="0.2">
      <c r="A162" s="23" t="s">
        <v>107</v>
      </c>
      <c r="B162" s="23" t="s">
        <v>111</v>
      </c>
      <c r="C162" s="23">
        <v>6.1499999999999999E-2</v>
      </c>
      <c r="D162" s="44">
        <v>2</v>
      </c>
      <c r="E162" s="21">
        <v>1079</v>
      </c>
      <c r="F162" s="21">
        <v>445</v>
      </c>
      <c r="G162" s="18">
        <v>0.01</v>
      </c>
      <c r="H162" s="18" t="s">
        <v>71</v>
      </c>
      <c r="I162" s="23">
        <v>1941</v>
      </c>
      <c r="J162" s="26">
        <v>1.57</v>
      </c>
      <c r="K162" s="18" t="s">
        <v>71</v>
      </c>
    </row>
    <row r="163" spans="1:11" x14ac:dyDescent="0.2">
      <c r="A163" s="23" t="s">
        <v>107</v>
      </c>
      <c r="B163" s="23" t="s">
        <v>29</v>
      </c>
      <c r="C163" s="23">
        <v>6.0400000000000002E-2</v>
      </c>
      <c r="D163" s="44">
        <v>2</v>
      </c>
      <c r="E163" s="21">
        <v>4297</v>
      </c>
      <c r="F163" s="21">
        <v>3663</v>
      </c>
      <c r="G163" s="18">
        <v>8.1000000000000003E-2</v>
      </c>
      <c r="H163" s="45" t="s">
        <v>131</v>
      </c>
      <c r="I163" s="23">
        <v>1150</v>
      </c>
      <c r="J163" s="26">
        <v>0.88</v>
      </c>
      <c r="K163" s="18" t="s">
        <v>71</v>
      </c>
    </row>
    <row r="164" spans="1:11" x14ac:dyDescent="0.2">
      <c r="A164" s="23" t="s">
        <v>107</v>
      </c>
      <c r="B164" s="23" t="s">
        <v>36</v>
      </c>
      <c r="C164" s="23">
        <v>5.62E-2</v>
      </c>
      <c r="D164" s="44">
        <v>2</v>
      </c>
      <c r="E164" s="21">
        <v>600</v>
      </c>
      <c r="F164" s="21">
        <v>-34</v>
      </c>
      <c r="G164" s="18">
        <v>-1E-3</v>
      </c>
      <c r="H164" s="18" t="s">
        <v>71</v>
      </c>
      <c r="I164" s="23">
        <v>2238</v>
      </c>
      <c r="J164" s="26">
        <v>1.1599999999999999</v>
      </c>
      <c r="K164" s="18" t="s">
        <v>71</v>
      </c>
    </row>
    <row r="165" spans="1:11" x14ac:dyDescent="0.2">
      <c r="A165" s="23" t="s">
        <v>107</v>
      </c>
      <c r="B165" s="23" t="s">
        <v>38</v>
      </c>
      <c r="C165" s="23">
        <v>3.7199999999999997E-2</v>
      </c>
      <c r="D165" s="44">
        <v>2</v>
      </c>
      <c r="E165" s="21">
        <v>2716</v>
      </c>
      <c r="F165" s="21">
        <v>2082</v>
      </c>
      <c r="G165" s="18">
        <v>4.5999999999999999E-2</v>
      </c>
      <c r="H165" s="45" t="s">
        <v>131</v>
      </c>
      <c r="I165" s="23">
        <v>1418</v>
      </c>
      <c r="J165" s="26">
        <v>1.0900000000000001</v>
      </c>
      <c r="K165" s="18" t="s">
        <v>71</v>
      </c>
    </row>
    <row r="166" spans="1:11" x14ac:dyDescent="0.2">
      <c r="A166" s="23" t="s">
        <v>108</v>
      </c>
      <c r="B166" s="23" t="s">
        <v>43</v>
      </c>
      <c r="C166" s="23">
        <v>3.5700000000000003E-2</v>
      </c>
      <c r="D166" s="44">
        <v>2</v>
      </c>
      <c r="E166" s="21">
        <v>880</v>
      </c>
      <c r="F166" s="21">
        <v>246</v>
      </c>
      <c r="G166" s="18">
        <v>5.0000000000000001E-3</v>
      </c>
      <c r="H166" s="18" t="s">
        <v>71</v>
      </c>
      <c r="I166" s="23">
        <v>1712</v>
      </c>
      <c r="J166" s="26">
        <v>1.31</v>
      </c>
      <c r="K166" s="18" t="s">
        <v>71</v>
      </c>
    </row>
    <row r="167" spans="1:11" x14ac:dyDescent="0.2">
      <c r="A167" s="23" t="s">
        <v>108</v>
      </c>
      <c r="B167" s="23" t="s">
        <v>69</v>
      </c>
      <c r="C167" s="23">
        <v>3.6200000000000003E-2</v>
      </c>
      <c r="D167" s="44">
        <v>1</v>
      </c>
      <c r="E167" s="21">
        <v>1008</v>
      </c>
      <c r="F167" s="21">
        <v>374</v>
      </c>
      <c r="G167" s="18">
        <v>8.0000000000000002E-3</v>
      </c>
      <c r="H167" s="18" t="s">
        <v>71</v>
      </c>
      <c r="I167" s="23">
        <v>1980</v>
      </c>
      <c r="J167" s="26">
        <v>1.52</v>
      </c>
      <c r="K167" s="18" t="s">
        <v>71</v>
      </c>
    </row>
    <row r="168" spans="1:11" x14ac:dyDescent="0.2">
      <c r="A168" s="23" t="s">
        <v>108</v>
      </c>
      <c r="B168" s="23" t="s">
        <v>74</v>
      </c>
      <c r="C168" s="23">
        <v>3.5400000000000001E-2</v>
      </c>
      <c r="D168" s="44">
        <v>2</v>
      </c>
      <c r="E168" s="21">
        <v>603</v>
      </c>
      <c r="F168" s="21">
        <v>-31</v>
      </c>
      <c r="G168" s="18">
        <v>-1E-3</v>
      </c>
      <c r="H168" s="18" t="s">
        <v>71</v>
      </c>
      <c r="I168" s="23">
        <v>2648</v>
      </c>
      <c r="J168" s="26">
        <v>1.29</v>
      </c>
      <c r="K168" s="18" t="s">
        <v>71</v>
      </c>
    </row>
    <row r="169" spans="1:11" x14ac:dyDescent="0.2">
      <c r="A169" s="23" t="s">
        <v>108</v>
      </c>
      <c r="B169" s="23" t="s">
        <v>112</v>
      </c>
      <c r="C169" s="23">
        <v>4.0500000000000001E-2</v>
      </c>
      <c r="D169" s="44">
        <v>1</v>
      </c>
      <c r="E169" s="21">
        <v>801</v>
      </c>
      <c r="F169" s="21">
        <v>167</v>
      </c>
      <c r="G169" s="18">
        <v>4.0000000000000001E-3</v>
      </c>
      <c r="H169" s="18" t="s">
        <v>71</v>
      </c>
      <c r="I169" s="23">
        <v>2300</v>
      </c>
      <c r="J169" s="26">
        <v>1.19</v>
      </c>
      <c r="K169" s="45" t="s">
        <v>131</v>
      </c>
    </row>
    <row r="170" spans="1:11" x14ac:dyDescent="0.2">
      <c r="A170" s="23" t="s">
        <v>108</v>
      </c>
      <c r="B170" s="23" t="s">
        <v>108</v>
      </c>
      <c r="C170" s="23">
        <v>0.28499999999999998</v>
      </c>
      <c r="D170" s="44">
        <v>2</v>
      </c>
      <c r="E170" s="21">
        <v>1527</v>
      </c>
      <c r="F170" s="21">
        <v>893</v>
      </c>
      <c r="G170" s="18">
        <v>0.02</v>
      </c>
      <c r="H170" s="18" t="s">
        <v>71</v>
      </c>
      <c r="I170" s="23">
        <v>1985</v>
      </c>
      <c r="J170" s="26">
        <v>1.61</v>
      </c>
      <c r="K170" s="18" t="s">
        <v>71</v>
      </c>
    </row>
    <row r="171" spans="1:11" x14ac:dyDescent="0.2">
      <c r="A171" s="23" t="s">
        <v>108</v>
      </c>
      <c r="B171" s="23" t="s">
        <v>92</v>
      </c>
      <c r="C171" s="23">
        <v>4.9799999999999997E-2</v>
      </c>
      <c r="D171" s="44">
        <v>2</v>
      </c>
      <c r="E171" s="21">
        <v>484</v>
      </c>
      <c r="F171" s="21">
        <v>-150</v>
      </c>
      <c r="G171" s="18">
        <v>-3.0000000000000001E-3</v>
      </c>
      <c r="H171" s="18" t="s">
        <v>71</v>
      </c>
      <c r="I171" s="23">
        <v>4404</v>
      </c>
      <c r="J171" s="26">
        <v>1.77</v>
      </c>
      <c r="K171" s="18" t="s">
        <v>71</v>
      </c>
    </row>
    <row r="172" spans="1:11" x14ac:dyDescent="0.2">
      <c r="A172" s="23" t="s">
        <v>108</v>
      </c>
      <c r="B172" s="23" t="s">
        <v>113</v>
      </c>
      <c r="C172" s="23">
        <v>3.15E-2</v>
      </c>
      <c r="D172" s="44">
        <v>1</v>
      </c>
      <c r="E172" s="21">
        <v>571</v>
      </c>
      <c r="F172" s="21">
        <v>-63</v>
      </c>
      <c r="G172" s="18">
        <v>-1E-3</v>
      </c>
      <c r="H172" s="18" t="s">
        <v>71</v>
      </c>
      <c r="I172" s="23">
        <v>1900</v>
      </c>
      <c r="J172" s="26">
        <v>0.98</v>
      </c>
      <c r="K172" s="18" t="s">
        <v>71</v>
      </c>
    </row>
    <row r="173" spans="1:11" x14ac:dyDescent="0.2">
      <c r="A173" s="23" t="s">
        <v>104</v>
      </c>
      <c r="B173" s="23" t="s">
        <v>45</v>
      </c>
      <c r="C173" s="23">
        <v>3.1E-2</v>
      </c>
      <c r="D173" s="44">
        <v>2</v>
      </c>
      <c r="E173" s="21">
        <v>877</v>
      </c>
      <c r="F173" s="21">
        <v>243</v>
      </c>
      <c r="G173" s="18">
        <v>5.0000000000000001E-3</v>
      </c>
      <c r="H173" s="18" t="s">
        <v>71</v>
      </c>
      <c r="I173" s="23">
        <v>1883</v>
      </c>
      <c r="J173" s="26">
        <v>1.53</v>
      </c>
      <c r="K173" s="18" t="s">
        <v>71</v>
      </c>
    </row>
    <row r="174" spans="1:11" x14ac:dyDescent="0.2">
      <c r="A174" s="23" t="s">
        <v>104</v>
      </c>
      <c r="B174" s="23" t="s">
        <v>105</v>
      </c>
      <c r="C174" s="23">
        <v>0.16200000000000001</v>
      </c>
      <c r="D174" s="44">
        <v>2</v>
      </c>
      <c r="E174" s="21">
        <v>1003</v>
      </c>
      <c r="F174" s="21">
        <v>369</v>
      </c>
      <c r="G174" s="18">
        <v>8.0000000000000002E-3</v>
      </c>
      <c r="H174" s="18" t="s">
        <v>71</v>
      </c>
      <c r="I174" s="23">
        <v>3658</v>
      </c>
      <c r="J174" s="26">
        <v>2.82</v>
      </c>
      <c r="K174" s="45" t="s">
        <v>131</v>
      </c>
    </row>
    <row r="175" spans="1:11" x14ac:dyDescent="0.2">
      <c r="A175" s="23" t="s">
        <v>104</v>
      </c>
      <c r="B175" s="23" t="s">
        <v>104</v>
      </c>
      <c r="C175" s="23">
        <v>0.218</v>
      </c>
      <c r="D175" s="44">
        <v>2</v>
      </c>
      <c r="E175" s="21">
        <v>971</v>
      </c>
      <c r="F175" s="21">
        <v>337</v>
      </c>
      <c r="G175" s="18">
        <v>7.0000000000000001E-3</v>
      </c>
      <c r="H175" s="18" t="s">
        <v>71</v>
      </c>
      <c r="I175" s="23">
        <v>1065</v>
      </c>
      <c r="J175" s="26">
        <v>0.82</v>
      </c>
      <c r="K175" s="18" t="s">
        <v>71</v>
      </c>
    </row>
    <row r="176" spans="1:11" x14ac:dyDescent="0.2">
      <c r="A176" s="23" t="s">
        <v>104</v>
      </c>
      <c r="B176" s="23" t="s">
        <v>29</v>
      </c>
      <c r="C176" s="23">
        <v>3.5999999999999997E-2</v>
      </c>
      <c r="D176" s="44">
        <v>2</v>
      </c>
      <c r="E176" s="21">
        <v>7600</v>
      </c>
      <c r="F176" s="21">
        <v>6966</v>
      </c>
      <c r="G176" s="18">
        <v>0.154</v>
      </c>
      <c r="H176" s="45" t="s">
        <v>131</v>
      </c>
      <c r="I176" s="23">
        <v>10446</v>
      </c>
      <c r="J176" s="26">
        <v>4.0599999999999996</v>
      </c>
      <c r="K176" s="45" t="s">
        <v>131</v>
      </c>
    </row>
    <row r="177" spans="1:11" x14ac:dyDescent="0.2">
      <c r="A177" s="23" t="s">
        <v>104</v>
      </c>
      <c r="B177" s="23" t="s">
        <v>61</v>
      </c>
      <c r="C177" s="23">
        <v>5.8999999999999997E-2</v>
      </c>
      <c r="D177" s="44">
        <v>2</v>
      </c>
      <c r="E177" s="21">
        <v>874</v>
      </c>
      <c r="F177" s="21">
        <v>240</v>
      </c>
      <c r="G177" s="18">
        <v>5.0000000000000001E-3</v>
      </c>
      <c r="H177" s="18" t="s">
        <v>71</v>
      </c>
      <c r="I177" s="23">
        <v>1385</v>
      </c>
      <c r="J177" s="26">
        <v>0.95</v>
      </c>
      <c r="K177" s="18" t="s">
        <v>71</v>
      </c>
    </row>
    <row r="178" spans="1:11" x14ac:dyDescent="0.2">
      <c r="A178" s="23" t="s">
        <v>104</v>
      </c>
      <c r="B178" s="23" t="s">
        <v>92</v>
      </c>
      <c r="C178" s="23">
        <v>3.2000000000000001E-2</v>
      </c>
      <c r="D178" s="44">
        <v>2</v>
      </c>
      <c r="E178" s="21">
        <v>676</v>
      </c>
      <c r="F178" s="21">
        <v>42</v>
      </c>
      <c r="G178" s="18">
        <v>1E-3</v>
      </c>
      <c r="H178" s="18" t="s">
        <v>71</v>
      </c>
      <c r="I178" s="23">
        <v>1095</v>
      </c>
      <c r="J178" s="26">
        <v>0.89</v>
      </c>
      <c r="K178" s="18" t="s">
        <v>71</v>
      </c>
    </row>
    <row r="179" spans="1:11" x14ac:dyDescent="0.2">
      <c r="A179" s="23" t="s">
        <v>104</v>
      </c>
      <c r="B179" s="23" t="s">
        <v>77</v>
      </c>
      <c r="C179" s="23">
        <v>2.7E-2</v>
      </c>
      <c r="D179" s="44">
        <v>1</v>
      </c>
      <c r="E179" s="21">
        <v>948</v>
      </c>
      <c r="F179" s="21">
        <v>314</v>
      </c>
      <c r="G179" s="18">
        <v>7.0000000000000001E-3</v>
      </c>
      <c r="H179" s="18" t="s">
        <v>71</v>
      </c>
      <c r="I179" s="23">
        <v>1144</v>
      </c>
      <c r="J179" s="26">
        <v>0.93</v>
      </c>
      <c r="K179" s="18" t="s">
        <v>71</v>
      </c>
    </row>
    <row r="180" spans="1:11" x14ac:dyDescent="0.2">
      <c r="A180" s="23" t="s">
        <v>28</v>
      </c>
      <c r="B180" s="23" t="s">
        <v>29</v>
      </c>
      <c r="C180" s="23">
        <v>4.9000000000000002E-2</v>
      </c>
      <c r="D180" s="44">
        <v>2</v>
      </c>
      <c r="E180" s="21">
        <v>1291</v>
      </c>
      <c r="F180" s="21">
        <v>657</v>
      </c>
      <c r="G180" s="18">
        <v>1.4E-2</v>
      </c>
      <c r="H180" s="18" t="s">
        <v>71</v>
      </c>
      <c r="I180" s="23">
        <v>671</v>
      </c>
      <c r="J180" s="26">
        <v>0.51</v>
      </c>
      <c r="K180" s="18" t="s">
        <v>71</v>
      </c>
    </row>
    <row r="181" spans="1:11" x14ac:dyDescent="0.2">
      <c r="A181" s="23" t="s">
        <v>114</v>
      </c>
      <c r="B181" s="23" t="s">
        <v>32</v>
      </c>
      <c r="C181" s="23">
        <v>3.7999999999999999E-2</v>
      </c>
      <c r="D181" s="44">
        <v>2</v>
      </c>
      <c r="E181" s="21">
        <v>1947</v>
      </c>
      <c r="F181" s="21">
        <v>1313</v>
      </c>
      <c r="G181" s="18">
        <v>2.9000000000000001E-2</v>
      </c>
      <c r="H181" s="45" t="s">
        <v>131</v>
      </c>
      <c r="I181" s="23">
        <v>577</v>
      </c>
      <c r="J181" s="26">
        <v>0.44</v>
      </c>
      <c r="K181" s="18" t="s">
        <v>71</v>
      </c>
    </row>
    <row r="182" spans="1:11" x14ac:dyDescent="0.2">
      <c r="A182" s="23" t="s">
        <v>114</v>
      </c>
      <c r="B182" s="23" t="s">
        <v>28</v>
      </c>
      <c r="C182" s="23">
        <v>4.7E-2</v>
      </c>
      <c r="D182" s="44">
        <v>2</v>
      </c>
      <c r="E182" s="21">
        <v>761</v>
      </c>
      <c r="F182" s="21">
        <v>127</v>
      </c>
      <c r="G182" s="18">
        <v>3.0000000000000001E-3</v>
      </c>
      <c r="H182" s="18" t="s">
        <v>71</v>
      </c>
      <c r="I182" s="23">
        <v>877</v>
      </c>
      <c r="J182" s="26">
        <v>0.68</v>
      </c>
      <c r="K182" s="18" t="s">
        <v>71</v>
      </c>
    </row>
    <row r="183" spans="1:11" x14ac:dyDescent="0.2">
      <c r="A183" s="23" t="s">
        <v>114</v>
      </c>
      <c r="B183" s="23" t="s">
        <v>114</v>
      </c>
      <c r="C183" s="23">
        <v>0.121</v>
      </c>
      <c r="D183" s="44">
        <v>2</v>
      </c>
      <c r="E183" s="21">
        <v>1089</v>
      </c>
      <c r="F183" s="21">
        <v>455</v>
      </c>
      <c r="G183" s="18">
        <v>0.01</v>
      </c>
      <c r="H183" s="18" t="s">
        <v>71</v>
      </c>
      <c r="I183" s="23">
        <v>680</v>
      </c>
      <c r="J183" s="26">
        <v>0.52</v>
      </c>
      <c r="K183" s="18" t="s">
        <v>71</v>
      </c>
    </row>
    <row r="184" spans="1:11" x14ac:dyDescent="0.2">
      <c r="A184" s="23" t="s">
        <v>114</v>
      </c>
      <c r="B184" s="23" t="s">
        <v>58</v>
      </c>
      <c r="C184" s="23">
        <v>4.1000000000000002E-2</v>
      </c>
      <c r="D184" s="44">
        <v>2</v>
      </c>
      <c r="E184" s="21">
        <v>1511</v>
      </c>
      <c r="F184" s="21">
        <v>877</v>
      </c>
      <c r="G184" s="18">
        <v>1.9E-2</v>
      </c>
      <c r="H184" s="18" t="s">
        <v>71</v>
      </c>
      <c r="I184" s="23">
        <v>1092</v>
      </c>
      <c r="J184" s="26">
        <v>0.84</v>
      </c>
      <c r="K184" s="18" t="s">
        <v>71</v>
      </c>
    </row>
    <row r="185" spans="1:11" x14ac:dyDescent="0.2">
      <c r="A185" s="23" t="s">
        <v>114</v>
      </c>
      <c r="B185" s="23" t="s">
        <v>109</v>
      </c>
      <c r="C185" s="23">
        <v>5.8999999999999997E-2</v>
      </c>
      <c r="D185" s="44">
        <v>1</v>
      </c>
      <c r="E185" s="21">
        <v>664</v>
      </c>
      <c r="F185" s="21">
        <v>30</v>
      </c>
      <c r="G185" s="18">
        <v>1E-3</v>
      </c>
      <c r="H185" s="18" t="s">
        <v>71</v>
      </c>
      <c r="I185" s="23">
        <v>1793</v>
      </c>
      <c r="J185" s="26">
        <v>1.38</v>
      </c>
      <c r="K185" s="18" t="s">
        <v>71</v>
      </c>
    </row>
    <row r="186" spans="1:11" x14ac:dyDescent="0.2">
      <c r="A186" s="23" t="s">
        <v>114</v>
      </c>
      <c r="B186" s="23" t="s">
        <v>29</v>
      </c>
      <c r="C186" s="23">
        <v>0.10199999999999999</v>
      </c>
      <c r="D186" s="44">
        <v>2</v>
      </c>
      <c r="E186" s="21">
        <v>973</v>
      </c>
      <c r="F186" s="21">
        <v>339</v>
      </c>
      <c r="G186" s="18">
        <v>7.0000000000000001E-3</v>
      </c>
      <c r="H186" s="18" t="s">
        <v>71</v>
      </c>
      <c r="I186" s="23">
        <v>2826</v>
      </c>
      <c r="J186" s="26">
        <v>2.1800000000000002</v>
      </c>
      <c r="K186" s="45" t="s">
        <v>131</v>
      </c>
    </row>
    <row r="187" spans="1:11" x14ac:dyDescent="0.2">
      <c r="A187" s="23" t="s">
        <v>90</v>
      </c>
      <c r="B187" s="23" t="s">
        <v>18</v>
      </c>
      <c r="C187" s="23">
        <v>5.5E-2</v>
      </c>
      <c r="D187" s="44">
        <v>2</v>
      </c>
      <c r="E187" s="21">
        <v>591</v>
      </c>
      <c r="F187" s="21">
        <v>-43</v>
      </c>
      <c r="G187" s="18">
        <v>-1E-3</v>
      </c>
      <c r="H187" s="18" t="s">
        <v>71</v>
      </c>
      <c r="I187" s="23">
        <v>2609</v>
      </c>
      <c r="J187" s="26">
        <v>1.79</v>
      </c>
      <c r="K187" s="18" t="s">
        <v>71</v>
      </c>
    </row>
    <row r="188" spans="1:11" x14ac:dyDescent="0.2">
      <c r="A188" s="23" t="s">
        <v>90</v>
      </c>
      <c r="B188" s="23" t="s">
        <v>32</v>
      </c>
      <c r="C188" s="23">
        <v>3.4000000000000002E-2</v>
      </c>
      <c r="D188" s="44">
        <v>2</v>
      </c>
      <c r="E188" s="21">
        <v>465</v>
      </c>
      <c r="F188" s="21">
        <v>-169</v>
      </c>
      <c r="G188" s="18">
        <v>-4.0000000000000001E-3</v>
      </c>
      <c r="H188" s="18" t="s">
        <v>71</v>
      </c>
      <c r="I188" s="23">
        <v>1632</v>
      </c>
      <c r="J188" s="26">
        <v>1.1200000000000001</v>
      </c>
      <c r="K188" s="18" t="s">
        <v>71</v>
      </c>
    </row>
    <row r="189" spans="1:11" x14ac:dyDescent="0.2">
      <c r="A189" s="23" t="s">
        <v>29</v>
      </c>
      <c r="B189" s="23" t="s">
        <v>66</v>
      </c>
      <c r="C189" s="23">
        <v>3.5999999999999997E-2</v>
      </c>
      <c r="D189" s="44">
        <v>2</v>
      </c>
      <c r="E189" s="21">
        <v>2775</v>
      </c>
      <c r="F189" s="21">
        <v>2141</v>
      </c>
      <c r="G189" s="18">
        <v>4.7E-2</v>
      </c>
      <c r="H189" s="45" t="s">
        <v>131</v>
      </c>
      <c r="I189" s="23">
        <v>1568</v>
      </c>
      <c r="J189" s="26">
        <v>1.05</v>
      </c>
      <c r="K189" s="18" t="s">
        <v>71</v>
      </c>
    </row>
    <row r="190" spans="1:11" x14ac:dyDescent="0.2">
      <c r="A190" s="23" t="s">
        <v>29</v>
      </c>
      <c r="B190" s="23" t="s">
        <v>68</v>
      </c>
      <c r="C190" s="23">
        <v>3.5999999999999997E-2</v>
      </c>
      <c r="D190" s="44">
        <v>2</v>
      </c>
      <c r="E190" s="21">
        <v>3250</v>
      </c>
      <c r="F190" s="21">
        <v>2616</v>
      </c>
      <c r="G190" s="18">
        <v>5.8000000000000003E-2</v>
      </c>
      <c r="H190" s="45" t="s">
        <v>131</v>
      </c>
      <c r="I190" s="23">
        <v>5646</v>
      </c>
      <c r="J190" s="26">
        <v>2.2000000000000002</v>
      </c>
      <c r="K190" s="18" t="s">
        <v>71</v>
      </c>
    </row>
    <row r="191" spans="1:11" x14ac:dyDescent="0.2">
      <c r="A191" s="23" t="s">
        <v>29</v>
      </c>
      <c r="B191" s="23" t="s">
        <v>70</v>
      </c>
      <c r="C191" s="23">
        <v>4.2000000000000003E-2</v>
      </c>
      <c r="D191" s="44">
        <v>1</v>
      </c>
      <c r="E191" s="21">
        <v>4877</v>
      </c>
      <c r="F191" s="21">
        <v>4243</v>
      </c>
      <c r="G191" s="18">
        <v>9.4E-2</v>
      </c>
      <c r="H191" s="45" t="s">
        <v>131</v>
      </c>
      <c r="I191" s="23">
        <v>25169</v>
      </c>
      <c r="J191" s="26">
        <v>9.7899999999999991</v>
      </c>
      <c r="K191" s="45" t="s">
        <v>131</v>
      </c>
    </row>
    <row r="192" spans="1:11" x14ac:dyDescent="0.2">
      <c r="A192" s="23" t="s">
        <v>29</v>
      </c>
      <c r="B192" s="23" t="s">
        <v>45</v>
      </c>
      <c r="C192" s="23">
        <v>0.09</v>
      </c>
      <c r="D192" s="44">
        <v>2</v>
      </c>
      <c r="E192" s="21">
        <v>3857</v>
      </c>
      <c r="F192" s="21">
        <v>3223</v>
      </c>
      <c r="G192" s="18">
        <v>7.0999999999999994E-2</v>
      </c>
      <c r="H192" s="45" t="s">
        <v>131</v>
      </c>
      <c r="I192" s="23">
        <v>2560</v>
      </c>
      <c r="J192" s="26">
        <v>1.75</v>
      </c>
      <c r="K192" s="18" t="s">
        <v>71</v>
      </c>
    </row>
    <row r="193" spans="1:11" x14ac:dyDescent="0.2">
      <c r="A193" s="23" t="s">
        <v>29</v>
      </c>
      <c r="B193" s="23" t="s">
        <v>72</v>
      </c>
      <c r="C193" s="23">
        <v>4.3999999999999997E-2</v>
      </c>
      <c r="D193" s="44">
        <v>2</v>
      </c>
      <c r="E193" s="21">
        <v>17695</v>
      </c>
      <c r="F193" s="21">
        <v>17061</v>
      </c>
      <c r="G193" s="18">
        <v>0.376</v>
      </c>
      <c r="H193" s="45" t="s">
        <v>131</v>
      </c>
      <c r="I193" s="23">
        <v>1261</v>
      </c>
      <c r="J193" s="26">
        <v>0.97</v>
      </c>
      <c r="K193" s="18" t="s">
        <v>71</v>
      </c>
    </row>
    <row r="194" spans="1:11" x14ac:dyDescent="0.2">
      <c r="A194" s="23" t="s">
        <v>29</v>
      </c>
      <c r="B194" s="23" t="s">
        <v>27</v>
      </c>
      <c r="C194" s="23">
        <v>2.9000000000000001E-2</v>
      </c>
      <c r="D194" s="44">
        <v>2</v>
      </c>
      <c r="E194" s="21">
        <v>957</v>
      </c>
      <c r="F194" s="21">
        <v>323</v>
      </c>
      <c r="G194" s="18">
        <v>7.0000000000000001E-3</v>
      </c>
      <c r="H194" s="18" t="s">
        <v>71</v>
      </c>
      <c r="I194" s="23">
        <v>2150</v>
      </c>
      <c r="J194" s="26">
        <v>0.84</v>
      </c>
      <c r="K194" s="18" t="s">
        <v>71</v>
      </c>
    </row>
    <row r="195" spans="1:11" x14ac:dyDescent="0.2">
      <c r="A195" s="23" t="s">
        <v>29</v>
      </c>
      <c r="B195" s="23" t="s">
        <v>112</v>
      </c>
      <c r="C195" s="23">
        <v>4.1000000000000002E-2</v>
      </c>
      <c r="D195" s="44">
        <v>2</v>
      </c>
      <c r="E195" s="21">
        <v>778</v>
      </c>
      <c r="F195" s="21">
        <v>144</v>
      </c>
      <c r="G195" s="18">
        <v>3.0000000000000001E-3</v>
      </c>
      <c r="H195" s="18" t="s">
        <v>71</v>
      </c>
      <c r="I195" s="23">
        <v>1744</v>
      </c>
      <c r="J195" s="26">
        <v>0.68</v>
      </c>
      <c r="K195" s="18" t="s">
        <v>71</v>
      </c>
    </row>
    <row r="196" spans="1:11" x14ac:dyDescent="0.2">
      <c r="A196" s="23" t="s">
        <v>29</v>
      </c>
      <c r="B196" s="23" t="s">
        <v>32</v>
      </c>
      <c r="C196" s="23">
        <v>0.115</v>
      </c>
      <c r="D196" s="44">
        <v>2</v>
      </c>
      <c r="E196" s="21">
        <v>691</v>
      </c>
      <c r="F196" s="21">
        <v>57</v>
      </c>
      <c r="G196" s="18">
        <v>1E-3</v>
      </c>
      <c r="H196" s="18" t="s">
        <v>71</v>
      </c>
      <c r="I196" s="23">
        <v>1547</v>
      </c>
      <c r="J196" s="26">
        <v>1.25</v>
      </c>
      <c r="K196" s="18" t="s">
        <v>71</v>
      </c>
    </row>
    <row r="197" spans="1:11" x14ac:dyDescent="0.2">
      <c r="A197" s="23" t="s">
        <v>43</v>
      </c>
      <c r="B197" s="23" t="s">
        <v>81</v>
      </c>
      <c r="C197" s="23">
        <v>5.2999999999999999E-2</v>
      </c>
      <c r="D197" s="44">
        <v>1</v>
      </c>
      <c r="E197" s="21">
        <v>2156</v>
      </c>
      <c r="F197" s="21">
        <v>-395</v>
      </c>
      <c r="G197" s="18">
        <v>-6.0000000000000001E-3</v>
      </c>
      <c r="H197" s="18" t="s">
        <v>71</v>
      </c>
      <c r="I197" s="23">
        <v>1001</v>
      </c>
      <c r="J197" s="26">
        <v>0.77</v>
      </c>
      <c r="K197" s="18" t="s">
        <v>71</v>
      </c>
    </row>
    <row r="198" spans="1:11" x14ac:dyDescent="0.2">
      <c r="A198" s="23" t="s">
        <v>90</v>
      </c>
      <c r="B198" s="23" t="s">
        <v>90</v>
      </c>
      <c r="C198" s="23">
        <v>6.5000000000000002E-2</v>
      </c>
      <c r="D198" s="44">
        <v>2</v>
      </c>
      <c r="E198" s="21">
        <v>2300</v>
      </c>
      <c r="F198" s="21">
        <v>-251</v>
      </c>
      <c r="G198" s="18">
        <v>-4.0000000000000001E-3</v>
      </c>
      <c r="H198" s="18" t="s">
        <v>71</v>
      </c>
      <c r="I198" s="23">
        <v>3324</v>
      </c>
      <c r="J198" s="26">
        <v>2.2799999999999998</v>
      </c>
      <c r="K198" s="18" t="s">
        <v>71</v>
      </c>
    </row>
    <row r="199" spans="1:11" x14ac:dyDescent="0.2">
      <c r="A199" s="23" t="s">
        <v>90</v>
      </c>
      <c r="B199" s="23" t="s">
        <v>61</v>
      </c>
      <c r="C199" s="23">
        <v>0.111</v>
      </c>
      <c r="D199" s="44">
        <v>2</v>
      </c>
      <c r="E199" s="21">
        <v>2842</v>
      </c>
      <c r="F199" s="21">
        <v>291</v>
      </c>
      <c r="G199" s="18">
        <v>4.0000000000000001E-3</v>
      </c>
      <c r="H199" s="18" t="s">
        <v>71</v>
      </c>
      <c r="I199" s="23">
        <v>2262</v>
      </c>
      <c r="J199" s="26">
        <v>1.55</v>
      </c>
      <c r="K199" s="18" t="s">
        <v>71</v>
      </c>
    </row>
    <row r="200" spans="1:11" x14ac:dyDescent="0.2">
      <c r="A200" s="23" t="s">
        <v>58</v>
      </c>
      <c r="B200" s="23" t="s">
        <v>17</v>
      </c>
      <c r="C200" s="23">
        <v>0.105</v>
      </c>
      <c r="D200" s="44">
        <v>2</v>
      </c>
      <c r="E200" s="21">
        <v>6187</v>
      </c>
      <c r="F200" s="21">
        <v>3636</v>
      </c>
      <c r="G200" s="18">
        <v>5.2999999999999999E-2</v>
      </c>
      <c r="H200" s="18" t="s">
        <v>71</v>
      </c>
      <c r="I200" s="23">
        <v>9488</v>
      </c>
      <c r="J200" s="26">
        <v>3.69</v>
      </c>
      <c r="K200" s="18" t="s">
        <v>71</v>
      </c>
    </row>
    <row r="201" spans="1:11" x14ac:dyDescent="0.2">
      <c r="A201" s="23" t="s">
        <v>58</v>
      </c>
      <c r="B201" s="23" t="s">
        <v>115</v>
      </c>
      <c r="C201" s="23">
        <v>0.11600000000000001</v>
      </c>
      <c r="D201" s="44">
        <v>2</v>
      </c>
      <c r="E201" s="21">
        <v>2445</v>
      </c>
      <c r="F201" s="21">
        <v>-106</v>
      </c>
      <c r="G201" s="18">
        <v>-2E-3</v>
      </c>
      <c r="H201" s="18" t="s">
        <v>71</v>
      </c>
      <c r="I201" s="23">
        <v>2629</v>
      </c>
      <c r="J201" s="26">
        <v>0.97</v>
      </c>
      <c r="K201" s="18" t="s">
        <v>71</v>
      </c>
    </row>
    <row r="202" spans="1:11" x14ac:dyDescent="0.2">
      <c r="A202" s="23" t="s">
        <v>58</v>
      </c>
      <c r="B202" s="23" t="s">
        <v>31</v>
      </c>
      <c r="C202" s="23">
        <v>9.5000000000000001E-2</v>
      </c>
      <c r="D202" s="44">
        <v>2</v>
      </c>
      <c r="E202" s="21">
        <v>7080</v>
      </c>
      <c r="F202" s="21">
        <v>4529</v>
      </c>
      <c r="G202" s="18">
        <v>6.6000000000000003E-2</v>
      </c>
      <c r="H202" s="18" t="s">
        <v>71</v>
      </c>
      <c r="I202" s="23">
        <v>903</v>
      </c>
      <c r="J202" s="26">
        <v>0.35</v>
      </c>
      <c r="K202" s="18" t="s">
        <v>71</v>
      </c>
    </row>
    <row r="203" spans="1:11" x14ac:dyDescent="0.2">
      <c r="A203" s="23" t="s">
        <v>58</v>
      </c>
      <c r="B203" s="23" t="s">
        <v>39</v>
      </c>
      <c r="C203" s="23">
        <v>0.03</v>
      </c>
      <c r="D203" s="44">
        <v>2</v>
      </c>
      <c r="E203" s="21">
        <v>15092</v>
      </c>
      <c r="F203" s="21">
        <v>12541</v>
      </c>
      <c r="G203" s="18">
        <v>0.18099999999999999</v>
      </c>
      <c r="H203" s="45" t="s">
        <v>131</v>
      </c>
      <c r="I203" s="23">
        <v>814</v>
      </c>
      <c r="J203" s="26">
        <v>0.3</v>
      </c>
      <c r="K203" s="18" t="s">
        <v>71</v>
      </c>
    </row>
    <row r="204" spans="1:11" x14ac:dyDescent="0.2">
      <c r="A204" s="23" t="s">
        <v>58</v>
      </c>
      <c r="B204" s="23" t="s">
        <v>43</v>
      </c>
      <c r="C204" s="23">
        <v>3.6999999999999998E-2</v>
      </c>
      <c r="D204" s="44">
        <v>2</v>
      </c>
      <c r="E204" s="21">
        <v>8922</v>
      </c>
      <c r="F204" s="21">
        <v>6371</v>
      </c>
      <c r="G204" s="18">
        <v>9.1999999999999998E-2</v>
      </c>
      <c r="H204" s="45" t="s">
        <v>131</v>
      </c>
      <c r="I204" s="23">
        <v>1298</v>
      </c>
      <c r="J204" s="26">
        <v>0.48</v>
      </c>
      <c r="K204" s="18" t="s">
        <v>71</v>
      </c>
    </row>
    <row r="205" spans="1:11" x14ac:dyDescent="0.2">
      <c r="A205" s="23" t="s">
        <v>58</v>
      </c>
      <c r="B205" s="23" t="s">
        <v>49</v>
      </c>
      <c r="C205" s="23">
        <v>0.03</v>
      </c>
      <c r="D205" s="44">
        <v>2</v>
      </c>
      <c r="E205" s="21">
        <v>4844</v>
      </c>
      <c r="F205" s="21">
        <v>2293</v>
      </c>
      <c r="G205" s="18">
        <v>3.3000000000000002E-2</v>
      </c>
      <c r="H205" s="18" t="s">
        <v>71</v>
      </c>
      <c r="I205" s="23">
        <v>637</v>
      </c>
      <c r="J205" s="26">
        <v>0.24</v>
      </c>
      <c r="K205" s="18" t="s">
        <v>71</v>
      </c>
    </row>
    <row r="206" spans="1:11" x14ac:dyDescent="0.2">
      <c r="A206" s="23" t="s">
        <v>58</v>
      </c>
      <c r="B206" s="23" t="s">
        <v>55</v>
      </c>
      <c r="C206" s="23">
        <v>4.5999999999999999E-2</v>
      </c>
      <c r="D206" s="44">
        <v>2</v>
      </c>
      <c r="E206" s="21">
        <v>18143</v>
      </c>
      <c r="F206" s="21">
        <v>15592</v>
      </c>
      <c r="G206" s="18">
        <v>0.22600000000000001</v>
      </c>
      <c r="H206" s="45" t="s">
        <v>131</v>
      </c>
      <c r="I206" s="23">
        <v>1304</v>
      </c>
      <c r="J206" s="26">
        <v>0.48</v>
      </c>
      <c r="K206" s="18" t="s">
        <v>71</v>
      </c>
    </row>
    <row r="207" spans="1:11" x14ac:dyDescent="0.2">
      <c r="A207" s="23" t="s">
        <v>58</v>
      </c>
      <c r="B207" s="23" t="s">
        <v>35</v>
      </c>
      <c r="C207" s="23">
        <v>3.6999999999999998E-2</v>
      </c>
      <c r="D207" s="44">
        <v>2</v>
      </c>
      <c r="E207" s="21">
        <v>8638</v>
      </c>
      <c r="F207" s="21">
        <v>6087</v>
      </c>
      <c r="G207" s="18">
        <v>8.7999999999999995E-2</v>
      </c>
      <c r="H207" s="45" t="s">
        <v>131</v>
      </c>
      <c r="I207" s="23">
        <v>4059</v>
      </c>
      <c r="J207" s="26">
        <v>1.51</v>
      </c>
      <c r="K207" s="45" t="s">
        <v>131</v>
      </c>
    </row>
    <row r="208" spans="1:11" x14ac:dyDescent="0.2">
      <c r="A208" s="23" t="s">
        <v>58</v>
      </c>
      <c r="B208" s="23" t="s">
        <v>110</v>
      </c>
      <c r="C208" s="23">
        <v>0.104</v>
      </c>
      <c r="D208" s="44">
        <v>1</v>
      </c>
      <c r="E208" s="21">
        <v>9119</v>
      </c>
      <c r="F208" s="21">
        <v>6568</v>
      </c>
      <c r="G208" s="18">
        <v>9.5000000000000001E-2</v>
      </c>
      <c r="H208" s="45" t="s">
        <v>131</v>
      </c>
      <c r="I208" s="23">
        <v>5749</v>
      </c>
      <c r="J208" s="26">
        <v>2.13</v>
      </c>
      <c r="K208" s="45" t="s">
        <v>131</v>
      </c>
    </row>
    <row r="209" spans="1:11" x14ac:dyDescent="0.2">
      <c r="A209" s="23" t="s">
        <v>58</v>
      </c>
      <c r="B209" s="23" t="s">
        <v>116</v>
      </c>
      <c r="C209" s="23">
        <v>3.5000000000000003E-2</v>
      </c>
      <c r="D209" s="44">
        <v>2</v>
      </c>
      <c r="E209" s="21">
        <v>5242</v>
      </c>
      <c r="F209" s="21">
        <v>2691</v>
      </c>
      <c r="G209" s="18">
        <v>3.9E-2</v>
      </c>
      <c r="H209" s="18" t="s">
        <v>71</v>
      </c>
      <c r="I209" s="23">
        <v>782</v>
      </c>
      <c r="J209" s="26">
        <v>0.54</v>
      </c>
      <c r="K209" s="18" t="s">
        <v>71</v>
      </c>
    </row>
    <row r="210" spans="1:11" x14ac:dyDescent="0.2">
      <c r="A210" s="23" t="s">
        <v>58</v>
      </c>
      <c r="B210" s="23" t="s">
        <v>117</v>
      </c>
      <c r="C210" s="23">
        <v>3.2000000000000001E-2</v>
      </c>
      <c r="D210" s="44">
        <v>2</v>
      </c>
      <c r="E210" s="21">
        <v>7457</v>
      </c>
      <c r="F210" s="21">
        <v>4906</v>
      </c>
      <c r="G210" s="18">
        <v>7.0999999999999994E-2</v>
      </c>
      <c r="H210" s="18" t="s">
        <v>71</v>
      </c>
      <c r="I210" s="23">
        <v>2110</v>
      </c>
      <c r="J210" s="26">
        <v>0.78</v>
      </c>
      <c r="K210" s="18" t="s">
        <v>71</v>
      </c>
    </row>
    <row r="211" spans="1:11" x14ac:dyDescent="0.2">
      <c r="A211" s="23" t="s">
        <v>58</v>
      </c>
      <c r="B211" s="23" t="s">
        <v>94</v>
      </c>
      <c r="C211" s="23">
        <v>2.7E-2</v>
      </c>
      <c r="D211" s="44">
        <v>2</v>
      </c>
      <c r="E211" s="21">
        <v>9205</v>
      </c>
      <c r="F211" s="21">
        <v>6654</v>
      </c>
      <c r="G211" s="18">
        <v>9.6000000000000002E-2</v>
      </c>
      <c r="H211" s="45" t="s">
        <v>131</v>
      </c>
      <c r="I211" s="23">
        <v>1018</v>
      </c>
      <c r="J211" s="26">
        <v>0.38</v>
      </c>
      <c r="K211" s="18" t="s">
        <v>71</v>
      </c>
    </row>
    <row r="212" spans="1:11" x14ac:dyDescent="0.2">
      <c r="A212" s="23" t="s">
        <v>58</v>
      </c>
      <c r="B212" s="23" t="s">
        <v>72</v>
      </c>
      <c r="C212" s="23">
        <v>3.3000000000000002E-2</v>
      </c>
      <c r="D212" s="44">
        <v>2</v>
      </c>
      <c r="E212" s="21">
        <v>31656</v>
      </c>
      <c r="F212" s="21">
        <v>29105</v>
      </c>
      <c r="G212" s="18">
        <v>0.42099999999999999</v>
      </c>
      <c r="H212" s="45" t="s">
        <v>131</v>
      </c>
      <c r="I212" s="23">
        <v>931</v>
      </c>
      <c r="J212" s="26">
        <v>0.36</v>
      </c>
      <c r="K212" s="18" t="s">
        <v>71</v>
      </c>
    </row>
    <row r="213" spans="1:11" x14ac:dyDescent="0.2">
      <c r="A213" s="23" t="s">
        <v>58</v>
      </c>
      <c r="B213" s="23" t="s">
        <v>52</v>
      </c>
      <c r="C213" s="23">
        <v>5.1999999999999998E-2</v>
      </c>
      <c r="D213" s="44">
        <v>2</v>
      </c>
      <c r="E213" s="21">
        <v>25431</v>
      </c>
      <c r="F213" s="21">
        <v>22880</v>
      </c>
      <c r="G213" s="18">
        <v>0.33100000000000002</v>
      </c>
      <c r="H213" s="45" t="s">
        <v>131</v>
      </c>
      <c r="I213" s="23">
        <v>1090</v>
      </c>
      <c r="J213" s="26">
        <v>0.4</v>
      </c>
      <c r="K213" s="18" t="s">
        <v>71</v>
      </c>
    </row>
    <row r="214" spans="1:11" x14ac:dyDescent="0.2">
      <c r="A214" s="23" t="s">
        <v>58</v>
      </c>
      <c r="B214" s="23" t="s">
        <v>118</v>
      </c>
      <c r="C214" s="23">
        <v>3.2000000000000001E-2</v>
      </c>
      <c r="D214" s="44">
        <v>2</v>
      </c>
      <c r="E214" s="21">
        <v>17729</v>
      </c>
      <c r="F214" s="21">
        <v>15178</v>
      </c>
      <c r="G214" s="18">
        <v>0.22</v>
      </c>
      <c r="H214" s="45" t="s">
        <v>131</v>
      </c>
      <c r="I214" s="23">
        <v>1002</v>
      </c>
      <c r="J214" s="26">
        <v>0.37</v>
      </c>
      <c r="K214" s="18" t="s">
        <v>71</v>
      </c>
    </row>
    <row r="215" spans="1:11" x14ac:dyDescent="0.2">
      <c r="A215" s="23" t="s">
        <v>58</v>
      </c>
      <c r="B215" s="23" t="s">
        <v>119</v>
      </c>
      <c r="C215" s="23">
        <v>5.1999999999999998E-2</v>
      </c>
      <c r="D215" s="44">
        <v>2</v>
      </c>
      <c r="E215" s="21">
        <v>6388</v>
      </c>
      <c r="F215" s="21">
        <v>3837</v>
      </c>
      <c r="G215" s="18">
        <v>5.6000000000000001E-2</v>
      </c>
      <c r="H215" s="18" t="s">
        <v>71</v>
      </c>
      <c r="I215" s="23">
        <v>947</v>
      </c>
      <c r="J215" s="26">
        <v>0.35</v>
      </c>
      <c r="K215" s="18" t="s">
        <v>71</v>
      </c>
    </row>
    <row r="216" spans="1:11" x14ac:dyDescent="0.2">
      <c r="A216" s="23" t="s">
        <v>58</v>
      </c>
      <c r="B216" s="23" t="s">
        <v>62</v>
      </c>
      <c r="C216" s="23">
        <v>5.0999999999999997E-2</v>
      </c>
      <c r="D216" s="44">
        <v>2</v>
      </c>
      <c r="E216" s="21">
        <v>3993</v>
      </c>
      <c r="F216" s="21">
        <v>1442</v>
      </c>
      <c r="G216" s="18">
        <v>2.1000000000000001E-2</v>
      </c>
      <c r="H216" s="18" t="s">
        <v>71</v>
      </c>
      <c r="I216" s="23">
        <v>1919</v>
      </c>
      <c r="J216" s="26">
        <v>0.71</v>
      </c>
      <c r="K216" s="18" t="s">
        <v>71</v>
      </c>
    </row>
    <row r="217" spans="1:11" x14ac:dyDescent="0.2">
      <c r="A217" s="23" t="s">
        <v>58</v>
      </c>
      <c r="B217" s="23" t="s">
        <v>84</v>
      </c>
      <c r="C217" s="23">
        <v>5.2999999999999999E-2</v>
      </c>
      <c r="D217" s="44">
        <v>2</v>
      </c>
      <c r="E217" s="21">
        <v>18033</v>
      </c>
      <c r="F217" s="21">
        <v>15482</v>
      </c>
      <c r="G217" s="18">
        <v>0.224</v>
      </c>
      <c r="H217" s="45" t="s">
        <v>131</v>
      </c>
      <c r="I217" s="23">
        <v>5743</v>
      </c>
      <c r="J217" s="26">
        <v>2.13</v>
      </c>
      <c r="K217" s="45" t="s">
        <v>131</v>
      </c>
    </row>
    <row r="218" spans="1:11" x14ac:dyDescent="0.2">
      <c r="A218" s="23" t="s">
        <v>58</v>
      </c>
      <c r="B218" s="23" t="s">
        <v>87</v>
      </c>
      <c r="C218" s="23">
        <v>3.4000000000000002E-2</v>
      </c>
      <c r="D218" s="44">
        <v>2</v>
      </c>
      <c r="E218" s="21">
        <v>10407</v>
      </c>
      <c r="F218" s="21">
        <v>7856</v>
      </c>
      <c r="G218" s="18">
        <v>0.114</v>
      </c>
      <c r="H218" s="45" t="s">
        <v>131</v>
      </c>
      <c r="I218" s="23">
        <v>1349</v>
      </c>
      <c r="J218" s="26">
        <v>0.5</v>
      </c>
      <c r="K218" s="18" t="s">
        <v>71</v>
      </c>
    </row>
    <row r="219" spans="1:11" x14ac:dyDescent="0.2">
      <c r="A219" s="23" t="s">
        <v>58</v>
      </c>
      <c r="B219" s="23" t="s">
        <v>88</v>
      </c>
      <c r="C219" s="23">
        <v>4.3999999999999997E-2</v>
      </c>
      <c r="D219" s="44">
        <v>2</v>
      </c>
      <c r="E219" s="21">
        <v>10866</v>
      </c>
      <c r="F219" s="21">
        <v>8315</v>
      </c>
      <c r="G219" s="18">
        <v>0.12</v>
      </c>
      <c r="H219" s="45" t="s">
        <v>131</v>
      </c>
      <c r="I219" s="23">
        <v>1922</v>
      </c>
      <c r="J219" s="26">
        <v>0.71</v>
      </c>
      <c r="K219" s="18" t="s">
        <v>71</v>
      </c>
    </row>
    <row r="220" spans="1:11" x14ac:dyDescent="0.2">
      <c r="A220" s="23" t="s">
        <v>58</v>
      </c>
      <c r="B220" s="23" t="s">
        <v>85</v>
      </c>
      <c r="C220" s="23">
        <v>4.1000000000000002E-2</v>
      </c>
      <c r="D220" s="44">
        <v>2</v>
      </c>
      <c r="E220" s="21">
        <v>22118</v>
      </c>
      <c r="F220" s="21">
        <v>19567</v>
      </c>
      <c r="G220" s="18">
        <v>0.28299999999999997</v>
      </c>
      <c r="H220" s="45" t="s">
        <v>131</v>
      </c>
      <c r="I220" s="23">
        <v>2902</v>
      </c>
      <c r="J220" s="26">
        <v>1.08</v>
      </c>
      <c r="K220" s="18" t="s">
        <v>71</v>
      </c>
    </row>
    <row r="221" spans="1:11" x14ac:dyDescent="0.2">
      <c r="A221" s="23" t="s">
        <v>58</v>
      </c>
      <c r="B221" s="23" t="s">
        <v>105</v>
      </c>
      <c r="C221" s="23">
        <v>0.10299999999999999</v>
      </c>
      <c r="D221" s="44">
        <v>2</v>
      </c>
      <c r="E221" s="21">
        <v>20833</v>
      </c>
      <c r="F221" s="21">
        <v>18282</v>
      </c>
      <c r="G221" s="18">
        <v>0.26500000000000001</v>
      </c>
      <c r="H221" s="45" t="s">
        <v>131</v>
      </c>
      <c r="I221" s="23">
        <v>11763</v>
      </c>
      <c r="J221" s="26">
        <v>4.57</v>
      </c>
      <c r="K221" s="45" t="s">
        <v>131</v>
      </c>
    </row>
    <row r="222" spans="1:11" x14ac:dyDescent="0.2">
      <c r="A222" s="23" t="s">
        <v>58</v>
      </c>
      <c r="B222" s="23" t="s">
        <v>104</v>
      </c>
      <c r="C222" s="23">
        <v>0.115</v>
      </c>
      <c r="D222" s="44">
        <v>2</v>
      </c>
      <c r="E222" s="21">
        <v>21875</v>
      </c>
      <c r="F222" s="21">
        <v>19324</v>
      </c>
      <c r="G222" s="18">
        <v>0.28000000000000003</v>
      </c>
      <c r="H222" s="45" t="s">
        <v>131</v>
      </c>
      <c r="I222" s="23">
        <v>1795</v>
      </c>
      <c r="J222" s="26">
        <v>0.7</v>
      </c>
      <c r="K222" s="18" t="s">
        <v>71</v>
      </c>
    </row>
    <row r="223" spans="1:11" x14ac:dyDescent="0.2">
      <c r="A223" s="23" t="s">
        <v>58</v>
      </c>
      <c r="B223" s="23" t="s">
        <v>28</v>
      </c>
      <c r="C223" s="23">
        <v>0.06</v>
      </c>
      <c r="D223" s="44">
        <v>2</v>
      </c>
      <c r="E223" s="21">
        <v>2694</v>
      </c>
      <c r="F223" s="21">
        <v>143</v>
      </c>
      <c r="G223" s="18">
        <v>2E-3</v>
      </c>
      <c r="H223" s="18" t="s">
        <v>71</v>
      </c>
      <c r="I223" s="23">
        <v>712</v>
      </c>
      <c r="J223" s="26">
        <v>0.28000000000000003</v>
      </c>
      <c r="K223" s="18" t="s">
        <v>71</v>
      </c>
    </row>
    <row r="224" spans="1:11" x14ac:dyDescent="0.2">
      <c r="A224" s="23" t="s">
        <v>58</v>
      </c>
      <c r="B224" s="23" t="s">
        <v>90</v>
      </c>
      <c r="C224" s="23">
        <v>0.20200000000000001</v>
      </c>
      <c r="D224" s="44">
        <v>1</v>
      </c>
      <c r="E224" s="21">
        <v>9640</v>
      </c>
      <c r="F224" s="21">
        <v>7089</v>
      </c>
      <c r="G224" s="18">
        <v>0.10299999999999999</v>
      </c>
      <c r="H224" s="45" t="s">
        <v>131</v>
      </c>
      <c r="I224" s="23">
        <v>3122</v>
      </c>
      <c r="J224" s="26">
        <v>2.14</v>
      </c>
      <c r="K224" s="18" t="s">
        <v>71</v>
      </c>
    </row>
    <row r="225" spans="1:11" x14ac:dyDescent="0.2">
      <c r="A225" s="23" t="s">
        <v>58</v>
      </c>
      <c r="B225" s="23" t="s">
        <v>111</v>
      </c>
      <c r="C225" s="23">
        <v>0.17799999999999999</v>
      </c>
      <c r="D225" s="44">
        <v>2</v>
      </c>
      <c r="E225" s="21">
        <v>26304</v>
      </c>
      <c r="F225" s="21">
        <v>23753</v>
      </c>
      <c r="G225" s="18">
        <v>0.34399999999999997</v>
      </c>
      <c r="H225" s="45" t="s">
        <v>131</v>
      </c>
      <c r="I225" s="23">
        <v>1506</v>
      </c>
      <c r="J225" s="26">
        <v>0.59</v>
      </c>
      <c r="K225" s="18" t="s">
        <v>71</v>
      </c>
    </row>
    <row r="226" spans="1:11" x14ac:dyDescent="0.2">
      <c r="A226" s="23" t="s">
        <v>29</v>
      </c>
      <c r="B226" s="23" t="s">
        <v>33</v>
      </c>
      <c r="C226" s="23">
        <v>3.6999999999999998E-2</v>
      </c>
      <c r="D226" s="44">
        <v>2</v>
      </c>
      <c r="E226" s="21">
        <v>2909</v>
      </c>
      <c r="F226" s="21">
        <v>358</v>
      </c>
      <c r="G226" s="18">
        <v>5.0000000000000001E-3</v>
      </c>
      <c r="H226" s="18" t="s">
        <v>71</v>
      </c>
      <c r="I226" s="23">
        <v>1031</v>
      </c>
      <c r="J226" s="26">
        <v>0.79</v>
      </c>
      <c r="K226" s="18" t="s">
        <v>71</v>
      </c>
    </row>
    <row r="227" spans="1:11" x14ac:dyDescent="0.2">
      <c r="A227" s="23" t="s">
        <v>29</v>
      </c>
      <c r="B227" s="23" t="s">
        <v>56</v>
      </c>
      <c r="C227" s="23">
        <v>3.9E-2</v>
      </c>
      <c r="D227" s="44">
        <v>2</v>
      </c>
      <c r="E227" s="21">
        <v>8029</v>
      </c>
      <c r="F227" s="21">
        <v>5478</v>
      </c>
      <c r="G227" s="18">
        <v>7.9000000000000001E-2</v>
      </c>
      <c r="H227" s="45" t="s">
        <v>131</v>
      </c>
      <c r="I227" s="23">
        <v>2219</v>
      </c>
      <c r="J227" s="26">
        <v>1.48</v>
      </c>
      <c r="K227" s="18" t="s">
        <v>71</v>
      </c>
    </row>
    <row r="228" spans="1:11" x14ac:dyDescent="0.2">
      <c r="A228" s="23" t="s">
        <v>29</v>
      </c>
      <c r="B228" s="23" t="s">
        <v>120</v>
      </c>
      <c r="C228" s="23">
        <v>2.7E-2</v>
      </c>
      <c r="D228" s="44">
        <v>2</v>
      </c>
      <c r="E228" s="21">
        <v>3515</v>
      </c>
      <c r="F228" s="21">
        <v>964</v>
      </c>
      <c r="G228" s="18">
        <v>1.4E-2</v>
      </c>
      <c r="H228" s="18" t="s">
        <v>71</v>
      </c>
      <c r="I228" s="23">
        <v>971</v>
      </c>
      <c r="J228" s="26">
        <v>0.38</v>
      </c>
      <c r="K228" s="18" t="s">
        <v>71</v>
      </c>
    </row>
    <row r="229" spans="1:11" x14ac:dyDescent="0.2">
      <c r="A229" s="23" t="s">
        <v>29</v>
      </c>
      <c r="B229" s="23" t="s">
        <v>119</v>
      </c>
      <c r="C229" s="23">
        <v>4.5999999999999999E-2</v>
      </c>
      <c r="D229" s="44">
        <v>2</v>
      </c>
      <c r="E229" s="21">
        <v>2529</v>
      </c>
      <c r="F229" s="21">
        <v>-22</v>
      </c>
      <c r="G229" s="18">
        <v>0</v>
      </c>
      <c r="H229" s="18" t="s">
        <v>71</v>
      </c>
      <c r="I229" s="23"/>
      <c r="J229" s="26"/>
      <c r="K229" s="23"/>
    </row>
    <row r="230" spans="1:11" x14ac:dyDescent="0.2">
      <c r="A230" s="23" t="s">
        <v>29</v>
      </c>
      <c r="B230" s="23" t="s">
        <v>57</v>
      </c>
      <c r="C230" s="23">
        <v>2.7E-2</v>
      </c>
      <c r="D230" s="44">
        <v>2</v>
      </c>
      <c r="E230" s="21">
        <v>6114</v>
      </c>
      <c r="F230" s="21">
        <v>3563</v>
      </c>
      <c r="G230" s="18">
        <v>5.1999999999999998E-2</v>
      </c>
      <c r="H230" s="18" t="s">
        <v>71</v>
      </c>
      <c r="I230" s="23">
        <v>1040</v>
      </c>
      <c r="J230" s="26">
        <v>0.4</v>
      </c>
      <c r="K230" s="18" t="s">
        <v>71</v>
      </c>
    </row>
    <row r="231" spans="1:11" x14ac:dyDescent="0.2">
      <c r="A231" s="23" t="s">
        <v>29</v>
      </c>
      <c r="B231" s="23" t="s">
        <v>121</v>
      </c>
      <c r="C231" s="23">
        <v>2.7E-2</v>
      </c>
      <c r="D231" s="44">
        <v>2</v>
      </c>
      <c r="E231" s="21">
        <v>3617</v>
      </c>
      <c r="F231" s="21">
        <v>1066</v>
      </c>
      <c r="G231" s="18">
        <v>1.4999999999999999E-2</v>
      </c>
      <c r="H231" s="18" t="s">
        <v>71</v>
      </c>
      <c r="I231" s="23">
        <v>1754</v>
      </c>
      <c r="J231" s="26">
        <v>1.17</v>
      </c>
      <c r="K231" s="18" t="s">
        <v>71</v>
      </c>
    </row>
    <row r="232" spans="1:11" x14ac:dyDescent="0.2">
      <c r="A232" s="23" t="s">
        <v>102</v>
      </c>
      <c r="B232" s="23" t="s">
        <v>38</v>
      </c>
      <c r="C232" s="23">
        <v>3.1E-2</v>
      </c>
      <c r="D232" s="44">
        <v>2</v>
      </c>
      <c r="E232" s="21">
        <v>4193</v>
      </c>
      <c r="F232" s="21">
        <v>3120</v>
      </c>
      <c r="G232" s="18">
        <v>5.2999999999999999E-2</v>
      </c>
      <c r="H232" s="45" t="s">
        <v>131</v>
      </c>
      <c r="I232" s="23">
        <v>1270</v>
      </c>
      <c r="J232" s="26">
        <v>0.98</v>
      </c>
      <c r="K232" s="18" t="s">
        <v>71</v>
      </c>
    </row>
    <row r="233" spans="1:11" x14ac:dyDescent="0.2">
      <c r="A233" s="23" t="s">
        <v>105</v>
      </c>
      <c r="B233" s="23" t="s">
        <v>29</v>
      </c>
      <c r="C233" s="23">
        <v>4.2000000000000003E-2</v>
      </c>
      <c r="D233" s="44">
        <v>2</v>
      </c>
      <c r="E233" s="21">
        <v>5411</v>
      </c>
      <c r="F233" s="21">
        <v>4338</v>
      </c>
      <c r="G233" s="18">
        <v>7.3999999999999996E-2</v>
      </c>
      <c r="H233" s="45" t="s">
        <v>131</v>
      </c>
      <c r="I233" s="23">
        <v>5631</v>
      </c>
      <c r="J233" s="26">
        <v>4.3099999999999996</v>
      </c>
      <c r="K233" s="45" t="s">
        <v>131</v>
      </c>
    </row>
    <row r="234" spans="1:11" x14ac:dyDescent="0.2">
      <c r="A234" s="23" t="s">
        <v>106</v>
      </c>
      <c r="B234" s="23" t="s">
        <v>120</v>
      </c>
      <c r="C234" s="23">
        <v>3.5499999999999997E-2</v>
      </c>
      <c r="D234" s="44">
        <v>2</v>
      </c>
      <c r="E234" s="21">
        <v>1062</v>
      </c>
      <c r="F234" s="21">
        <v>-11</v>
      </c>
      <c r="G234" s="18">
        <v>0</v>
      </c>
      <c r="H234" s="18" t="s">
        <v>71</v>
      </c>
      <c r="I234" s="23">
        <v>739</v>
      </c>
      <c r="J234" s="26">
        <v>0.6</v>
      </c>
      <c r="K234" s="18" t="s">
        <v>71</v>
      </c>
    </row>
    <row r="235" spans="1:11" x14ac:dyDescent="0.2">
      <c r="A235" s="23" t="s">
        <v>107</v>
      </c>
      <c r="B235" s="23" t="s">
        <v>122</v>
      </c>
      <c r="C235" s="23">
        <v>3.3399999999999999E-2</v>
      </c>
      <c r="D235" s="44">
        <v>2</v>
      </c>
      <c r="E235" s="21">
        <v>1312</v>
      </c>
      <c r="F235" s="21">
        <v>239</v>
      </c>
      <c r="G235" s="18">
        <v>4.0000000000000001E-3</v>
      </c>
      <c r="H235" s="18" t="s">
        <v>71</v>
      </c>
      <c r="I235" s="23">
        <v>1752</v>
      </c>
      <c r="J235" s="26">
        <v>1.42</v>
      </c>
      <c r="K235" s="18" t="s">
        <v>71</v>
      </c>
    </row>
    <row r="236" spans="1:11" x14ac:dyDescent="0.2">
      <c r="A236" s="23" t="s">
        <v>107</v>
      </c>
      <c r="B236" s="23" t="s">
        <v>80</v>
      </c>
      <c r="C236" s="23">
        <v>3.32E-2</v>
      </c>
      <c r="D236" s="44">
        <v>2</v>
      </c>
      <c r="E236" s="21">
        <v>1116</v>
      </c>
      <c r="F236" s="21">
        <v>43</v>
      </c>
      <c r="G236" s="18">
        <v>1E-3</v>
      </c>
      <c r="H236" s="18" t="s">
        <v>71</v>
      </c>
      <c r="I236" s="23">
        <v>2361</v>
      </c>
      <c r="J236" s="26">
        <v>1.22</v>
      </c>
      <c r="K236" s="45" t="s">
        <v>131</v>
      </c>
    </row>
    <row r="237" spans="1:11" x14ac:dyDescent="0.2">
      <c r="A237" s="23" t="s">
        <v>58</v>
      </c>
      <c r="B237" s="23" t="s">
        <v>95</v>
      </c>
      <c r="C237" s="23">
        <v>4.7E-2</v>
      </c>
      <c r="D237" s="44">
        <v>2</v>
      </c>
      <c r="E237" s="21">
        <v>23009</v>
      </c>
      <c r="F237" s="21">
        <v>21936</v>
      </c>
      <c r="G237" s="18">
        <v>0.374</v>
      </c>
      <c r="H237" s="45" t="s">
        <v>131</v>
      </c>
      <c r="I237" s="23">
        <v>813</v>
      </c>
      <c r="J237" s="26">
        <v>0.3</v>
      </c>
      <c r="K237" s="18" t="s">
        <v>71</v>
      </c>
    </row>
    <row r="238" spans="1:11" x14ac:dyDescent="0.2">
      <c r="A238" s="23" t="s">
        <v>58</v>
      </c>
      <c r="B238" s="23" t="s">
        <v>91</v>
      </c>
      <c r="C238" s="23">
        <v>4.2999999999999997E-2</v>
      </c>
      <c r="D238" s="44">
        <v>2</v>
      </c>
      <c r="E238" s="21">
        <v>5357</v>
      </c>
      <c r="F238" s="21">
        <v>4284</v>
      </c>
      <c r="G238" s="18">
        <v>7.2999999999999995E-2</v>
      </c>
      <c r="H238" s="45" t="s">
        <v>131</v>
      </c>
      <c r="I238" s="23">
        <v>9745</v>
      </c>
      <c r="J238" s="26">
        <v>3.61</v>
      </c>
      <c r="K238" s="45" t="s">
        <v>131</v>
      </c>
    </row>
    <row r="239" spans="1:11" x14ac:dyDescent="0.2">
      <c r="A239" s="23" t="s">
        <v>58</v>
      </c>
      <c r="B239" s="23" t="s">
        <v>36</v>
      </c>
      <c r="C239" s="23">
        <v>2.9000000000000001E-2</v>
      </c>
      <c r="D239" s="44">
        <v>2</v>
      </c>
      <c r="E239" s="21">
        <v>11120</v>
      </c>
      <c r="F239" s="21">
        <v>10047</v>
      </c>
      <c r="G239" s="18">
        <v>0.17100000000000001</v>
      </c>
      <c r="H239" s="45" t="s">
        <v>131</v>
      </c>
      <c r="I239" s="23">
        <v>1456</v>
      </c>
      <c r="J239" s="26">
        <v>0.56999999999999995</v>
      </c>
      <c r="K239" s="18" t="s">
        <v>71</v>
      </c>
    </row>
    <row r="240" spans="1:11" x14ac:dyDescent="0.2">
      <c r="A240" s="23" t="s">
        <v>58</v>
      </c>
      <c r="B240" s="23" t="s">
        <v>61</v>
      </c>
      <c r="C240" s="23">
        <v>0.16800000000000001</v>
      </c>
      <c r="D240" s="44">
        <v>2</v>
      </c>
      <c r="E240" s="21">
        <v>13885</v>
      </c>
      <c r="F240" s="21">
        <v>12812</v>
      </c>
      <c r="G240" s="18">
        <v>0.219</v>
      </c>
      <c r="H240" s="45" t="s">
        <v>131</v>
      </c>
      <c r="I240" s="23">
        <v>2522</v>
      </c>
      <c r="J240" s="26">
        <v>1.73</v>
      </c>
      <c r="K240" s="18" t="s">
        <v>71</v>
      </c>
    </row>
    <row r="241" spans="1:11" x14ac:dyDescent="0.2">
      <c r="A241" s="23" t="s">
        <v>58</v>
      </c>
      <c r="B241" s="23" t="s">
        <v>92</v>
      </c>
      <c r="C241" s="23">
        <v>8.6999999999999994E-2</v>
      </c>
      <c r="D241" s="44">
        <v>2</v>
      </c>
      <c r="E241" s="21">
        <v>8048</v>
      </c>
      <c r="F241" s="21">
        <v>6975</v>
      </c>
      <c r="G241" s="18">
        <v>0.11899999999999999</v>
      </c>
      <c r="H241" s="45" t="s">
        <v>131</v>
      </c>
      <c r="I241" s="23">
        <v>937</v>
      </c>
      <c r="J241" s="26">
        <v>0.35</v>
      </c>
      <c r="K241" s="18" t="s">
        <v>71</v>
      </c>
    </row>
    <row r="242" spans="1:11" x14ac:dyDescent="0.2">
      <c r="A242" s="23" t="s">
        <v>58</v>
      </c>
      <c r="B242" s="23" t="s">
        <v>123</v>
      </c>
      <c r="C242" s="23">
        <v>2.8000000000000001E-2</v>
      </c>
      <c r="D242" s="44">
        <v>2</v>
      </c>
      <c r="E242" s="21">
        <v>3885</v>
      </c>
      <c r="F242" s="21">
        <v>2812</v>
      </c>
      <c r="G242" s="18">
        <v>4.8000000000000001E-2</v>
      </c>
      <c r="H242" s="45" t="s">
        <v>131</v>
      </c>
      <c r="I242" s="23">
        <v>1936</v>
      </c>
      <c r="J242" s="26">
        <v>1</v>
      </c>
      <c r="K242" s="18" t="s">
        <v>71</v>
      </c>
    </row>
    <row r="243" spans="1:11" x14ac:dyDescent="0.2">
      <c r="A243" s="23" t="s">
        <v>58</v>
      </c>
      <c r="B243" s="23" t="s">
        <v>82</v>
      </c>
      <c r="C243" s="23">
        <v>3.4000000000000002E-2</v>
      </c>
      <c r="D243" s="44">
        <v>2</v>
      </c>
      <c r="E243" s="21">
        <v>5806</v>
      </c>
      <c r="F243" s="21">
        <v>4733</v>
      </c>
      <c r="G243" s="18">
        <v>8.1000000000000003E-2</v>
      </c>
      <c r="H243" s="45" t="s">
        <v>131</v>
      </c>
      <c r="I243" s="23">
        <v>872</v>
      </c>
      <c r="J243" s="26">
        <v>0.32</v>
      </c>
      <c r="K243" s="18" t="s">
        <v>71</v>
      </c>
    </row>
    <row r="244" spans="1:11" x14ac:dyDescent="0.2">
      <c r="A244" s="23" t="s">
        <v>58</v>
      </c>
      <c r="B244" s="23" t="s">
        <v>47</v>
      </c>
      <c r="C244" s="23">
        <v>4.3999999999999997E-2</v>
      </c>
      <c r="D244" s="44">
        <v>2</v>
      </c>
      <c r="E244" s="21">
        <v>3693</v>
      </c>
      <c r="F244" s="21">
        <v>2620</v>
      </c>
      <c r="G244" s="18">
        <v>4.4999999999999998E-2</v>
      </c>
      <c r="H244" s="45" t="s">
        <v>131</v>
      </c>
      <c r="I244" s="23">
        <v>4462</v>
      </c>
      <c r="J244" s="26">
        <v>1.65</v>
      </c>
      <c r="K244" s="45" t="s">
        <v>131</v>
      </c>
    </row>
    <row r="245" spans="1:11" x14ac:dyDescent="0.2">
      <c r="A245" s="23" t="s">
        <v>58</v>
      </c>
      <c r="B245" s="23" t="s">
        <v>80</v>
      </c>
      <c r="C245" s="23">
        <v>3.1E-2</v>
      </c>
      <c r="D245" s="44">
        <v>2</v>
      </c>
      <c r="E245" s="21">
        <v>17129</v>
      </c>
      <c r="F245" s="21">
        <v>16056</v>
      </c>
      <c r="G245" s="18">
        <v>0.27400000000000002</v>
      </c>
      <c r="H245" s="45" t="s">
        <v>131</v>
      </c>
      <c r="I245" s="23">
        <v>1680</v>
      </c>
      <c r="J245" s="26">
        <v>0.65</v>
      </c>
      <c r="K245" s="18" t="s">
        <v>71</v>
      </c>
    </row>
    <row r="246" spans="1:11" x14ac:dyDescent="0.2">
      <c r="A246" s="23" t="s">
        <v>58</v>
      </c>
      <c r="B246" s="23" t="s">
        <v>78</v>
      </c>
      <c r="C246" s="23">
        <v>0.03</v>
      </c>
      <c r="D246" s="44">
        <v>2</v>
      </c>
      <c r="E246" s="21">
        <v>7014</v>
      </c>
      <c r="F246" s="21">
        <v>5941</v>
      </c>
      <c r="G246" s="18">
        <v>0.10100000000000001</v>
      </c>
      <c r="H246" s="45" t="s">
        <v>131</v>
      </c>
      <c r="I246" s="23">
        <v>1345</v>
      </c>
      <c r="J246" s="26">
        <v>0.5</v>
      </c>
      <c r="K246" s="18" t="s">
        <v>71</v>
      </c>
    </row>
    <row r="247" spans="1:11" x14ac:dyDescent="0.2">
      <c r="A247" s="23" t="s">
        <v>58</v>
      </c>
      <c r="B247" s="23" t="s">
        <v>96</v>
      </c>
      <c r="C247" s="23">
        <v>0.112</v>
      </c>
      <c r="D247" s="44">
        <v>2</v>
      </c>
      <c r="E247" s="21">
        <v>1653</v>
      </c>
      <c r="F247" s="21">
        <v>580</v>
      </c>
      <c r="G247" s="18">
        <v>0.01</v>
      </c>
      <c r="H247" s="18" t="s">
        <v>71</v>
      </c>
      <c r="I247" s="23">
        <v>2993</v>
      </c>
      <c r="J247" s="26">
        <v>1.1100000000000001</v>
      </c>
      <c r="K247" s="18" t="s">
        <v>71</v>
      </c>
    </row>
    <row r="248" spans="1:11" x14ac:dyDescent="0.2">
      <c r="A248" s="23" t="s">
        <v>58</v>
      </c>
      <c r="B248" s="23" t="s">
        <v>81</v>
      </c>
      <c r="C248" s="23">
        <v>3.3000000000000002E-2</v>
      </c>
      <c r="D248" s="44">
        <v>2</v>
      </c>
      <c r="E248" s="21">
        <v>15153</v>
      </c>
      <c r="F248" s="21">
        <v>14080</v>
      </c>
      <c r="G248" s="18">
        <v>0.24</v>
      </c>
      <c r="H248" s="45" t="s">
        <v>131</v>
      </c>
      <c r="I248" s="23">
        <v>2272</v>
      </c>
      <c r="J248" s="26">
        <v>0.84</v>
      </c>
      <c r="K248" s="18" t="s">
        <v>71</v>
      </c>
    </row>
    <row r="249" spans="1:11" x14ac:dyDescent="0.2">
      <c r="A249" s="23" t="s">
        <v>124</v>
      </c>
      <c r="B249" s="23" t="s">
        <v>81</v>
      </c>
      <c r="C249" s="23">
        <v>3.2000000000000001E-2</v>
      </c>
      <c r="D249" s="44">
        <v>1</v>
      </c>
      <c r="E249" s="21">
        <v>1063</v>
      </c>
      <c r="F249" s="21">
        <v>-10</v>
      </c>
      <c r="G249" s="18">
        <v>0</v>
      </c>
      <c r="H249" s="18" t="s">
        <v>71</v>
      </c>
      <c r="I249" s="23">
        <v>1048</v>
      </c>
      <c r="J249" s="26">
        <v>0.81</v>
      </c>
      <c r="K249" s="18" t="s">
        <v>71</v>
      </c>
    </row>
    <row r="250" spans="1:11" x14ac:dyDescent="0.2">
      <c r="A250" s="23" t="s">
        <v>111</v>
      </c>
      <c r="B250" s="23" t="s">
        <v>122</v>
      </c>
      <c r="C250" s="23">
        <v>3.7999999999999999E-2</v>
      </c>
      <c r="D250" s="44">
        <v>2</v>
      </c>
      <c r="E250" s="21">
        <v>1148</v>
      </c>
      <c r="F250" s="21">
        <v>75</v>
      </c>
      <c r="G250" s="18">
        <v>1E-3</v>
      </c>
      <c r="H250" s="18" t="s">
        <v>71</v>
      </c>
      <c r="I250" s="23">
        <v>1283</v>
      </c>
      <c r="J250" s="26">
        <v>0.99</v>
      </c>
      <c r="K250" s="18" t="s">
        <v>71</v>
      </c>
    </row>
    <row r="251" spans="1:11" x14ac:dyDescent="0.2">
      <c r="A251" s="23" t="s">
        <v>111</v>
      </c>
      <c r="B251" s="23" t="s">
        <v>49</v>
      </c>
      <c r="C251" s="23">
        <v>3.5000000000000003E-2</v>
      </c>
      <c r="D251" s="44">
        <v>2</v>
      </c>
      <c r="E251" s="21">
        <v>1506</v>
      </c>
      <c r="F251" s="21">
        <v>433</v>
      </c>
      <c r="G251" s="18">
        <v>7.0000000000000001E-3</v>
      </c>
      <c r="H251" s="18" t="s">
        <v>71</v>
      </c>
      <c r="I251" s="23">
        <v>772</v>
      </c>
      <c r="J251" s="26">
        <v>0.59</v>
      </c>
      <c r="K251" s="18" t="s">
        <v>71</v>
      </c>
    </row>
    <row r="252" spans="1:11" x14ac:dyDescent="0.2">
      <c r="A252" s="23" t="s">
        <v>111</v>
      </c>
      <c r="B252" s="23" t="s">
        <v>18</v>
      </c>
      <c r="C252" s="23">
        <v>6.5000000000000002E-2</v>
      </c>
      <c r="D252" s="44">
        <v>2</v>
      </c>
      <c r="E252" s="21">
        <v>1617</v>
      </c>
      <c r="F252" s="21">
        <v>544</v>
      </c>
      <c r="G252" s="18">
        <v>8.9999999999999993E-3</v>
      </c>
      <c r="H252" s="18" t="s">
        <v>71</v>
      </c>
      <c r="I252" s="23">
        <v>4967</v>
      </c>
      <c r="J252" s="26">
        <v>2</v>
      </c>
      <c r="K252" s="18" t="s">
        <v>71</v>
      </c>
    </row>
    <row r="253" spans="1:11" x14ac:dyDescent="0.2">
      <c r="A253" s="23" t="s">
        <v>111</v>
      </c>
      <c r="B253" s="23" t="s">
        <v>52</v>
      </c>
      <c r="C253" s="23">
        <v>3.3000000000000002E-2</v>
      </c>
      <c r="D253" s="44">
        <v>1</v>
      </c>
      <c r="E253" s="21">
        <v>1564</v>
      </c>
      <c r="F253" s="21">
        <v>491</v>
      </c>
      <c r="G253" s="18">
        <v>8.0000000000000002E-3</v>
      </c>
      <c r="H253" s="18" t="s">
        <v>71</v>
      </c>
      <c r="I253" s="23">
        <v>863</v>
      </c>
      <c r="J253" s="26">
        <v>0.66</v>
      </c>
      <c r="K253" s="18" t="s">
        <v>71</v>
      </c>
    </row>
    <row r="254" spans="1:11" x14ac:dyDescent="0.2">
      <c r="A254" s="23" t="s">
        <v>111</v>
      </c>
      <c r="B254" s="23" t="s">
        <v>27</v>
      </c>
      <c r="C254" s="23">
        <v>3.7999999999999999E-2</v>
      </c>
      <c r="D254" s="44">
        <v>2</v>
      </c>
      <c r="E254" s="21">
        <v>1147</v>
      </c>
      <c r="F254" s="21">
        <v>74</v>
      </c>
      <c r="G254" s="18">
        <v>1E-3</v>
      </c>
      <c r="H254" s="18" t="s">
        <v>71</v>
      </c>
      <c r="I254" s="23">
        <v>1798</v>
      </c>
      <c r="J254" s="26">
        <v>0.72</v>
      </c>
      <c r="K254" s="18" t="s">
        <v>71</v>
      </c>
    </row>
    <row r="255" spans="1:11" x14ac:dyDescent="0.2">
      <c r="A255" s="23" t="s">
        <v>111</v>
      </c>
      <c r="B255" s="23" t="s">
        <v>104</v>
      </c>
      <c r="C255" s="23">
        <v>4.9000000000000002E-2</v>
      </c>
      <c r="D255" s="44">
        <v>2</v>
      </c>
      <c r="E255" s="21">
        <v>1961</v>
      </c>
      <c r="F255" s="21">
        <v>888</v>
      </c>
      <c r="G255" s="18">
        <v>1.4999999999999999E-2</v>
      </c>
      <c r="H255" s="18" t="s">
        <v>71</v>
      </c>
      <c r="I255" s="23">
        <v>1364</v>
      </c>
      <c r="J255" s="26">
        <v>1.05</v>
      </c>
      <c r="K255" s="18" t="s">
        <v>71</v>
      </c>
    </row>
    <row r="256" spans="1:11" x14ac:dyDescent="0.2">
      <c r="A256" s="23" t="s">
        <v>111</v>
      </c>
      <c r="B256" s="23" t="s">
        <v>28</v>
      </c>
      <c r="C256" s="23">
        <v>3.2000000000000001E-2</v>
      </c>
      <c r="D256" s="44">
        <v>2</v>
      </c>
      <c r="E256" s="21">
        <v>1053</v>
      </c>
      <c r="F256" s="21">
        <v>-20</v>
      </c>
      <c r="G256" s="18">
        <v>0</v>
      </c>
      <c r="H256" s="18" t="s">
        <v>71</v>
      </c>
      <c r="I256" s="23">
        <v>874</v>
      </c>
      <c r="J256" s="26">
        <v>0.67</v>
      </c>
      <c r="K256" s="18" t="s">
        <v>71</v>
      </c>
    </row>
    <row r="257" spans="1:11" x14ac:dyDescent="0.2">
      <c r="A257" s="23" t="s">
        <v>111</v>
      </c>
      <c r="B257" s="23" t="s">
        <v>90</v>
      </c>
      <c r="C257" s="23">
        <v>3.2000000000000001E-2</v>
      </c>
      <c r="D257" s="44">
        <v>2</v>
      </c>
      <c r="E257" s="21">
        <v>1801</v>
      </c>
      <c r="F257" s="21">
        <v>728</v>
      </c>
      <c r="G257" s="18">
        <v>1.2E-2</v>
      </c>
      <c r="H257" s="18" t="s">
        <v>71</v>
      </c>
      <c r="I257" s="23">
        <v>1449</v>
      </c>
      <c r="J257" s="26">
        <v>0.54</v>
      </c>
      <c r="K257" s="18" t="s">
        <v>71</v>
      </c>
    </row>
    <row r="258" spans="1:11" x14ac:dyDescent="0.2">
      <c r="A258" s="23" t="s">
        <v>111</v>
      </c>
      <c r="B258" s="23" t="s">
        <v>111</v>
      </c>
      <c r="C258" s="23">
        <v>0.06</v>
      </c>
      <c r="D258" s="44">
        <v>1</v>
      </c>
      <c r="E258" s="21">
        <v>2600</v>
      </c>
      <c r="F258" s="21">
        <v>1527</v>
      </c>
      <c r="G258" s="18">
        <v>2.5999999999999999E-2</v>
      </c>
      <c r="H258" s="45" t="s">
        <v>131</v>
      </c>
      <c r="I258" s="23">
        <v>1538</v>
      </c>
      <c r="J258" s="26">
        <v>1.18</v>
      </c>
      <c r="K258" s="18" t="s">
        <v>71</v>
      </c>
    </row>
    <row r="259" spans="1:11" x14ac:dyDescent="0.2">
      <c r="A259" s="23" t="s">
        <v>111</v>
      </c>
      <c r="B259" s="23" t="s">
        <v>61</v>
      </c>
      <c r="C259" s="23">
        <v>0.14399999999999999</v>
      </c>
      <c r="D259" s="44">
        <v>2</v>
      </c>
      <c r="E259" s="21">
        <v>1445</v>
      </c>
      <c r="F259" s="21">
        <v>372</v>
      </c>
      <c r="G259" s="18">
        <v>6.0000000000000001E-3</v>
      </c>
      <c r="H259" s="18" t="s">
        <v>71</v>
      </c>
      <c r="I259" s="23">
        <v>2356</v>
      </c>
      <c r="J259" s="26">
        <v>0.95</v>
      </c>
      <c r="K259" s="18" t="s">
        <v>71</v>
      </c>
    </row>
    <row r="260" spans="1:11" x14ac:dyDescent="0.2">
      <c r="A260" s="23" t="s">
        <v>125</v>
      </c>
      <c r="B260" s="23" t="s">
        <v>68</v>
      </c>
      <c r="C260" s="23">
        <v>4.7E-2</v>
      </c>
      <c r="D260" s="44">
        <v>1</v>
      </c>
      <c r="E260" s="21">
        <v>1262</v>
      </c>
      <c r="F260" s="21">
        <v>189</v>
      </c>
      <c r="G260" s="18">
        <v>3.0000000000000001E-3</v>
      </c>
      <c r="H260" s="18" t="s">
        <v>71</v>
      </c>
      <c r="I260" s="23">
        <v>1891</v>
      </c>
      <c r="J260" s="26">
        <v>1.46</v>
      </c>
      <c r="K260" s="18" t="s">
        <v>71</v>
      </c>
    </row>
    <row r="261" spans="1:11" x14ac:dyDescent="0.2">
      <c r="A261" s="23" t="s">
        <v>125</v>
      </c>
      <c r="B261" s="23" t="s">
        <v>90</v>
      </c>
      <c r="C261" s="23">
        <v>2.7E-2</v>
      </c>
      <c r="D261" s="44">
        <v>2</v>
      </c>
      <c r="E261" s="21">
        <v>1538</v>
      </c>
      <c r="F261" s="21">
        <v>465</v>
      </c>
      <c r="G261" s="18">
        <v>8.0000000000000002E-3</v>
      </c>
      <c r="H261" s="18" t="s">
        <v>71</v>
      </c>
      <c r="I261" s="23">
        <v>700</v>
      </c>
      <c r="J261" s="26">
        <v>0.26</v>
      </c>
      <c r="K261" s="18" t="s">
        <v>71</v>
      </c>
    </row>
    <row r="262" spans="1:11" x14ac:dyDescent="0.2">
      <c r="A262" s="23" t="s">
        <v>109</v>
      </c>
      <c r="B262" s="23" t="s">
        <v>53</v>
      </c>
      <c r="C262" s="23">
        <v>2.8000000000000001E-2</v>
      </c>
      <c r="D262" s="44">
        <v>2</v>
      </c>
      <c r="E262" s="21">
        <v>6392</v>
      </c>
      <c r="F262" s="21">
        <v>5319</v>
      </c>
      <c r="G262" s="18">
        <v>9.0999999999999998E-2</v>
      </c>
      <c r="H262" s="45" t="s">
        <v>131</v>
      </c>
      <c r="I262" s="23">
        <v>1443</v>
      </c>
      <c r="J262" s="26">
        <v>1.1100000000000001</v>
      </c>
      <c r="K262" s="18" t="s">
        <v>71</v>
      </c>
    </row>
    <row r="263" spans="1:11" x14ac:dyDescent="0.2">
      <c r="A263" s="23" t="s">
        <v>109</v>
      </c>
      <c r="B263" s="23" t="s">
        <v>35</v>
      </c>
      <c r="C263" s="23">
        <v>2.7E-2</v>
      </c>
      <c r="D263" s="44">
        <v>2</v>
      </c>
      <c r="E263" s="21">
        <v>4362</v>
      </c>
      <c r="F263" s="21">
        <v>3289</v>
      </c>
      <c r="G263" s="18">
        <v>5.6000000000000001E-2</v>
      </c>
      <c r="H263" s="45" t="s">
        <v>131</v>
      </c>
      <c r="I263" s="23">
        <v>1242</v>
      </c>
      <c r="J263" s="26">
        <v>0.95</v>
      </c>
      <c r="K263" s="18" t="s">
        <v>71</v>
      </c>
    </row>
    <row r="264" spans="1:11" x14ac:dyDescent="0.2">
      <c r="A264" s="23" t="s">
        <v>109</v>
      </c>
      <c r="B264" s="23" t="s">
        <v>94</v>
      </c>
      <c r="C264" s="23">
        <v>3.2000000000000001E-2</v>
      </c>
      <c r="D264" s="44">
        <v>2</v>
      </c>
      <c r="E264" s="21">
        <v>6370</v>
      </c>
      <c r="F264" s="21">
        <v>5297</v>
      </c>
      <c r="G264" s="18">
        <v>0.09</v>
      </c>
      <c r="H264" s="45" t="s">
        <v>131</v>
      </c>
      <c r="I264" s="23">
        <v>1018</v>
      </c>
      <c r="J264" s="26">
        <v>0.78</v>
      </c>
      <c r="K264" s="18" t="s">
        <v>71</v>
      </c>
    </row>
    <row r="265" spans="1:11" x14ac:dyDescent="0.2">
      <c r="A265" s="23" t="s">
        <v>109</v>
      </c>
      <c r="B265" s="23" t="s">
        <v>50</v>
      </c>
      <c r="C265" s="23">
        <v>2.8000000000000001E-2</v>
      </c>
      <c r="D265" s="44">
        <v>2</v>
      </c>
      <c r="E265" s="21">
        <v>17525</v>
      </c>
      <c r="F265" s="21">
        <v>16452</v>
      </c>
      <c r="G265" s="18">
        <v>0.28100000000000003</v>
      </c>
      <c r="H265" s="45" t="s">
        <v>131</v>
      </c>
      <c r="I265" s="23">
        <v>908</v>
      </c>
      <c r="J265" s="26">
        <v>0.62</v>
      </c>
      <c r="K265" s="18" t="s">
        <v>71</v>
      </c>
    </row>
    <row r="266" spans="1:11" x14ac:dyDescent="0.2">
      <c r="A266" s="23" t="s">
        <v>109</v>
      </c>
      <c r="B266" s="23" t="s">
        <v>72</v>
      </c>
      <c r="C266" s="23">
        <v>2.7E-2</v>
      </c>
      <c r="D266" s="44">
        <v>2</v>
      </c>
      <c r="E266" s="21">
        <v>9667</v>
      </c>
      <c r="F266" s="21">
        <v>8594</v>
      </c>
      <c r="G266" s="18">
        <v>0.14699999999999999</v>
      </c>
      <c r="H266" s="45" t="s">
        <v>131</v>
      </c>
      <c r="I266" s="23">
        <v>1308</v>
      </c>
      <c r="J266" s="26">
        <v>1</v>
      </c>
      <c r="K266" s="18" t="s">
        <v>71</v>
      </c>
    </row>
    <row r="267" spans="1:11" x14ac:dyDescent="0.2">
      <c r="A267" s="23" t="s">
        <v>109</v>
      </c>
      <c r="B267" s="23" t="s">
        <v>119</v>
      </c>
      <c r="C267" s="23">
        <v>2.9000000000000001E-2</v>
      </c>
      <c r="D267" s="44">
        <v>1</v>
      </c>
      <c r="E267" s="21">
        <v>2948</v>
      </c>
      <c r="F267" s="21">
        <v>1875</v>
      </c>
      <c r="G267" s="18">
        <v>3.2000000000000001E-2</v>
      </c>
      <c r="H267" s="45" t="s">
        <v>131</v>
      </c>
      <c r="I267" s="23">
        <v>798</v>
      </c>
      <c r="J267" s="26">
        <v>0.61</v>
      </c>
      <c r="K267" s="18" t="s">
        <v>71</v>
      </c>
    </row>
    <row r="268" spans="1:11" x14ac:dyDescent="0.2">
      <c r="A268" s="23" t="s">
        <v>109</v>
      </c>
      <c r="B268" s="23" t="s">
        <v>58</v>
      </c>
      <c r="C268" s="23">
        <v>0.03</v>
      </c>
      <c r="D268" s="44">
        <v>2</v>
      </c>
      <c r="E268" s="21">
        <v>1115</v>
      </c>
      <c r="F268" s="21">
        <v>42</v>
      </c>
      <c r="G268" s="18">
        <v>1E-3</v>
      </c>
      <c r="H268" s="18" t="s">
        <v>71</v>
      </c>
      <c r="I268" s="23">
        <v>2844</v>
      </c>
      <c r="J268" s="26">
        <v>1.1100000000000001</v>
      </c>
      <c r="K268" s="18" t="s">
        <v>71</v>
      </c>
    </row>
    <row r="269" spans="1:11" x14ac:dyDescent="0.2">
      <c r="A269" s="23" t="s">
        <v>109</v>
      </c>
      <c r="B269" s="23" t="s">
        <v>81</v>
      </c>
      <c r="C269" s="23">
        <v>3.5000000000000003E-2</v>
      </c>
      <c r="D269" s="44">
        <v>2</v>
      </c>
      <c r="E269" s="21">
        <v>1168</v>
      </c>
      <c r="F269" s="21">
        <v>95</v>
      </c>
      <c r="G269" s="18">
        <v>2E-3</v>
      </c>
      <c r="H269" s="18" t="s">
        <v>71</v>
      </c>
      <c r="I269" s="23">
        <v>1650</v>
      </c>
      <c r="J269" s="26">
        <v>1.27</v>
      </c>
      <c r="K269" s="18" t="s">
        <v>71</v>
      </c>
    </row>
    <row r="270" spans="1:11" x14ac:dyDescent="0.2">
      <c r="A270" s="23" t="s">
        <v>38</v>
      </c>
      <c r="B270" s="23" t="s">
        <v>91</v>
      </c>
      <c r="C270" s="23">
        <v>5.8000000000000003E-2</v>
      </c>
      <c r="D270" s="44">
        <v>2</v>
      </c>
      <c r="E270" s="21">
        <v>1354</v>
      </c>
      <c r="F270" s="21">
        <v>281</v>
      </c>
      <c r="G270" s="18">
        <v>5.0000000000000001E-3</v>
      </c>
      <c r="H270" s="18" t="s">
        <v>71</v>
      </c>
      <c r="I270" s="23">
        <v>3283</v>
      </c>
      <c r="J270" s="26">
        <v>2.5299999999999998</v>
      </c>
      <c r="K270" s="45" t="s">
        <v>131</v>
      </c>
    </row>
    <row r="271" spans="1:11" x14ac:dyDescent="0.2">
      <c r="A271" s="23" t="s">
        <v>17</v>
      </c>
      <c r="B271" s="23" t="s">
        <v>85</v>
      </c>
      <c r="C271" s="23">
        <v>3.5000000000000003E-2</v>
      </c>
      <c r="D271" s="44">
        <v>1</v>
      </c>
      <c r="E271" s="21">
        <v>1563</v>
      </c>
      <c r="F271" s="21">
        <v>414</v>
      </c>
      <c r="G271" s="18">
        <v>5.0000000000000001E-3</v>
      </c>
      <c r="H271" s="18" t="s">
        <v>71</v>
      </c>
      <c r="I271" s="23">
        <v>1746</v>
      </c>
      <c r="J271" s="26">
        <v>1.42</v>
      </c>
      <c r="K271" s="18" t="s">
        <v>71</v>
      </c>
    </row>
    <row r="272" spans="1:11" x14ac:dyDescent="0.2">
      <c r="A272" s="23" t="s">
        <v>17</v>
      </c>
      <c r="B272" s="23" t="s">
        <v>95</v>
      </c>
      <c r="C272" s="23">
        <v>2.7E-2</v>
      </c>
      <c r="D272" s="44">
        <v>1</v>
      </c>
      <c r="E272" s="21">
        <v>1144</v>
      </c>
      <c r="F272" s="21">
        <v>-5</v>
      </c>
      <c r="G272" s="18">
        <v>0</v>
      </c>
      <c r="H272" s="18" t="s">
        <v>71</v>
      </c>
      <c r="I272" s="23">
        <v>918</v>
      </c>
      <c r="J272" s="26">
        <v>0.71</v>
      </c>
      <c r="K272" s="18" t="s">
        <v>71</v>
      </c>
    </row>
    <row r="273" spans="1:11" x14ac:dyDescent="0.2">
      <c r="A273" s="23" t="s">
        <v>17</v>
      </c>
      <c r="B273" s="23" t="s">
        <v>60</v>
      </c>
      <c r="C273" s="23">
        <v>4.9000000000000002E-2</v>
      </c>
      <c r="D273" s="44">
        <v>1</v>
      </c>
      <c r="E273" s="21">
        <v>1170</v>
      </c>
      <c r="F273" s="21">
        <v>21</v>
      </c>
      <c r="G273" s="18">
        <v>0</v>
      </c>
      <c r="H273" s="18" t="s">
        <v>71</v>
      </c>
      <c r="I273" s="23">
        <v>2197</v>
      </c>
      <c r="J273" s="26">
        <v>1.1299999999999999</v>
      </c>
      <c r="K273" s="18" t="s">
        <v>71</v>
      </c>
    </row>
    <row r="274" spans="1:11" x14ac:dyDescent="0.2">
      <c r="A274" s="23" t="s">
        <v>55</v>
      </c>
      <c r="B274" s="23" t="s">
        <v>55</v>
      </c>
      <c r="C274" s="23">
        <v>5.8999999999999997E-2</v>
      </c>
      <c r="D274" s="44">
        <v>2</v>
      </c>
      <c r="E274" s="21">
        <v>9933</v>
      </c>
      <c r="F274" s="21">
        <v>8784</v>
      </c>
      <c r="G274" s="18">
        <v>0.11</v>
      </c>
      <c r="H274" s="45" t="s">
        <v>131</v>
      </c>
      <c r="I274" s="23">
        <v>27037</v>
      </c>
      <c r="J274" s="26">
        <v>10.89</v>
      </c>
      <c r="K274" s="45" t="s">
        <v>131</v>
      </c>
    </row>
    <row r="275" spans="1:11" x14ac:dyDescent="0.2">
      <c r="A275" s="23" t="s">
        <v>116</v>
      </c>
      <c r="B275" s="23" t="s">
        <v>32</v>
      </c>
      <c r="C275" s="23">
        <v>3.9E-2</v>
      </c>
      <c r="D275" s="44">
        <v>1</v>
      </c>
      <c r="E275" s="21">
        <v>1445</v>
      </c>
      <c r="F275" s="21">
        <v>296</v>
      </c>
      <c r="G275" s="18">
        <v>4.0000000000000001E-3</v>
      </c>
      <c r="H275" s="18" t="s">
        <v>71</v>
      </c>
      <c r="I275" s="23">
        <v>1802</v>
      </c>
      <c r="J275" s="26">
        <v>0.73</v>
      </c>
      <c r="K275" s="18" t="s">
        <v>71</v>
      </c>
    </row>
    <row r="276" spans="1:11" x14ac:dyDescent="0.2">
      <c r="A276" s="23" t="s">
        <v>72</v>
      </c>
      <c r="B276" s="23" t="s">
        <v>85</v>
      </c>
      <c r="C276" s="23">
        <v>2.7E-2</v>
      </c>
      <c r="D276" s="44">
        <v>2</v>
      </c>
      <c r="E276" s="21">
        <v>1385</v>
      </c>
      <c r="F276" s="21">
        <v>236</v>
      </c>
      <c r="G276" s="18">
        <v>3.0000000000000001E-3</v>
      </c>
      <c r="H276" s="18" t="s">
        <v>71</v>
      </c>
      <c r="I276" s="23">
        <v>1540</v>
      </c>
      <c r="J276" s="26">
        <v>1.25</v>
      </c>
      <c r="K276" s="18" t="s">
        <v>71</v>
      </c>
    </row>
    <row r="277" spans="1:11" x14ac:dyDescent="0.2">
      <c r="A277" s="23" t="s">
        <v>59</v>
      </c>
      <c r="B277" s="23" t="s">
        <v>59</v>
      </c>
      <c r="C277" s="23">
        <v>6.8000000000000005E-2</v>
      </c>
      <c r="D277" s="44">
        <v>2</v>
      </c>
      <c r="E277" s="21">
        <v>2242</v>
      </c>
      <c r="F277" s="21">
        <v>1093</v>
      </c>
      <c r="G277" s="18">
        <v>1.4E-2</v>
      </c>
      <c r="H277" s="18" t="s">
        <v>71</v>
      </c>
      <c r="I277" s="23">
        <v>3015</v>
      </c>
      <c r="J277" s="26">
        <v>1.47</v>
      </c>
      <c r="K277" s="18" t="s">
        <v>71</v>
      </c>
    </row>
    <row r="278" spans="1:11" x14ac:dyDescent="0.2">
      <c r="A278" s="23" t="s">
        <v>32</v>
      </c>
      <c r="B278" s="23" t="s">
        <v>115</v>
      </c>
      <c r="C278" s="23">
        <v>2.9000000000000001E-2</v>
      </c>
      <c r="D278" s="44">
        <v>2</v>
      </c>
      <c r="E278" s="21">
        <v>1043</v>
      </c>
      <c r="F278" s="21">
        <v>-106</v>
      </c>
      <c r="G278" s="18">
        <v>-1E-3</v>
      </c>
      <c r="H278" s="18" t="s">
        <v>71</v>
      </c>
      <c r="I278" s="23">
        <v>647</v>
      </c>
      <c r="J278" s="26">
        <v>0.52</v>
      </c>
      <c r="K278" s="18" t="s">
        <v>71</v>
      </c>
    </row>
    <row r="279" spans="1:11" x14ac:dyDescent="0.2">
      <c r="A279" s="23" t="s">
        <v>32</v>
      </c>
      <c r="B279" s="23" t="s">
        <v>76</v>
      </c>
      <c r="C279" s="23">
        <v>3.2000000000000001E-2</v>
      </c>
      <c r="D279" s="44">
        <v>1</v>
      </c>
      <c r="E279" s="21">
        <v>12009</v>
      </c>
      <c r="F279" s="21">
        <v>10860</v>
      </c>
      <c r="G279" s="18">
        <v>0.13600000000000001</v>
      </c>
      <c r="H279" s="45" t="s">
        <v>131</v>
      </c>
      <c r="I279" s="23">
        <v>1467</v>
      </c>
      <c r="J279" s="26">
        <v>0.71</v>
      </c>
      <c r="K279" s="18" t="s">
        <v>71</v>
      </c>
    </row>
    <row r="280" spans="1:11" x14ac:dyDescent="0.2">
      <c r="A280" s="23" t="s">
        <v>33</v>
      </c>
      <c r="B280" s="23" t="s">
        <v>75</v>
      </c>
      <c r="C280" s="23">
        <v>2.7E-2</v>
      </c>
      <c r="D280" s="44">
        <v>1</v>
      </c>
      <c r="E280" s="21">
        <v>1387</v>
      </c>
      <c r="F280" s="21">
        <v>238</v>
      </c>
      <c r="G280" s="18">
        <v>3.0000000000000001E-3</v>
      </c>
      <c r="H280" s="18" t="s">
        <v>71</v>
      </c>
      <c r="I280" s="23">
        <v>1083</v>
      </c>
      <c r="J280" s="26">
        <v>0.72</v>
      </c>
      <c r="K280" s="18" t="s">
        <v>71</v>
      </c>
    </row>
    <row r="281" spans="1:11" x14ac:dyDescent="0.2">
      <c r="A281" s="23" t="s">
        <v>33</v>
      </c>
      <c r="B281" s="23" t="s">
        <v>33</v>
      </c>
      <c r="C281" s="23">
        <v>4.8000000000000001E-2</v>
      </c>
      <c r="D281" s="44">
        <v>2</v>
      </c>
      <c r="E281" s="21">
        <v>1515</v>
      </c>
      <c r="F281" s="21">
        <v>366</v>
      </c>
      <c r="G281" s="18">
        <v>5.0000000000000001E-3</v>
      </c>
      <c r="H281" s="18" t="s">
        <v>71</v>
      </c>
      <c r="I281" s="23">
        <v>1054</v>
      </c>
      <c r="J281" s="26">
        <v>0.7</v>
      </c>
      <c r="K281" s="18" t="s">
        <v>71</v>
      </c>
    </row>
    <row r="282" spans="1:11" x14ac:dyDescent="0.2">
      <c r="A282" s="23" t="s">
        <v>33</v>
      </c>
      <c r="B282" s="23" t="s">
        <v>62</v>
      </c>
      <c r="C282" s="23">
        <v>2.9000000000000001E-2</v>
      </c>
      <c r="D282" s="44">
        <v>2</v>
      </c>
      <c r="E282" s="21">
        <v>1311</v>
      </c>
      <c r="F282" s="21">
        <v>162</v>
      </c>
      <c r="G282" s="18">
        <v>2E-3</v>
      </c>
      <c r="H282" s="18" t="s">
        <v>71</v>
      </c>
      <c r="I282" s="23">
        <v>1080</v>
      </c>
      <c r="J282" s="26">
        <v>0.72</v>
      </c>
      <c r="K282" s="18" t="s">
        <v>71</v>
      </c>
    </row>
    <row r="283" spans="1:11" x14ac:dyDescent="0.2">
      <c r="A283" s="23" t="s">
        <v>33</v>
      </c>
      <c r="B283" s="23" t="s">
        <v>85</v>
      </c>
      <c r="C283" s="23">
        <v>2.9000000000000001E-2</v>
      </c>
      <c r="D283" s="44">
        <v>2</v>
      </c>
      <c r="E283" s="21">
        <v>1515</v>
      </c>
      <c r="F283" s="21">
        <v>366</v>
      </c>
      <c r="G283" s="18">
        <v>5.0000000000000001E-3</v>
      </c>
      <c r="H283" s="18" t="s">
        <v>71</v>
      </c>
      <c r="I283" s="23">
        <v>1343</v>
      </c>
      <c r="J283" s="26">
        <v>0.9</v>
      </c>
      <c r="K283" s="18" t="s">
        <v>71</v>
      </c>
    </row>
    <row r="284" spans="1:11" x14ac:dyDescent="0.2">
      <c r="A284" s="23" t="s">
        <v>120</v>
      </c>
      <c r="B284" s="23" t="s">
        <v>120</v>
      </c>
      <c r="C284" s="23">
        <v>0.14799999999999999</v>
      </c>
      <c r="D284" s="44">
        <v>2</v>
      </c>
      <c r="E284" s="21">
        <v>1546</v>
      </c>
      <c r="F284" s="21">
        <v>397</v>
      </c>
      <c r="G284" s="18">
        <v>5.0000000000000001E-3</v>
      </c>
      <c r="H284" s="18" t="s">
        <v>71</v>
      </c>
      <c r="I284" s="23">
        <v>642</v>
      </c>
      <c r="J284" s="26">
        <v>0.44</v>
      </c>
      <c r="K284" s="18" t="s">
        <v>71</v>
      </c>
    </row>
    <row r="285" spans="1:11" x14ac:dyDescent="0.2">
      <c r="A285" s="23" t="s">
        <v>86</v>
      </c>
      <c r="B285" s="23" t="s">
        <v>74</v>
      </c>
      <c r="C285" s="23">
        <v>2.7E-2</v>
      </c>
      <c r="D285" s="44">
        <v>2</v>
      </c>
      <c r="E285" s="21">
        <v>1319</v>
      </c>
      <c r="F285" s="21">
        <v>170</v>
      </c>
      <c r="G285" s="18">
        <v>2E-3</v>
      </c>
      <c r="H285" s="18" t="s">
        <v>71</v>
      </c>
      <c r="I285" s="23">
        <v>1614</v>
      </c>
      <c r="J285" s="26">
        <v>0.79</v>
      </c>
      <c r="K285" s="18" t="s">
        <v>71</v>
      </c>
    </row>
    <row r="286" spans="1:11" x14ac:dyDescent="0.2">
      <c r="A286" s="23" t="s">
        <v>85</v>
      </c>
      <c r="B286" s="23" t="s">
        <v>42</v>
      </c>
      <c r="C286" s="23">
        <v>3.5000000000000003E-2</v>
      </c>
      <c r="D286" s="44">
        <v>1</v>
      </c>
      <c r="E286" s="21">
        <v>1296</v>
      </c>
      <c r="F286" s="21">
        <v>147</v>
      </c>
      <c r="G286" s="18">
        <v>2E-3</v>
      </c>
      <c r="H286" s="18" t="s">
        <v>71</v>
      </c>
      <c r="I286" s="23">
        <v>1901</v>
      </c>
      <c r="J286" s="26">
        <v>1.54</v>
      </c>
      <c r="K286" s="18" t="s">
        <v>71</v>
      </c>
    </row>
    <row r="287" spans="1:11" x14ac:dyDescent="0.2">
      <c r="A287" s="23" t="s">
        <v>104</v>
      </c>
      <c r="B287" s="23" t="s">
        <v>122</v>
      </c>
      <c r="C287" s="23">
        <v>3.1E-2</v>
      </c>
      <c r="D287" s="44">
        <v>2</v>
      </c>
      <c r="E287" s="21">
        <v>1397</v>
      </c>
      <c r="F287" s="21">
        <v>248</v>
      </c>
      <c r="G287" s="18">
        <v>3.0000000000000001E-3</v>
      </c>
      <c r="H287" s="18" t="s">
        <v>71</v>
      </c>
      <c r="I287" s="23">
        <v>2154</v>
      </c>
      <c r="J287" s="26">
        <v>1.75</v>
      </c>
      <c r="K287" s="18" t="s">
        <v>71</v>
      </c>
    </row>
    <row r="288" spans="1:11" x14ac:dyDescent="0.2">
      <c r="A288" s="23" t="s">
        <v>58</v>
      </c>
      <c r="B288" s="23" t="s">
        <v>122</v>
      </c>
      <c r="C288" s="23">
        <v>5.8000000000000003E-2</v>
      </c>
      <c r="D288" s="44">
        <v>2</v>
      </c>
      <c r="E288" s="21">
        <v>17583</v>
      </c>
      <c r="F288" s="21">
        <v>16434</v>
      </c>
      <c r="G288" s="18">
        <v>0.20499999999999999</v>
      </c>
      <c r="H288" s="45" t="s">
        <v>131</v>
      </c>
      <c r="I288" s="23">
        <v>3720</v>
      </c>
      <c r="J288" s="26">
        <v>1.38</v>
      </c>
      <c r="K288" s="45" t="s">
        <v>131</v>
      </c>
    </row>
    <row r="289" spans="1:11" x14ac:dyDescent="0.2">
      <c r="A289" s="23" t="s">
        <v>29</v>
      </c>
      <c r="B289" s="23" t="s">
        <v>74</v>
      </c>
      <c r="C289" s="23">
        <v>0.112</v>
      </c>
      <c r="D289" s="44">
        <v>2</v>
      </c>
      <c r="E289" s="21">
        <v>2557</v>
      </c>
      <c r="F289" s="21">
        <v>1408</v>
      </c>
      <c r="G289" s="18">
        <v>1.7999999999999999E-2</v>
      </c>
      <c r="H289" s="18" t="s">
        <v>71</v>
      </c>
      <c r="I289" s="23">
        <v>2243</v>
      </c>
      <c r="J289" s="26">
        <v>1.0900000000000001</v>
      </c>
      <c r="K289" s="18" t="s">
        <v>71</v>
      </c>
    </row>
    <row r="290" spans="1:11" x14ac:dyDescent="0.2">
      <c r="A290" s="23" t="s">
        <v>29</v>
      </c>
      <c r="B290" s="23" t="s">
        <v>85</v>
      </c>
      <c r="C290" s="23">
        <v>4.7E-2</v>
      </c>
      <c r="D290" s="44">
        <v>2</v>
      </c>
      <c r="E290" s="21">
        <v>2320</v>
      </c>
      <c r="F290" s="21">
        <v>1171</v>
      </c>
      <c r="G290" s="18">
        <v>1.4999999999999999E-2</v>
      </c>
      <c r="H290" s="18" t="s">
        <v>71</v>
      </c>
      <c r="I290" s="23">
        <v>1772</v>
      </c>
      <c r="J290" s="26">
        <v>1.44</v>
      </c>
      <c r="K290" s="18" t="s">
        <v>71</v>
      </c>
    </row>
    <row r="291" spans="1:11" x14ac:dyDescent="0.2">
      <c r="A291" s="23" t="s">
        <v>79</v>
      </c>
      <c r="B291" s="23" t="s">
        <v>111</v>
      </c>
      <c r="C291" s="23">
        <v>5.3999999999999999E-2</v>
      </c>
      <c r="D291" s="44">
        <v>2</v>
      </c>
      <c r="E291" s="21">
        <v>1648</v>
      </c>
      <c r="F291" s="21">
        <v>499</v>
      </c>
      <c r="G291" s="18">
        <v>6.0000000000000001E-3</v>
      </c>
      <c r="H291" s="18" t="s">
        <v>71</v>
      </c>
      <c r="I291" s="23">
        <v>876</v>
      </c>
      <c r="J291" s="26">
        <v>0.67</v>
      </c>
      <c r="K291" s="18" t="s">
        <v>71</v>
      </c>
    </row>
    <row r="292" spans="1:11" x14ac:dyDescent="0.2">
      <c r="A292" s="23" t="s">
        <v>93</v>
      </c>
      <c r="B292" s="23" t="s">
        <v>39</v>
      </c>
      <c r="C292" s="23">
        <v>0.16400000000000001</v>
      </c>
      <c r="D292" s="44">
        <v>2</v>
      </c>
      <c r="E292" s="21">
        <v>1961</v>
      </c>
      <c r="F292" s="21">
        <v>812</v>
      </c>
      <c r="G292" s="18">
        <v>0.01</v>
      </c>
      <c r="H292" s="18" t="s">
        <v>71</v>
      </c>
      <c r="I292" s="23">
        <v>2137</v>
      </c>
      <c r="J292" s="26">
        <v>1.1000000000000001</v>
      </c>
      <c r="K292" s="18" t="s">
        <v>71</v>
      </c>
    </row>
    <row r="293" spans="1:11" x14ac:dyDescent="0.2">
      <c r="A293" s="23" t="s">
        <v>93</v>
      </c>
      <c r="B293" s="23" t="s">
        <v>43</v>
      </c>
      <c r="C293" s="23">
        <v>4.7E-2</v>
      </c>
      <c r="D293" s="44">
        <v>2</v>
      </c>
      <c r="E293" s="21">
        <v>1818</v>
      </c>
      <c r="F293" s="21">
        <v>669</v>
      </c>
      <c r="G293" s="18">
        <v>8.0000000000000002E-3</v>
      </c>
      <c r="H293" s="18" t="s">
        <v>71</v>
      </c>
      <c r="I293" s="23">
        <v>2062</v>
      </c>
      <c r="J293" s="26">
        <v>1.06</v>
      </c>
      <c r="K293" s="18" t="s">
        <v>71</v>
      </c>
    </row>
    <row r="294" spans="1:11" x14ac:dyDescent="0.2">
      <c r="A294" s="23" t="s">
        <v>93</v>
      </c>
      <c r="B294" s="23" t="s">
        <v>35</v>
      </c>
      <c r="C294" s="23">
        <v>3.2000000000000001E-2</v>
      </c>
      <c r="D294" s="44">
        <v>2</v>
      </c>
      <c r="E294" s="21">
        <v>1690</v>
      </c>
      <c r="F294" s="21">
        <v>541</v>
      </c>
      <c r="G294" s="18">
        <v>7.0000000000000001E-3</v>
      </c>
      <c r="H294" s="18" t="s">
        <v>71</v>
      </c>
      <c r="I294" s="23">
        <v>2051</v>
      </c>
      <c r="J294" s="26">
        <v>1.06</v>
      </c>
      <c r="K294" s="18" t="s">
        <v>71</v>
      </c>
    </row>
    <row r="295" spans="1:11" x14ac:dyDescent="0.2">
      <c r="A295" s="23" t="s">
        <v>93</v>
      </c>
      <c r="B295" s="23" t="s">
        <v>95</v>
      </c>
      <c r="C295" s="23">
        <v>0.08</v>
      </c>
      <c r="D295" s="44">
        <v>2</v>
      </c>
      <c r="E295" s="21">
        <v>1965</v>
      </c>
      <c r="F295" s="21">
        <v>816</v>
      </c>
      <c r="G295" s="18">
        <v>0.01</v>
      </c>
      <c r="H295" s="18" t="s">
        <v>71</v>
      </c>
      <c r="I295" s="23">
        <v>2499</v>
      </c>
      <c r="J295" s="26">
        <v>1.29</v>
      </c>
      <c r="K295" s="45" t="s">
        <v>131</v>
      </c>
    </row>
    <row r="296" spans="1:11" x14ac:dyDescent="0.2">
      <c r="A296" s="23" t="s">
        <v>91</v>
      </c>
      <c r="B296" s="23" t="s">
        <v>39</v>
      </c>
      <c r="C296" s="23">
        <v>2.7E-2</v>
      </c>
      <c r="D296" s="44">
        <v>2</v>
      </c>
      <c r="E296" s="21">
        <v>1879</v>
      </c>
      <c r="F296" s="21">
        <v>730</v>
      </c>
      <c r="G296" s="18">
        <v>8.9999999999999993E-3</v>
      </c>
      <c r="H296" s="18" t="s">
        <v>71</v>
      </c>
      <c r="I296" s="23"/>
      <c r="J296" s="26"/>
      <c r="K296" s="23"/>
    </row>
    <row r="297" spans="1:11" x14ac:dyDescent="0.2">
      <c r="A297" s="23" t="s">
        <v>36</v>
      </c>
      <c r="B297" s="23" t="s">
        <v>50</v>
      </c>
      <c r="C297" s="23">
        <v>2.7E-2</v>
      </c>
      <c r="D297" s="44">
        <v>2</v>
      </c>
      <c r="E297" s="21">
        <v>11139</v>
      </c>
      <c r="F297" s="21">
        <v>9990</v>
      </c>
      <c r="G297" s="18">
        <v>0.125</v>
      </c>
      <c r="H297" s="45" t="s">
        <v>131</v>
      </c>
      <c r="I297" s="23">
        <v>1094</v>
      </c>
      <c r="J297" s="26">
        <v>0.75</v>
      </c>
      <c r="K297" s="18" t="s">
        <v>71</v>
      </c>
    </row>
    <row r="298" spans="1:11" x14ac:dyDescent="0.2">
      <c r="A298" s="23" t="s">
        <v>97</v>
      </c>
      <c r="B298" s="23" t="s">
        <v>42</v>
      </c>
      <c r="C298" s="23">
        <v>2.8000000000000001E-2</v>
      </c>
      <c r="D298" s="44">
        <v>2</v>
      </c>
      <c r="E298" s="21">
        <v>1746</v>
      </c>
      <c r="F298" s="21">
        <v>597</v>
      </c>
      <c r="G298" s="18">
        <v>7.0000000000000001E-3</v>
      </c>
      <c r="H298" s="18" t="s">
        <v>71</v>
      </c>
      <c r="I298" s="23">
        <v>1944</v>
      </c>
      <c r="J298" s="26">
        <v>0.78</v>
      </c>
      <c r="K298" s="18" t="s">
        <v>71</v>
      </c>
    </row>
    <row r="299" spans="1:11" x14ac:dyDescent="0.2">
      <c r="A299" s="23" t="s">
        <v>82</v>
      </c>
      <c r="B299" s="23" t="s">
        <v>74</v>
      </c>
      <c r="C299" s="23">
        <v>3.1E-2</v>
      </c>
      <c r="D299" s="44">
        <v>1</v>
      </c>
      <c r="E299" s="21">
        <v>1208</v>
      </c>
      <c r="F299" s="21">
        <v>59</v>
      </c>
      <c r="G299" s="18">
        <v>1E-3</v>
      </c>
      <c r="H299" s="18" t="s">
        <v>71</v>
      </c>
      <c r="I299" s="23">
        <v>1690</v>
      </c>
      <c r="J299" s="26">
        <v>0.82</v>
      </c>
      <c r="K299" s="18" t="s">
        <v>71</v>
      </c>
    </row>
    <row r="300" spans="1:11" x14ac:dyDescent="0.2">
      <c r="A300" s="23" t="s">
        <v>82</v>
      </c>
      <c r="B300" s="23" t="s">
        <v>33</v>
      </c>
      <c r="C300" s="23">
        <v>4.2000000000000003E-2</v>
      </c>
      <c r="D300" s="44">
        <v>2</v>
      </c>
      <c r="E300" s="21">
        <v>1541</v>
      </c>
      <c r="F300" s="21">
        <v>392</v>
      </c>
      <c r="G300" s="18">
        <v>5.0000000000000001E-3</v>
      </c>
      <c r="H300" s="18" t="s">
        <v>71</v>
      </c>
      <c r="I300" s="23">
        <v>963</v>
      </c>
      <c r="J300" s="26">
        <v>0.64</v>
      </c>
      <c r="K300" s="18" t="s">
        <v>71</v>
      </c>
    </row>
    <row r="301" spans="1:11" x14ac:dyDescent="0.2">
      <c r="A301" s="23" t="s">
        <v>82</v>
      </c>
      <c r="B301" s="23" t="s">
        <v>85</v>
      </c>
      <c r="C301" s="23">
        <v>2.9000000000000001E-2</v>
      </c>
      <c r="D301" s="44">
        <v>2</v>
      </c>
      <c r="E301" s="21">
        <v>1779</v>
      </c>
      <c r="F301" s="21">
        <v>630</v>
      </c>
      <c r="G301" s="18">
        <v>8.0000000000000002E-3</v>
      </c>
      <c r="H301" s="18" t="s">
        <v>71</v>
      </c>
      <c r="I301" s="23">
        <v>954</v>
      </c>
      <c r="J301" s="26">
        <v>0.77</v>
      </c>
      <c r="K301" s="18" t="s">
        <v>71</v>
      </c>
    </row>
    <row r="302" spans="1:11" x14ac:dyDescent="0.2">
      <c r="A302" s="23" t="s">
        <v>60</v>
      </c>
      <c r="B302" s="23" t="s">
        <v>32</v>
      </c>
      <c r="C302" s="23">
        <v>3.5000000000000003E-2</v>
      </c>
      <c r="D302" s="44">
        <v>2</v>
      </c>
      <c r="E302" s="21">
        <v>1298</v>
      </c>
      <c r="F302" s="21">
        <v>149</v>
      </c>
      <c r="G302" s="18">
        <v>2E-3</v>
      </c>
      <c r="H302" s="18" t="s">
        <v>71</v>
      </c>
      <c r="I302" s="23">
        <v>1637</v>
      </c>
      <c r="J302" s="26">
        <v>0.85</v>
      </c>
      <c r="K302" s="18" t="s">
        <v>71</v>
      </c>
    </row>
    <row r="303" spans="1:11" x14ac:dyDescent="0.2">
      <c r="A303" s="23" t="s">
        <v>80</v>
      </c>
      <c r="B303" s="23" t="s">
        <v>80</v>
      </c>
      <c r="C303" s="23">
        <v>7.0999999999999994E-2</v>
      </c>
      <c r="D303" s="44">
        <v>1</v>
      </c>
      <c r="E303" s="21">
        <v>3161</v>
      </c>
      <c r="F303" s="21">
        <v>2012</v>
      </c>
      <c r="G303" s="18">
        <v>2.5000000000000001E-2</v>
      </c>
      <c r="H303" s="45" t="s">
        <v>131</v>
      </c>
      <c r="I303" s="23">
        <v>2961</v>
      </c>
      <c r="J303" s="26">
        <v>1.53</v>
      </c>
      <c r="K303" s="45" t="s">
        <v>131</v>
      </c>
    </row>
    <row r="304" spans="1:11" x14ac:dyDescent="0.2">
      <c r="A304" s="23" t="s">
        <v>126</v>
      </c>
      <c r="B304" s="23" t="s">
        <v>54</v>
      </c>
      <c r="C304" s="23">
        <v>3.1E-2</v>
      </c>
      <c r="D304" s="44">
        <v>2</v>
      </c>
      <c r="E304" s="21">
        <v>982</v>
      </c>
      <c r="F304" s="21">
        <v>-167</v>
      </c>
      <c r="G304" s="18">
        <v>-2E-3</v>
      </c>
      <c r="H304" s="18" t="s">
        <v>71</v>
      </c>
      <c r="I304" s="23">
        <v>1404</v>
      </c>
      <c r="J304" s="26">
        <v>0.56999999999999995</v>
      </c>
      <c r="K304" s="18" t="s">
        <v>71</v>
      </c>
    </row>
    <row r="305" spans="1:11" x14ac:dyDescent="0.2">
      <c r="A305" s="23" t="s">
        <v>126</v>
      </c>
      <c r="B305" s="23" t="s">
        <v>30</v>
      </c>
      <c r="C305" s="23">
        <v>0.04</v>
      </c>
      <c r="D305" s="44">
        <v>2</v>
      </c>
      <c r="E305" s="21">
        <v>1037</v>
      </c>
      <c r="F305" s="21">
        <v>-112</v>
      </c>
      <c r="G305" s="18">
        <v>-1E-3</v>
      </c>
      <c r="H305" s="18" t="s">
        <v>71</v>
      </c>
      <c r="I305" s="23">
        <v>937</v>
      </c>
      <c r="J305" s="26">
        <v>0.38</v>
      </c>
      <c r="K305" s="18" t="s">
        <v>71</v>
      </c>
    </row>
    <row r="306" spans="1:11" x14ac:dyDescent="0.2">
      <c r="A306" s="23" t="s">
        <v>17</v>
      </c>
      <c r="B306" s="23" t="s">
        <v>51</v>
      </c>
      <c r="C306" s="23">
        <v>3.3000000000000002E-2</v>
      </c>
      <c r="D306" s="44">
        <v>1</v>
      </c>
      <c r="E306" s="21">
        <v>1804</v>
      </c>
      <c r="F306" s="21">
        <v>600</v>
      </c>
      <c r="G306" s="18">
        <v>1.0999999999999999E-2</v>
      </c>
      <c r="H306" s="18" t="s">
        <v>71</v>
      </c>
      <c r="I306" s="23">
        <v>708</v>
      </c>
      <c r="J306" s="26">
        <v>0.55000000000000004</v>
      </c>
      <c r="K306" s="18" t="s">
        <v>71</v>
      </c>
    </row>
    <row r="307" spans="1:11" x14ac:dyDescent="0.2">
      <c r="A307" s="23" t="s">
        <v>17</v>
      </c>
      <c r="B307" s="23" t="s">
        <v>69</v>
      </c>
      <c r="C307" s="23">
        <v>3.3000000000000002E-2</v>
      </c>
      <c r="D307" s="44">
        <v>1</v>
      </c>
      <c r="E307" s="21">
        <v>1227</v>
      </c>
      <c r="F307" s="21">
        <v>23</v>
      </c>
      <c r="G307" s="18">
        <v>0</v>
      </c>
      <c r="H307" s="18" t="s">
        <v>71</v>
      </c>
      <c r="I307" s="23">
        <v>891</v>
      </c>
      <c r="J307" s="26">
        <v>0.69</v>
      </c>
      <c r="K307" s="18" t="s">
        <v>71</v>
      </c>
    </row>
    <row r="308" spans="1:11" x14ac:dyDescent="0.2">
      <c r="A308" s="23" t="s">
        <v>39</v>
      </c>
      <c r="B308" s="23" t="s">
        <v>69</v>
      </c>
      <c r="C308" s="23">
        <v>3.5000000000000003E-2</v>
      </c>
      <c r="D308" s="44">
        <v>2</v>
      </c>
      <c r="E308" s="21">
        <v>1770</v>
      </c>
      <c r="F308" s="21">
        <v>566</v>
      </c>
      <c r="G308" s="18">
        <v>1.0999999999999999E-2</v>
      </c>
      <c r="H308" s="18" t="s">
        <v>71</v>
      </c>
      <c r="I308" s="23">
        <v>2833</v>
      </c>
      <c r="J308" s="26">
        <v>2.17</v>
      </c>
      <c r="K308" s="45" t="s">
        <v>131</v>
      </c>
    </row>
    <row r="309" spans="1:11" x14ac:dyDescent="0.2">
      <c r="A309" s="23" t="s">
        <v>122</v>
      </c>
      <c r="B309" s="23" t="s">
        <v>107</v>
      </c>
      <c r="C309" s="23">
        <v>3.3399999999999999E-2</v>
      </c>
      <c r="D309" s="44">
        <v>2</v>
      </c>
      <c r="E309" s="21">
        <v>1279</v>
      </c>
      <c r="F309" s="21">
        <v>75</v>
      </c>
      <c r="G309" s="18">
        <v>1E-3</v>
      </c>
      <c r="H309" s="18" t="s">
        <v>71</v>
      </c>
      <c r="I309" s="23">
        <v>1501</v>
      </c>
      <c r="J309" s="26">
        <v>1.22</v>
      </c>
      <c r="K309" s="18" t="s">
        <v>71</v>
      </c>
    </row>
    <row r="310" spans="1:11" x14ac:dyDescent="0.2">
      <c r="A310" s="23" t="s">
        <v>122</v>
      </c>
      <c r="B310" s="23" t="s">
        <v>61</v>
      </c>
      <c r="C310" s="23">
        <v>8.5999999999999993E-2</v>
      </c>
      <c r="D310" s="44">
        <v>2</v>
      </c>
      <c r="E310" s="21">
        <v>1321</v>
      </c>
      <c r="F310" s="21">
        <v>117</v>
      </c>
      <c r="G310" s="18">
        <v>2E-3</v>
      </c>
      <c r="H310" s="18" t="s">
        <v>71</v>
      </c>
      <c r="I310" s="23">
        <v>3456</v>
      </c>
      <c r="J310" s="26">
        <v>1.39</v>
      </c>
      <c r="K310" s="18" t="s">
        <v>71</v>
      </c>
    </row>
    <row r="311" spans="1:11" x14ac:dyDescent="0.2">
      <c r="A311" s="23" t="s">
        <v>53</v>
      </c>
      <c r="B311" s="23" t="s">
        <v>44</v>
      </c>
      <c r="C311" s="23">
        <v>2.7E-2</v>
      </c>
      <c r="D311" s="44">
        <v>2</v>
      </c>
      <c r="E311" s="21">
        <v>1932</v>
      </c>
      <c r="F311" s="21">
        <v>728</v>
      </c>
      <c r="G311" s="18">
        <v>1.4E-2</v>
      </c>
      <c r="H311" s="18" t="s">
        <v>71</v>
      </c>
      <c r="I311" s="23">
        <v>1483</v>
      </c>
      <c r="J311" s="26">
        <v>1.1399999999999999</v>
      </c>
      <c r="K311" s="18" t="s">
        <v>71</v>
      </c>
    </row>
    <row r="312" spans="1:11" x14ac:dyDescent="0.2">
      <c r="A312" s="23" t="s">
        <v>67</v>
      </c>
      <c r="B312" s="23" t="s">
        <v>67</v>
      </c>
      <c r="C312" s="23">
        <v>2.9000000000000001E-2</v>
      </c>
      <c r="D312" s="44">
        <v>2</v>
      </c>
      <c r="E312" s="21">
        <v>1161</v>
      </c>
      <c r="F312" s="21">
        <v>-43</v>
      </c>
      <c r="G312" s="18">
        <v>-1E-3</v>
      </c>
      <c r="H312" s="18" t="s">
        <v>71</v>
      </c>
      <c r="I312" s="23">
        <v>5750</v>
      </c>
      <c r="J312" s="26">
        <v>2.8</v>
      </c>
      <c r="K312" s="45" t="s">
        <v>131</v>
      </c>
    </row>
    <row r="313" spans="1:11" x14ac:dyDescent="0.2">
      <c r="A313" s="23" t="s">
        <v>74</v>
      </c>
      <c r="B313" s="23" t="s">
        <v>74</v>
      </c>
      <c r="C313" s="23">
        <v>0.13</v>
      </c>
      <c r="D313" s="44">
        <v>2</v>
      </c>
      <c r="E313" s="21">
        <v>1318</v>
      </c>
      <c r="F313" s="21">
        <v>114</v>
      </c>
      <c r="G313" s="18">
        <v>2E-3</v>
      </c>
      <c r="H313" s="18" t="s">
        <v>71</v>
      </c>
      <c r="I313" s="23">
        <v>9350</v>
      </c>
      <c r="J313" s="26">
        <v>4.55</v>
      </c>
      <c r="K313" s="45" t="s">
        <v>131</v>
      </c>
    </row>
    <row r="314" spans="1:11" x14ac:dyDescent="0.2">
      <c r="A314" s="23" t="s">
        <v>32</v>
      </c>
      <c r="B314" s="23" t="s">
        <v>97</v>
      </c>
      <c r="C314" s="23">
        <v>3.1E-2</v>
      </c>
      <c r="D314" s="44">
        <v>2</v>
      </c>
      <c r="E314" s="21">
        <v>1108</v>
      </c>
      <c r="F314" s="21">
        <v>-96</v>
      </c>
      <c r="G314" s="18">
        <v>-2E-3</v>
      </c>
      <c r="H314" s="18" t="s">
        <v>71</v>
      </c>
      <c r="I314" s="23">
        <v>920</v>
      </c>
      <c r="J314" s="26">
        <v>0.75</v>
      </c>
      <c r="K314" s="18" t="s">
        <v>71</v>
      </c>
    </row>
    <row r="315" spans="1:11" x14ac:dyDescent="0.2">
      <c r="A315" s="23" t="s">
        <v>32</v>
      </c>
      <c r="B315" s="23" t="s">
        <v>64</v>
      </c>
      <c r="C315" s="23">
        <v>3.5000000000000003E-2</v>
      </c>
      <c r="D315" s="44">
        <v>2</v>
      </c>
      <c r="E315" s="21">
        <v>1173</v>
      </c>
      <c r="F315" s="21">
        <v>-31</v>
      </c>
      <c r="G315" s="18">
        <v>-1E-3</v>
      </c>
      <c r="H315" s="18" t="s">
        <v>71</v>
      </c>
      <c r="I315" s="23">
        <v>1077</v>
      </c>
      <c r="J315" s="26">
        <v>0.87</v>
      </c>
      <c r="K315" s="18" t="s">
        <v>71</v>
      </c>
    </row>
    <row r="316" spans="1:11" x14ac:dyDescent="0.2">
      <c r="A316" s="23" t="s">
        <v>33</v>
      </c>
      <c r="B316" s="23" t="s">
        <v>74</v>
      </c>
      <c r="C316" s="23">
        <v>2.8000000000000001E-2</v>
      </c>
      <c r="D316" s="44">
        <v>2</v>
      </c>
      <c r="E316" s="21">
        <v>1323</v>
      </c>
      <c r="F316" s="21">
        <v>119</v>
      </c>
      <c r="G316" s="18">
        <v>2E-3</v>
      </c>
      <c r="H316" s="18" t="s">
        <v>71</v>
      </c>
      <c r="I316" s="23">
        <v>921</v>
      </c>
      <c r="J316" s="26">
        <v>0.62</v>
      </c>
      <c r="K316" s="18" t="s">
        <v>71</v>
      </c>
    </row>
    <row r="317" spans="1:11" x14ac:dyDescent="0.2">
      <c r="A317" s="23" t="s">
        <v>86</v>
      </c>
      <c r="B317" s="23" t="s">
        <v>44</v>
      </c>
      <c r="C317" s="23">
        <v>3.1E-2</v>
      </c>
      <c r="D317" s="44">
        <v>2</v>
      </c>
      <c r="E317" s="21">
        <v>3120</v>
      </c>
      <c r="F317" s="21">
        <v>1916</v>
      </c>
      <c r="G317" s="18">
        <v>3.6999999999999998E-2</v>
      </c>
      <c r="H317" s="45" t="s">
        <v>131</v>
      </c>
      <c r="I317" s="23">
        <v>1388</v>
      </c>
      <c r="J317" s="26">
        <v>1.06</v>
      </c>
      <c r="K317" s="18" t="s">
        <v>71</v>
      </c>
    </row>
    <row r="318" spans="1:11" x14ac:dyDescent="0.2">
      <c r="A318" s="23" t="s">
        <v>86</v>
      </c>
      <c r="B318" s="23" t="s">
        <v>41</v>
      </c>
      <c r="C318" s="23">
        <v>2.9000000000000001E-2</v>
      </c>
      <c r="D318" s="44">
        <v>2</v>
      </c>
      <c r="E318" s="21">
        <v>18918</v>
      </c>
      <c r="F318" s="21">
        <v>17714</v>
      </c>
      <c r="G318" s="18">
        <v>0.33900000000000002</v>
      </c>
      <c r="H318" s="45" t="s">
        <v>131</v>
      </c>
      <c r="I318" s="23">
        <v>1821</v>
      </c>
      <c r="J318" s="26">
        <v>0.94</v>
      </c>
      <c r="K318" s="18" t="s">
        <v>71</v>
      </c>
    </row>
    <row r="319" spans="1:11" x14ac:dyDescent="0.2">
      <c r="A319" s="23" t="s">
        <v>118</v>
      </c>
      <c r="B319" s="23" t="s">
        <v>32</v>
      </c>
      <c r="C319" s="23">
        <v>4.1000000000000002E-2</v>
      </c>
      <c r="D319" s="44">
        <v>2</v>
      </c>
      <c r="E319" s="21">
        <v>1307</v>
      </c>
      <c r="F319" s="21">
        <v>103</v>
      </c>
      <c r="G319" s="18">
        <v>2E-3</v>
      </c>
      <c r="H319" s="18" t="s">
        <v>71</v>
      </c>
      <c r="I319" s="23">
        <v>820</v>
      </c>
      <c r="J319" s="26">
        <v>0.67</v>
      </c>
      <c r="K319" s="18" t="s">
        <v>71</v>
      </c>
    </row>
    <row r="320" spans="1:11" x14ac:dyDescent="0.2">
      <c r="A320" s="23" t="s">
        <v>118</v>
      </c>
      <c r="B320" s="23" t="s">
        <v>33</v>
      </c>
      <c r="C320" s="23">
        <v>4.7E-2</v>
      </c>
      <c r="D320" s="44">
        <v>2</v>
      </c>
      <c r="E320" s="21">
        <v>1427</v>
      </c>
      <c r="F320" s="21">
        <v>223</v>
      </c>
      <c r="G320" s="18">
        <v>4.0000000000000001E-3</v>
      </c>
      <c r="H320" s="18" t="s">
        <v>71</v>
      </c>
      <c r="I320" s="23">
        <v>1117</v>
      </c>
      <c r="J320" s="26">
        <v>0.75</v>
      </c>
      <c r="K320" s="18" t="s">
        <v>71</v>
      </c>
    </row>
    <row r="321" spans="1:11" x14ac:dyDescent="0.2">
      <c r="A321" s="23" t="s">
        <v>119</v>
      </c>
      <c r="B321" s="23" t="s">
        <v>44</v>
      </c>
      <c r="C321" s="23">
        <v>3.5999999999999997E-2</v>
      </c>
      <c r="D321" s="44">
        <v>2</v>
      </c>
      <c r="E321" s="21">
        <v>2325</v>
      </c>
      <c r="F321" s="21">
        <v>1121</v>
      </c>
      <c r="G321" s="18">
        <v>2.1000000000000001E-2</v>
      </c>
      <c r="H321" s="18" t="s">
        <v>71</v>
      </c>
      <c r="I321" s="23">
        <v>1294</v>
      </c>
      <c r="J321" s="26">
        <v>0.99</v>
      </c>
      <c r="K321" s="18" t="s">
        <v>71</v>
      </c>
    </row>
    <row r="322" spans="1:11" x14ac:dyDescent="0.2">
      <c r="A322" s="23" t="s">
        <v>119</v>
      </c>
      <c r="B322" s="23" t="s">
        <v>76</v>
      </c>
      <c r="C322" s="23">
        <v>2.9000000000000001E-2</v>
      </c>
      <c r="D322" s="44">
        <v>2</v>
      </c>
      <c r="E322" s="21">
        <v>2897</v>
      </c>
      <c r="F322" s="21">
        <v>1693</v>
      </c>
      <c r="G322" s="18">
        <v>3.2000000000000001E-2</v>
      </c>
      <c r="H322" s="18" t="s">
        <v>71</v>
      </c>
      <c r="I322" s="23">
        <v>1752</v>
      </c>
      <c r="J322" s="26">
        <v>0.85</v>
      </c>
      <c r="K322" s="18" t="s">
        <v>71</v>
      </c>
    </row>
    <row r="323" spans="1:11" x14ac:dyDescent="0.2">
      <c r="A323" s="23" t="s">
        <v>119</v>
      </c>
      <c r="B323" s="23" t="s">
        <v>119</v>
      </c>
      <c r="C323" s="23">
        <v>4.4999999999999998E-2</v>
      </c>
      <c r="D323" s="44">
        <v>2</v>
      </c>
      <c r="E323" s="21">
        <v>1379</v>
      </c>
      <c r="F323" s="21">
        <v>175</v>
      </c>
      <c r="G323" s="18">
        <v>3.0000000000000001E-3</v>
      </c>
      <c r="H323" s="18" t="s">
        <v>71</v>
      </c>
      <c r="I323" s="23">
        <v>4356</v>
      </c>
      <c r="J323" s="26">
        <v>2.12</v>
      </c>
      <c r="K323" s="45" t="s">
        <v>131</v>
      </c>
    </row>
    <row r="324" spans="1:11" x14ac:dyDescent="0.2">
      <c r="A324" s="23" t="s">
        <v>119</v>
      </c>
      <c r="B324" s="23" t="s">
        <v>89</v>
      </c>
      <c r="C324" s="23">
        <v>0.04</v>
      </c>
      <c r="D324" s="44">
        <v>2</v>
      </c>
      <c r="E324" s="21">
        <v>2266</v>
      </c>
      <c r="F324" s="21">
        <v>1062</v>
      </c>
      <c r="G324" s="18">
        <v>0.02</v>
      </c>
      <c r="H324" s="18" t="s">
        <v>71</v>
      </c>
      <c r="I324" s="23">
        <v>4399</v>
      </c>
      <c r="J324" s="26">
        <v>2.14</v>
      </c>
      <c r="K324" s="45" t="s">
        <v>131</v>
      </c>
    </row>
    <row r="325" spans="1:11" x14ac:dyDescent="0.2">
      <c r="A325" s="23" t="s">
        <v>119</v>
      </c>
      <c r="B325" s="23" t="s">
        <v>41</v>
      </c>
      <c r="C325" s="23">
        <v>3.5000000000000003E-2</v>
      </c>
      <c r="D325" s="44">
        <v>2</v>
      </c>
      <c r="E325" s="21">
        <v>3087</v>
      </c>
      <c r="F325" s="21">
        <v>1883</v>
      </c>
      <c r="G325" s="18">
        <v>3.5999999999999997E-2</v>
      </c>
      <c r="H325" s="45" t="s">
        <v>131</v>
      </c>
      <c r="I325" s="23">
        <v>2253</v>
      </c>
      <c r="J325" s="26">
        <v>1.1599999999999999</v>
      </c>
      <c r="K325" s="18" t="s">
        <v>71</v>
      </c>
    </row>
    <row r="326" spans="1:11" x14ac:dyDescent="0.2">
      <c r="A326" s="23" t="s">
        <v>89</v>
      </c>
      <c r="B326" s="23" t="s">
        <v>89</v>
      </c>
      <c r="C326" s="23">
        <v>9.1999999999999998E-2</v>
      </c>
      <c r="D326" s="44">
        <v>2</v>
      </c>
      <c r="E326" s="21">
        <v>11318</v>
      </c>
      <c r="F326" s="21">
        <v>10114</v>
      </c>
      <c r="G326" s="18">
        <v>0.19400000000000001</v>
      </c>
      <c r="H326" s="45" t="s">
        <v>131</v>
      </c>
      <c r="I326" s="23">
        <v>438266</v>
      </c>
      <c r="J326" s="26">
        <v>213.27</v>
      </c>
      <c r="K326" s="45" t="s">
        <v>131</v>
      </c>
    </row>
    <row r="327" spans="1:11" x14ac:dyDescent="0.2">
      <c r="A327" s="23" t="s">
        <v>102</v>
      </c>
      <c r="B327" s="23" t="s">
        <v>28</v>
      </c>
      <c r="C327" s="23">
        <v>2.7E-2</v>
      </c>
      <c r="D327" s="44">
        <v>2</v>
      </c>
      <c r="E327" s="21">
        <v>1412</v>
      </c>
      <c r="F327" s="21">
        <v>208</v>
      </c>
      <c r="G327" s="18">
        <v>4.0000000000000001E-3</v>
      </c>
      <c r="H327" s="18" t="s">
        <v>71</v>
      </c>
      <c r="I327" s="23">
        <v>1055</v>
      </c>
      <c r="J327" s="26">
        <v>0.81</v>
      </c>
      <c r="K327" s="18" t="s">
        <v>71</v>
      </c>
    </row>
    <row r="328" spans="1:11" x14ac:dyDescent="0.2">
      <c r="A328" s="23" t="s">
        <v>107</v>
      </c>
      <c r="B328" s="23" t="s">
        <v>107</v>
      </c>
      <c r="C328" s="23">
        <v>0.30599999999999999</v>
      </c>
      <c r="D328" s="44">
        <v>2</v>
      </c>
      <c r="E328" s="21">
        <v>2263</v>
      </c>
      <c r="F328" s="21">
        <v>1059</v>
      </c>
      <c r="G328" s="18">
        <v>0.02</v>
      </c>
      <c r="H328" s="18" t="s">
        <v>71</v>
      </c>
      <c r="I328" s="23">
        <v>1531</v>
      </c>
      <c r="J328" s="26">
        <v>1.24</v>
      </c>
      <c r="K328" s="18" t="s">
        <v>71</v>
      </c>
    </row>
    <row r="329" spans="1:11" x14ac:dyDescent="0.2">
      <c r="A329" s="23" t="s">
        <v>28</v>
      </c>
      <c r="B329" s="23" t="s">
        <v>91</v>
      </c>
      <c r="C329" s="23">
        <v>0.03</v>
      </c>
      <c r="D329" s="44">
        <v>1</v>
      </c>
      <c r="E329" s="21">
        <v>1411</v>
      </c>
      <c r="F329" s="21">
        <v>207</v>
      </c>
      <c r="G329" s="18">
        <v>4.0000000000000001E-3</v>
      </c>
      <c r="H329" s="18" t="s">
        <v>71</v>
      </c>
      <c r="I329" s="23">
        <v>3885</v>
      </c>
      <c r="J329" s="26">
        <v>2.99</v>
      </c>
      <c r="K329" s="45" t="s">
        <v>131</v>
      </c>
    </row>
    <row r="330" spans="1:11" x14ac:dyDescent="0.2">
      <c r="A330" s="23" t="s">
        <v>114</v>
      </c>
      <c r="B330" s="23" t="s">
        <v>39</v>
      </c>
      <c r="C330" s="23">
        <v>2.9000000000000001E-2</v>
      </c>
      <c r="D330" s="44">
        <v>2</v>
      </c>
      <c r="E330" s="21">
        <v>2819</v>
      </c>
      <c r="F330" s="21">
        <v>1615</v>
      </c>
      <c r="G330" s="18">
        <v>3.1E-2</v>
      </c>
      <c r="H330" s="18" t="s">
        <v>71</v>
      </c>
      <c r="I330" s="23">
        <v>1073</v>
      </c>
      <c r="J330" s="26">
        <v>0.82</v>
      </c>
      <c r="K330" s="18" t="s">
        <v>71</v>
      </c>
    </row>
    <row r="331" spans="1:11" x14ac:dyDescent="0.2">
      <c r="A331" s="23" t="s">
        <v>114</v>
      </c>
      <c r="B331" s="23" t="s">
        <v>27</v>
      </c>
      <c r="C331" s="23">
        <v>3.5000000000000003E-2</v>
      </c>
      <c r="D331" s="44">
        <v>2</v>
      </c>
      <c r="E331" s="21">
        <v>1434</v>
      </c>
      <c r="F331" s="21">
        <v>230</v>
      </c>
      <c r="G331" s="18">
        <v>4.0000000000000001E-3</v>
      </c>
      <c r="H331" s="18" t="s">
        <v>71</v>
      </c>
      <c r="I331" s="23">
        <v>1267</v>
      </c>
      <c r="J331" s="26">
        <v>0.98</v>
      </c>
      <c r="K331" s="18" t="s">
        <v>71</v>
      </c>
    </row>
    <row r="332" spans="1:11" x14ac:dyDescent="0.2">
      <c r="A332" s="23" t="s">
        <v>58</v>
      </c>
      <c r="B332" s="23" t="s">
        <v>69</v>
      </c>
      <c r="C332" s="23">
        <v>3.6999999999999998E-2</v>
      </c>
      <c r="D332" s="44">
        <v>2</v>
      </c>
      <c r="E332" s="21">
        <v>14937</v>
      </c>
      <c r="F332" s="21">
        <v>13733</v>
      </c>
      <c r="G332" s="18">
        <v>0.26300000000000001</v>
      </c>
      <c r="H332" s="45" t="s">
        <v>131</v>
      </c>
      <c r="I332" s="23">
        <v>1161</v>
      </c>
      <c r="J332" s="26">
        <v>0.45</v>
      </c>
      <c r="K332" s="18" t="s">
        <v>71</v>
      </c>
    </row>
    <row r="333" spans="1:11" x14ac:dyDescent="0.2">
      <c r="A333" s="23" t="s">
        <v>58</v>
      </c>
      <c r="B333" s="23" t="s">
        <v>74</v>
      </c>
      <c r="C333" s="23">
        <v>6.0999999999999999E-2</v>
      </c>
      <c r="D333" s="44">
        <v>2</v>
      </c>
      <c r="E333" s="21">
        <v>12764</v>
      </c>
      <c r="F333" s="21">
        <v>11560</v>
      </c>
      <c r="G333" s="18">
        <v>0.221</v>
      </c>
      <c r="H333" s="45" t="s">
        <v>131</v>
      </c>
      <c r="I333" s="23">
        <v>2005</v>
      </c>
      <c r="J333" s="26">
        <v>0.74</v>
      </c>
      <c r="K333" s="18" t="s">
        <v>71</v>
      </c>
    </row>
    <row r="334" spans="1:11" x14ac:dyDescent="0.2">
      <c r="A334" s="23" t="s">
        <v>58</v>
      </c>
      <c r="B334" s="23" t="s">
        <v>27</v>
      </c>
      <c r="C334" s="23">
        <v>5.8000000000000003E-2</v>
      </c>
      <c r="D334" s="44">
        <v>2</v>
      </c>
      <c r="E334" s="21">
        <v>2648</v>
      </c>
      <c r="F334" s="21">
        <v>1444</v>
      </c>
      <c r="G334" s="18">
        <v>2.8000000000000001E-2</v>
      </c>
      <c r="H334" s="18" t="s">
        <v>71</v>
      </c>
      <c r="I334" s="23">
        <v>7478</v>
      </c>
      <c r="J334" s="26">
        <v>2.77</v>
      </c>
      <c r="K334" s="45" t="s">
        <v>131</v>
      </c>
    </row>
    <row r="335" spans="1:11" x14ac:dyDescent="0.2">
      <c r="A335" s="23" t="s">
        <v>58</v>
      </c>
      <c r="B335" s="23" t="s">
        <v>112</v>
      </c>
      <c r="C335" s="23">
        <v>6.7000000000000004E-2</v>
      </c>
      <c r="D335" s="44">
        <v>2</v>
      </c>
      <c r="E335" s="21">
        <v>2168</v>
      </c>
      <c r="F335" s="21">
        <v>964</v>
      </c>
      <c r="G335" s="18">
        <v>1.7999999999999999E-2</v>
      </c>
      <c r="H335" s="18" t="s">
        <v>71</v>
      </c>
      <c r="I335" s="23">
        <v>2506</v>
      </c>
      <c r="J335" s="26">
        <v>0.93</v>
      </c>
      <c r="K335" s="18" t="s">
        <v>71</v>
      </c>
    </row>
    <row r="336" spans="1:11" x14ac:dyDescent="0.2">
      <c r="A336" s="23" t="s">
        <v>58</v>
      </c>
      <c r="B336" s="23" t="s">
        <v>127</v>
      </c>
      <c r="C336" s="23">
        <v>3.7999999999999999E-2</v>
      </c>
      <c r="D336" s="44">
        <v>2</v>
      </c>
      <c r="E336" s="21">
        <v>5285</v>
      </c>
      <c r="F336" s="21">
        <v>4081</v>
      </c>
      <c r="G336" s="18">
        <v>7.8E-2</v>
      </c>
      <c r="H336" s="45" t="s">
        <v>131</v>
      </c>
      <c r="I336" s="23">
        <v>2430</v>
      </c>
      <c r="J336" s="26">
        <v>0.9</v>
      </c>
      <c r="K336" s="18" t="s">
        <v>71</v>
      </c>
    </row>
    <row r="337" spans="1:11" x14ac:dyDescent="0.2">
      <c r="A337" s="23" t="s">
        <v>58</v>
      </c>
      <c r="B337" s="23" t="s">
        <v>60</v>
      </c>
      <c r="C337" s="23">
        <v>8.2000000000000003E-2</v>
      </c>
      <c r="D337" s="44">
        <v>2</v>
      </c>
      <c r="E337" s="21">
        <v>5821</v>
      </c>
      <c r="F337" s="21">
        <v>4617</v>
      </c>
      <c r="G337" s="18">
        <v>8.7999999999999995E-2</v>
      </c>
      <c r="H337" s="45" t="s">
        <v>131</v>
      </c>
      <c r="I337" s="23">
        <v>1551</v>
      </c>
      <c r="J337" s="26">
        <v>0.57999999999999996</v>
      </c>
      <c r="K337" s="18" t="s">
        <v>71</v>
      </c>
    </row>
    <row r="338" spans="1:11" x14ac:dyDescent="0.2">
      <c r="A338" s="23" t="s">
        <v>111</v>
      </c>
      <c r="B338" s="23" t="s">
        <v>74</v>
      </c>
      <c r="C338" s="23">
        <v>6.3E-2</v>
      </c>
      <c r="D338" s="44">
        <v>2</v>
      </c>
      <c r="E338" s="21">
        <v>1343</v>
      </c>
      <c r="F338" s="21">
        <v>139</v>
      </c>
      <c r="G338" s="18">
        <v>3.0000000000000001E-3</v>
      </c>
      <c r="H338" s="18" t="s">
        <v>71</v>
      </c>
      <c r="I338" s="23">
        <v>2963</v>
      </c>
      <c r="J338" s="26">
        <v>1.44</v>
      </c>
      <c r="K338" s="18" t="s">
        <v>71</v>
      </c>
    </row>
    <row r="339" spans="1:11" x14ac:dyDescent="0.2">
      <c r="A339" s="23" t="s">
        <v>125</v>
      </c>
      <c r="B339" s="23" t="s">
        <v>61</v>
      </c>
      <c r="C339" s="23">
        <v>2.7E-2</v>
      </c>
      <c r="D339" s="44">
        <v>2</v>
      </c>
      <c r="E339" s="21">
        <v>1265</v>
      </c>
      <c r="F339" s="21">
        <v>61</v>
      </c>
      <c r="G339" s="18">
        <v>1E-3</v>
      </c>
      <c r="H339" s="18" t="s">
        <v>71</v>
      </c>
      <c r="I339" s="23">
        <v>1169</v>
      </c>
      <c r="J339" s="26">
        <v>0.47</v>
      </c>
      <c r="K339" s="18" t="s">
        <v>71</v>
      </c>
    </row>
    <row r="340" spans="1:11" x14ac:dyDescent="0.2">
      <c r="A340" s="23" t="s">
        <v>109</v>
      </c>
      <c r="B340" s="23" t="s">
        <v>69</v>
      </c>
      <c r="C340" s="23">
        <v>3.2000000000000001E-2</v>
      </c>
      <c r="D340" s="44">
        <v>2</v>
      </c>
      <c r="E340" s="21">
        <v>11120</v>
      </c>
      <c r="F340" s="21">
        <v>9916</v>
      </c>
      <c r="G340" s="18">
        <v>0.19</v>
      </c>
      <c r="H340" s="45" t="s">
        <v>131</v>
      </c>
      <c r="I340" s="23">
        <v>1063</v>
      </c>
      <c r="J340" s="26">
        <v>0.81</v>
      </c>
      <c r="K340" s="18" t="s">
        <v>71</v>
      </c>
    </row>
    <row r="341" spans="1:11" x14ac:dyDescent="0.2">
      <c r="A341" s="23" t="s">
        <v>109</v>
      </c>
      <c r="B341" s="23" t="s">
        <v>74</v>
      </c>
      <c r="C341" s="23">
        <v>3.3000000000000002E-2</v>
      </c>
      <c r="D341" s="44">
        <v>2</v>
      </c>
      <c r="E341" s="21">
        <v>5283</v>
      </c>
      <c r="F341" s="21">
        <v>4079</v>
      </c>
      <c r="G341" s="18">
        <v>7.8E-2</v>
      </c>
      <c r="H341" s="45" t="s">
        <v>131</v>
      </c>
      <c r="I341" s="23">
        <v>758</v>
      </c>
      <c r="J341" s="26">
        <v>0.57999999999999996</v>
      </c>
      <c r="K341" s="18" t="s">
        <v>71</v>
      </c>
    </row>
    <row r="342" spans="1:11" x14ac:dyDescent="0.2">
      <c r="A342" s="23" t="s">
        <v>109</v>
      </c>
      <c r="B342" s="23" t="s">
        <v>25</v>
      </c>
      <c r="C342" s="23">
        <v>0.03</v>
      </c>
      <c r="D342" s="44">
        <v>2</v>
      </c>
      <c r="E342" s="21">
        <v>2333</v>
      </c>
      <c r="F342" s="21">
        <v>1129</v>
      </c>
      <c r="G342" s="18">
        <v>2.1999999999999999E-2</v>
      </c>
      <c r="H342" s="18" t="s">
        <v>71</v>
      </c>
      <c r="I342" s="23">
        <v>868</v>
      </c>
      <c r="J342" s="26">
        <v>0.75</v>
      </c>
      <c r="K342" s="18" t="s">
        <v>71</v>
      </c>
    </row>
    <row r="343" spans="1:11" x14ac:dyDescent="0.2">
      <c r="A343" s="23" t="s">
        <v>109</v>
      </c>
      <c r="B343" s="23" t="s">
        <v>56</v>
      </c>
      <c r="C343" s="23">
        <v>0.03</v>
      </c>
      <c r="D343" s="44">
        <v>1</v>
      </c>
      <c r="E343" s="21">
        <v>4939</v>
      </c>
      <c r="F343" s="21">
        <v>3735</v>
      </c>
      <c r="G343" s="18">
        <v>7.1999999999999995E-2</v>
      </c>
      <c r="H343" s="45" t="s">
        <v>131</v>
      </c>
      <c r="I343" s="23">
        <v>1042</v>
      </c>
      <c r="J343" s="26">
        <v>0.8</v>
      </c>
      <c r="K343" s="18" t="s">
        <v>71</v>
      </c>
    </row>
    <row r="344" spans="1:11" x14ac:dyDescent="0.2">
      <c r="A344" s="23" t="s">
        <v>29</v>
      </c>
      <c r="B344" s="23" t="s">
        <v>61</v>
      </c>
      <c r="C344" s="23">
        <v>4.4999999999999998E-2</v>
      </c>
      <c r="D344" s="44">
        <v>2</v>
      </c>
      <c r="E344" s="21">
        <v>4533</v>
      </c>
      <c r="F344" s="21">
        <v>3329</v>
      </c>
      <c r="G344" s="18">
        <v>6.4000000000000001E-2</v>
      </c>
      <c r="H344" s="45" t="s">
        <v>131</v>
      </c>
      <c r="I344" s="23">
        <v>1204</v>
      </c>
      <c r="J344" s="26">
        <v>0.83</v>
      </c>
      <c r="K344" s="18" t="s">
        <v>71</v>
      </c>
    </row>
    <row r="345" spans="1:11" x14ac:dyDescent="0.2">
      <c r="A345" s="23" t="s">
        <v>29</v>
      </c>
      <c r="B345" s="23" t="s">
        <v>96</v>
      </c>
      <c r="C345" s="23">
        <v>4.4999999999999998E-2</v>
      </c>
      <c r="D345" s="44">
        <v>2</v>
      </c>
      <c r="E345" s="21">
        <v>1376</v>
      </c>
      <c r="F345" s="21">
        <v>172</v>
      </c>
      <c r="G345" s="18">
        <v>3.0000000000000001E-3</v>
      </c>
      <c r="H345" s="18" t="s">
        <v>71</v>
      </c>
      <c r="I345" s="23">
        <v>1640</v>
      </c>
      <c r="J345" s="26">
        <v>0.64</v>
      </c>
      <c r="K345" s="18" t="s">
        <v>71</v>
      </c>
    </row>
    <row r="346" spans="1:11" x14ac:dyDescent="0.2">
      <c r="A346" s="23" t="s">
        <v>79</v>
      </c>
      <c r="B346" s="23" t="s">
        <v>110</v>
      </c>
      <c r="C346" s="23">
        <v>2.9000000000000001E-2</v>
      </c>
      <c r="D346" s="44">
        <v>2</v>
      </c>
      <c r="E346" s="21">
        <v>1275</v>
      </c>
      <c r="F346" s="21">
        <v>71</v>
      </c>
      <c r="G346" s="18">
        <v>1E-3</v>
      </c>
      <c r="H346" s="18" t="s">
        <v>71</v>
      </c>
      <c r="I346" s="23">
        <v>2983</v>
      </c>
      <c r="J346" s="26">
        <v>2.04</v>
      </c>
      <c r="K346" s="18" t="s">
        <v>71</v>
      </c>
    </row>
    <row r="347" spans="1:11" x14ac:dyDescent="0.2">
      <c r="A347" s="23" t="s">
        <v>82</v>
      </c>
      <c r="B347" s="23" t="s">
        <v>81</v>
      </c>
      <c r="C347" s="23">
        <v>2.7E-2</v>
      </c>
      <c r="D347" s="44">
        <v>1</v>
      </c>
      <c r="E347" s="21">
        <v>1224</v>
      </c>
      <c r="F347" s="21">
        <v>20</v>
      </c>
      <c r="G347" s="18">
        <v>0</v>
      </c>
      <c r="H347" s="18" t="s">
        <v>71</v>
      </c>
      <c r="I347" s="23">
        <v>1130</v>
      </c>
      <c r="J347" s="26">
        <v>0.87</v>
      </c>
      <c r="K347" s="18" t="s">
        <v>71</v>
      </c>
    </row>
    <row r="348" spans="1:11" x14ac:dyDescent="0.2">
      <c r="A348" s="23" t="s">
        <v>64</v>
      </c>
      <c r="B348" s="23" t="s">
        <v>64</v>
      </c>
      <c r="C348" s="23">
        <v>0.03</v>
      </c>
      <c r="D348" s="44">
        <v>2</v>
      </c>
      <c r="E348" s="21">
        <v>1241</v>
      </c>
      <c r="F348" s="21">
        <v>37</v>
      </c>
      <c r="G348" s="18">
        <v>1E-3</v>
      </c>
      <c r="H348" s="18" t="s">
        <v>71</v>
      </c>
      <c r="I348" s="23">
        <v>1736</v>
      </c>
      <c r="J348" s="26">
        <v>0.9</v>
      </c>
      <c r="K348" s="18" t="s">
        <v>71</v>
      </c>
    </row>
    <row r="349" spans="1:11" x14ac:dyDescent="0.2">
      <c r="A349" s="23" t="s">
        <v>39</v>
      </c>
      <c r="B349" s="23" t="s">
        <v>83</v>
      </c>
      <c r="C349" s="23">
        <v>3.3000000000000002E-2</v>
      </c>
      <c r="D349" s="44">
        <v>2</v>
      </c>
      <c r="E349" s="21">
        <v>1688</v>
      </c>
      <c r="F349" s="21">
        <v>688</v>
      </c>
      <c r="G349" s="18">
        <v>1.0999999999999999E-2</v>
      </c>
      <c r="H349" s="18" t="s">
        <v>71</v>
      </c>
      <c r="I349" s="23">
        <v>4016</v>
      </c>
      <c r="J349" s="26">
        <v>3.08</v>
      </c>
      <c r="K349" s="45" t="s">
        <v>131</v>
      </c>
    </row>
    <row r="350" spans="1:11" x14ac:dyDescent="0.2">
      <c r="A350" s="23" t="s">
        <v>39</v>
      </c>
      <c r="B350" s="23" t="s">
        <v>64</v>
      </c>
      <c r="C350" s="23">
        <v>3.3000000000000002E-2</v>
      </c>
      <c r="D350" s="44">
        <v>1</v>
      </c>
      <c r="E350" s="21">
        <v>1685</v>
      </c>
      <c r="F350" s="21">
        <v>685</v>
      </c>
      <c r="G350" s="18">
        <v>1.0999999999999999E-2</v>
      </c>
      <c r="H350" s="18" t="s">
        <v>71</v>
      </c>
      <c r="I350" s="23"/>
      <c r="J350" s="26"/>
      <c r="K350" s="23"/>
    </row>
    <row r="351" spans="1:11" x14ac:dyDescent="0.2">
      <c r="A351" s="23" t="s">
        <v>43</v>
      </c>
      <c r="B351" s="23" t="s">
        <v>117</v>
      </c>
      <c r="C351" s="23">
        <v>3.2000000000000001E-2</v>
      </c>
      <c r="D351" s="44">
        <v>1</v>
      </c>
      <c r="E351" s="21">
        <v>1286</v>
      </c>
      <c r="F351" s="21">
        <v>286</v>
      </c>
      <c r="G351" s="18">
        <v>5.0000000000000001E-3</v>
      </c>
      <c r="H351" s="18" t="s">
        <v>71</v>
      </c>
      <c r="I351" s="23">
        <v>2082</v>
      </c>
      <c r="J351" s="26">
        <v>1.55</v>
      </c>
      <c r="K351" s="18" t="s">
        <v>71</v>
      </c>
    </row>
    <row r="352" spans="1:11" x14ac:dyDescent="0.2">
      <c r="A352" s="23" t="s">
        <v>51</v>
      </c>
      <c r="B352" s="23" t="s">
        <v>98</v>
      </c>
      <c r="C352" s="23">
        <v>3.3000000000000002E-2</v>
      </c>
      <c r="D352" s="44">
        <v>2</v>
      </c>
      <c r="E352" s="21">
        <v>2168</v>
      </c>
      <c r="F352" s="21">
        <v>1168</v>
      </c>
      <c r="G352" s="18">
        <v>1.9E-2</v>
      </c>
      <c r="H352" s="18" t="s">
        <v>71</v>
      </c>
      <c r="I352" s="23">
        <v>690</v>
      </c>
      <c r="J352" s="26">
        <v>0.53</v>
      </c>
      <c r="K352" s="18" t="s">
        <v>71</v>
      </c>
    </row>
    <row r="353" spans="1:11" x14ac:dyDescent="0.2">
      <c r="A353" s="23" t="s">
        <v>69</v>
      </c>
      <c r="B353" s="23" t="s">
        <v>69</v>
      </c>
      <c r="C353" s="23">
        <v>9.7000000000000003E-2</v>
      </c>
      <c r="D353" s="44">
        <v>2</v>
      </c>
      <c r="E353" s="21">
        <v>5321</v>
      </c>
      <c r="F353" s="21">
        <v>4321</v>
      </c>
      <c r="G353" s="18">
        <v>7.0999999999999994E-2</v>
      </c>
      <c r="H353" s="45" t="s">
        <v>131</v>
      </c>
      <c r="I353" s="23">
        <v>12783</v>
      </c>
      <c r="J353" s="26">
        <v>9.8000000000000007</v>
      </c>
      <c r="K353" s="45" t="s">
        <v>131</v>
      </c>
    </row>
    <row r="354" spans="1:11" x14ac:dyDescent="0.2">
      <c r="A354" s="23" t="s">
        <v>98</v>
      </c>
      <c r="B354" s="23" t="s">
        <v>74</v>
      </c>
      <c r="C354" s="23">
        <v>2.9000000000000001E-2</v>
      </c>
      <c r="D354" s="44">
        <v>2</v>
      </c>
      <c r="E354" s="21">
        <v>1429</v>
      </c>
      <c r="F354" s="21">
        <v>429</v>
      </c>
      <c r="G354" s="18">
        <v>7.0000000000000001E-3</v>
      </c>
      <c r="H354" s="18" t="s">
        <v>71</v>
      </c>
      <c r="I354" s="23">
        <v>1424</v>
      </c>
      <c r="J354" s="26">
        <v>0.98</v>
      </c>
      <c r="K354" s="18" t="s">
        <v>71</v>
      </c>
    </row>
    <row r="355" spans="1:11" x14ac:dyDescent="0.2">
      <c r="A355" s="23" t="s">
        <v>98</v>
      </c>
      <c r="B355" s="23" t="s">
        <v>98</v>
      </c>
      <c r="C355" s="23">
        <v>5.5E-2</v>
      </c>
      <c r="D355" s="44">
        <v>2</v>
      </c>
      <c r="E355" s="21">
        <v>4966</v>
      </c>
      <c r="F355" s="21">
        <v>3966</v>
      </c>
      <c r="G355" s="18">
        <v>6.5000000000000002E-2</v>
      </c>
      <c r="H355" s="45" t="s">
        <v>131</v>
      </c>
      <c r="I355" s="23">
        <v>1147</v>
      </c>
      <c r="J355" s="26">
        <v>0.79</v>
      </c>
      <c r="K355" s="18" t="s">
        <v>71</v>
      </c>
    </row>
    <row r="356" spans="1:11" x14ac:dyDescent="0.2">
      <c r="A356" s="23" t="s">
        <v>98</v>
      </c>
      <c r="B356" s="23" t="s">
        <v>41</v>
      </c>
      <c r="C356" s="23">
        <v>3.1E-2</v>
      </c>
      <c r="D356" s="44">
        <v>1</v>
      </c>
      <c r="E356" s="21">
        <v>11134</v>
      </c>
      <c r="F356" s="21">
        <v>10134</v>
      </c>
      <c r="G356" s="18">
        <v>0.16600000000000001</v>
      </c>
      <c r="H356" s="45" t="s">
        <v>131</v>
      </c>
      <c r="I356" s="23">
        <v>2239</v>
      </c>
      <c r="J356" s="26">
        <v>1.1599999999999999</v>
      </c>
      <c r="K356" s="18" t="s">
        <v>71</v>
      </c>
    </row>
    <row r="357" spans="1:11" x14ac:dyDescent="0.2">
      <c r="A357" s="23" t="s">
        <v>32</v>
      </c>
      <c r="B357" s="23" t="s">
        <v>18</v>
      </c>
      <c r="C357" s="23">
        <v>2.8000000000000001E-2</v>
      </c>
      <c r="D357" s="44">
        <v>2</v>
      </c>
      <c r="E357" s="21">
        <v>1334</v>
      </c>
      <c r="F357" s="21">
        <v>334</v>
      </c>
      <c r="G357" s="18">
        <v>5.0000000000000001E-3</v>
      </c>
      <c r="H357" s="18" t="s">
        <v>71</v>
      </c>
      <c r="I357" s="23">
        <v>1689</v>
      </c>
      <c r="J357" s="26">
        <v>1.37</v>
      </c>
      <c r="K357" s="18" t="s">
        <v>71</v>
      </c>
    </row>
    <row r="358" spans="1:11" x14ac:dyDescent="0.2">
      <c r="A358" s="23" t="s">
        <v>32</v>
      </c>
      <c r="B358" s="23" t="s">
        <v>127</v>
      </c>
      <c r="C358" s="23">
        <v>0.03</v>
      </c>
      <c r="D358" s="44">
        <v>2</v>
      </c>
      <c r="E358" s="21">
        <v>1078</v>
      </c>
      <c r="F358" s="21">
        <v>78</v>
      </c>
      <c r="G358" s="18">
        <v>1E-3</v>
      </c>
      <c r="H358" s="18" t="s">
        <v>71</v>
      </c>
      <c r="I358" s="23">
        <v>1170</v>
      </c>
      <c r="J358" s="26">
        <v>0.95</v>
      </c>
      <c r="K358" s="18" t="s">
        <v>71</v>
      </c>
    </row>
    <row r="359" spans="1:11" x14ac:dyDescent="0.2">
      <c r="A359" s="23" t="s">
        <v>54</v>
      </c>
      <c r="B359" s="23" t="s">
        <v>97</v>
      </c>
      <c r="C359" s="23">
        <v>2.7E-2</v>
      </c>
      <c r="D359" s="44">
        <v>2</v>
      </c>
      <c r="E359" s="21">
        <v>2291</v>
      </c>
      <c r="F359" s="21">
        <v>1291</v>
      </c>
      <c r="G359" s="18">
        <v>2.1000000000000001E-2</v>
      </c>
      <c r="H359" s="18" t="s">
        <v>71</v>
      </c>
      <c r="I359" s="23">
        <v>2852</v>
      </c>
      <c r="J359" s="26">
        <v>1.39</v>
      </c>
      <c r="K359" s="18" t="s">
        <v>71</v>
      </c>
    </row>
    <row r="360" spans="1:11" x14ac:dyDescent="0.2">
      <c r="A360" s="23" t="s">
        <v>86</v>
      </c>
      <c r="B360" s="23" t="s">
        <v>115</v>
      </c>
      <c r="C360" s="23">
        <v>4.2000000000000003E-2</v>
      </c>
      <c r="D360" s="44">
        <v>2</v>
      </c>
      <c r="E360" s="21">
        <v>1301</v>
      </c>
      <c r="F360" s="21">
        <v>301</v>
      </c>
      <c r="G360" s="18">
        <v>5.0000000000000001E-3</v>
      </c>
      <c r="H360" s="18" t="s">
        <v>71</v>
      </c>
      <c r="I360" s="23">
        <v>1135</v>
      </c>
      <c r="J360" s="26">
        <v>0.87</v>
      </c>
      <c r="K360" s="18" t="s">
        <v>71</v>
      </c>
    </row>
    <row r="361" spans="1:11" x14ac:dyDescent="0.2">
      <c r="A361" s="23" t="s">
        <v>86</v>
      </c>
      <c r="B361" s="23" t="s">
        <v>69</v>
      </c>
      <c r="C361" s="23">
        <v>3.1E-2</v>
      </c>
      <c r="D361" s="44">
        <v>1</v>
      </c>
      <c r="E361" s="21">
        <v>1231</v>
      </c>
      <c r="F361" s="21">
        <v>231</v>
      </c>
      <c r="G361" s="18">
        <v>4.0000000000000001E-3</v>
      </c>
      <c r="H361" s="18" t="s">
        <v>71</v>
      </c>
      <c r="I361" s="23">
        <v>2236</v>
      </c>
      <c r="J361" s="26">
        <v>1.0900000000000001</v>
      </c>
      <c r="K361" s="18" t="s">
        <v>71</v>
      </c>
    </row>
    <row r="362" spans="1:11" x14ac:dyDescent="0.2">
      <c r="A362" s="23" t="s">
        <v>86</v>
      </c>
      <c r="B362" s="23" t="s">
        <v>85</v>
      </c>
      <c r="C362" s="23">
        <v>0.03</v>
      </c>
      <c r="D362" s="44">
        <v>2</v>
      </c>
      <c r="E362" s="21">
        <v>1388</v>
      </c>
      <c r="F362" s="21">
        <v>388</v>
      </c>
      <c r="G362" s="18">
        <v>6.0000000000000001E-3</v>
      </c>
      <c r="H362" s="18" t="s">
        <v>71</v>
      </c>
      <c r="I362" s="23">
        <v>1009</v>
      </c>
      <c r="J362" s="26">
        <v>0.82</v>
      </c>
      <c r="K362" s="18" t="s">
        <v>71</v>
      </c>
    </row>
    <row r="363" spans="1:11" x14ac:dyDescent="0.2">
      <c r="A363" s="23" t="s">
        <v>118</v>
      </c>
      <c r="B363" s="23" t="s">
        <v>118</v>
      </c>
      <c r="C363" s="23">
        <v>6.2E-2</v>
      </c>
      <c r="D363" s="44">
        <v>2</v>
      </c>
      <c r="E363" s="21">
        <v>1476</v>
      </c>
      <c r="F363" s="21">
        <v>476</v>
      </c>
      <c r="G363" s="18">
        <v>8.0000000000000002E-3</v>
      </c>
      <c r="H363" s="18" t="s">
        <v>71</v>
      </c>
      <c r="I363" s="23">
        <v>4507</v>
      </c>
      <c r="J363" s="26">
        <v>2.19</v>
      </c>
      <c r="K363" s="45" t="s">
        <v>131</v>
      </c>
    </row>
    <row r="364" spans="1:11" x14ac:dyDescent="0.2">
      <c r="A364" s="23" t="s">
        <v>118</v>
      </c>
      <c r="B364" s="23" t="s">
        <v>85</v>
      </c>
      <c r="C364" s="23">
        <v>2.9000000000000001E-2</v>
      </c>
      <c r="D364" s="44">
        <v>1</v>
      </c>
      <c r="E364" s="21">
        <v>1291</v>
      </c>
      <c r="F364" s="21">
        <v>291</v>
      </c>
      <c r="G364" s="18">
        <v>5.0000000000000001E-3</v>
      </c>
      <c r="H364" s="18" t="s">
        <v>71</v>
      </c>
      <c r="I364" s="23">
        <v>777</v>
      </c>
      <c r="J364" s="26">
        <v>0.63</v>
      </c>
      <c r="K364" s="18" t="s">
        <v>71</v>
      </c>
    </row>
    <row r="365" spans="1:11" x14ac:dyDescent="0.2">
      <c r="A365" s="23" t="s">
        <v>118</v>
      </c>
      <c r="B365" s="23" t="s">
        <v>91</v>
      </c>
      <c r="C365" s="23">
        <v>3.6999999999999998E-2</v>
      </c>
      <c r="D365" s="44">
        <v>1</v>
      </c>
      <c r="E365" s="21">
        <v>1394</v>
      </c>
      <c r="F365" s="21">
        <v>394</v>
      </c>
      <c r="G365" s="18">
        <v>6.0000000000000001E-3</v>
      </c>
      <c r="H365" s="18" t="s">
        <v>71</v>
      </c>
      <c r="I365" s="23">
        <v>14003</v>
      </c>
      <c r="J365" s="26">
        <v>6.81</v>
      </c>
      <c r="K365" s="45" t="s">
        <v>131</v>
      </c>
    </row>
    <row r="366" spans="1:11" x14ac:dyDescent="0.2">
      <c r="A366" s="23" t="s">
        <v>57</v>
      </c>
      <c r="B366" s="23" t="s">
        <v>122</v>
      </c>
      <c r="C366" s="23">
        <v>0.03</v>
      </c>
      <c r="D366" s="44">
        <v>2</v>
      </c>
      <c r="E366" s="21">
        <v>2845</v>
      </c>
      <c r="F366" s="21">
        <v>1845</v>
      </c>
      <c r="G366" s="18">
        <v>0.03</v>
      </c>
      <c r="H366" s="45" t="s">
        <v>131</v>
      </c>
      <c r="I366" s="23">
        <v>1517</v>
      </c>
      <c r="J366" s="26">
        <v>1.01</v>
      </c>
      <c r="K366" s="18" t="s">
        <v>71</v>
      </c>
    </row>
    <row r="367" spans="1:11" x14ac:dyDescent="0.2">
      <c r="A367" s="23" t="s">
        <v>57</v>
      </c>
      <c r="B367" s="23" t="s">
        <v>69</v>
      </c>
      <c r="C367" s="23">
        <v>2.9000000000000001E-2</v>
      </c>
      <c r="D367" s="44">
        <v>2</v>
      </c>
      <c r="E367" s="21">
        <v>5563</v>
      </c>
      <c r="F367" s="21">
        <v>4563</v>
      </c>
      <c r="G367" s="18">
        <v>7.4999999999999997E-2</v>
      </c>
      <c r="H367" s="45" t="s">
        <v>131</v>
      </c>
      <c r="I367" s="23">
        <v>2003</v>
      </c>
      <c r="J367" s="26">
        <v>1.34</v>
      </c>
      <c r="K367" s="18" t="s">
        <v>71</v>
      </c>
    </row>
    <row r="368" spans="1:11" x14ac:dyDescent="0.2">
      <c r="A368" s="23" t="s">
        <v>87</v>
      </c>
      <c r="B368" s="23" t="s">
        <v>63</v>
      </c>
      <c r="C368" s="23">
        <v>0.03</v>
      </c>
      <c r="D368" s="44">
        <v>2</v>
      </c>
      <c r="E368" s="21">
        <v>1773</v>
      </c>
      <c r="F368" s="21">
        <v>773</v>
      </c>
      <c r="G368" s="18">
        <v>1.2999999999999999E-2</v>
      </c>
      <c r="H368" s="18" t="s">
        <v>71</v>
      </c>
      <c r="I368" s="23">
        <v>4999</v>
      </c>
      <c r="J368" s="26">
        <v>2.4300000000000002</v>
      </c>
      <c r="K368" s="45" t="s">
        <v>131</v>
      </c>
    </row>
    <row r="369" spans="1:11" x14ac:dyDescent="0.2">
      <c r="A369" s="23" t="s">
        <v>83</v>
      </c>
      <c r="B369" s="23" t="s">
        <v>41</v>
      </c>
      <c r="C369" s="23">
        <v>2.9000000000000001E-2</v>
      </c>
      <c r="D369" s="44">
        <v>2</v>
      </c>
      <c r="E369" s="21">
        <v>9453</v>
      </c>
      <c r="F369" s="21">
        <v>8453</v>
      </c>
      <c r="G369" s="18">
        <v>0.13800000000000001</v>
      </c>
      <c r="H369" s="45" t="s">
        <v>131</v>
      </c>
      <c r="I369" s="23">
        <v>2367</v>
      </c>
      <c r="J369" s="26">
        <v>1.22</v>
      </c>
      <c r="K369" s="23"/>
    </row>
    <row r="370" spans="1:11" x14ac:dyDescent="0.2">
      <c r="A370" s="23" t="s">
        <v>104</v>
      </c>
      <c r="B370" s="23" t="s">
        <v>18</v>
      </c>
      <c r="C370" s="23">
        <v>5.0999999999999997E-2</v>
      </c>
      <c r="D370" s="44">
        <v>2</v>
      </c>
      <c r="E370" s="21">
        <v>1265</v>
      </c>
      <c r="F370" s="21">
        <v>265</v>
      </c>
      <c r="G370" s="18">
        <v>4.0000000000000001E-3</v>
      </c>
      <c r="H370" s="18" t="s">
        <v>71</v>
      </c>
      <c r="I370" s="23">
        <v>4595</v>
      </c>
      <c r="J370" s="26">
        <v>3.73</v>
      </c>
      <c r="K370" s="45" t="s">
        <v>131</v>
      </c>
    </row>
    <row r="371" spans="1:11" x14ac:dyDescent="0.2">
      <c r="A371" s="23" t="s">
        <v>104</v>
      </c>
      <c r="B371" s="23" t="s">
        <v>28</v>
      </c>
      <c r="C371" s="23">
        <v>5.6000000000000001E-2</v>
      </c>
      <c r="D371" s="44">
        <v>2</v>
      </c>
      <c r="E371" s="21">
        <v>1387</v>
      </c>
      <c r="F371" s="21">
        <v>387</v>
      </c>
      <c r="G371" s="18">
        <v>6.0000000000000001E-3</v>
      </c>
      <c r="H371" s="18" t="s">
        <v>71</v>
      </c>
      <c r="I371" s="23">
        <v>642</v>
      </c>
      <c r="J371" s="26">
        <v>0.49</v>
      </c>
      <c r="K371" s="18" t="s">
        <v>71</v>
      </c>
    </row>
    <row r="372" spans="1:11" x14ac:dyDescent="0.2">
      <c r="A372" s="23" t="s">
        <v>28</v>
      </c>
      <c r="B372" s="23" t="s">
        <v>39</v>
      </c>
      <c r="C372" s="23">
        <v>2.7E-2</v>
      </c>
      <c r="D372" s="44">
        <v>2</v>
      </c>
      <c r="E372" s="21">
        <v>1753</v>
      </c>
      <c r="F372" s="21">
        <v>753</v>
      </c>
      <c r="G372" s="18">
        <v>1.2E-2</v>
      </c>
      <c r="H372" s="18" t="s">
        <v>71</v>
      </c>
      <c r="I372" s="23"/>
      <c r="J372" s="26"/>
      <c r="K372" s="23"/>
    </row>
    <row r="373" spans="1:11" x14ac:dyDescent="0.2">
      <c r="A373" s="23" t="s">
        <v>28</v>
      </c>
      <c r="B373" s="23" t="s">
        <v>18</v>
      </c>
      <c r="C373" s="23">
        <v>0.03</v>
      </c>
      <c r="D373" s="44">
        <v>2</v>
      </c>
      <c r="E373" s="21">
        <v>1293</v>
      </c>
      <c r="F373" s="21">
        <v>293</v>
      </c>
      <c r="G373" s="18">
        <v>5.0000000000000001E-3</v>
      </c>
      <c r="H373" s="18" t="s">
        <v>71</v>
      </c>
      <c r="I373" s="23">
        <v>1046</v>
      </c>
      <c r="J373" s="26">
        <v>0.81</v>
      </c>
      <c r="K373" s="18" t="s">
        <v>71</v>
      </c>
    </row>
    <row r="374" spans="1:11" x14ac:dyDescent="0.2">
      <c r="A374" s="23" t="s">
        <v>28</v>
      </c>
      <c r="B374" s="23" t="s">
        <v>105</v>
      </c>
      <c r="C374" s="23">
        <v>3.6999999999999998E-2</v>
      </c>
      <c r="D374" s="44">
        <v>1</v>
      </c>
      <c r="E374" s="21">
        <v>1190</v>
      </c>
      <c r="F374" s="21">
        <v>190</v>
      </c>
      <c r="G374" s="18">
        <v>3.0000000000000001E-3</v>
      </c>
      <c r="H374" s="18" t="s">
        <v>71</v>
      </c>
      <c r="I374" s="23">
        <v>4038</v>
      </c>
      <c r="J374" s="26">
        <v>2.7</v>
      </c>
      <c r="K374" s="45" t="s">
        <v>131</v>
      </c>
    </row>
    <row r="375" spans="1:11" x14ac:dyDescent="0.2">
      <c r="A375" s="23" t="s">
        <v>28</v>
      </c>
      <c r="B375" s="23" t="s">
        <v>28</v>
      </c>
      <c r="C375" s="23">
        <v>0.10299999999999999</v>
      </c>
      <c r="D375" s="44">
        <v>2</v>
      </c>
      <c r="E375" s="21">
        <v>2525</v>
      </c>
      <c r="F375" s="21">
        <v>1525</v>
      </c>
      <c r="G375" s="18">
        <v>2.5000000000000001E-2</v>
      </c>
      <c r="H375" s="45" t="s">
        <v>131</v>
      </c>
      <c r="I375" s="23">
        <v>1319</v>
      </c>
      <c r="J375" s="26">
        <v>1.02</v>
      </c>
      <c r="K375" s="18" t="s">
        <v>71</v>
      </c>
    </row>
    <row r="376" spans="1:11" x14ac:dyDescent="0.2">
      <c r="A376" s="23" t="s">
        <v>28</v>
      </c>
      <c r="B376" s="23" t="s">
        <v>93</v>
      </c>
      <c r="C376" s="23">
        <v>0.127</v>
      </c>
      <c r="D376" s="44">
        <v>2</v>
      </c>
      <c r="E376" s="21">
        <v>1061</v>
      </c>
      <c r="F376" s="21">
        <v>61</v>
      </c>
      <c r="G376" s="18">
        <v>1E-3</v>
      </c>
      <c r="H376" s="18" t="s">
        <v>71</v>
      </c>
      <c r="I376" s="23">
        <v>1778</v>
      </c>
      <c r="J376" s="26">
        <v>0.92</v>
      </c>
      <c r="K376" s="18" t="s">
        <v>71</v>
      </c>
    </row>
    <row r="377" spans="1:11" x14ac:dyDescent="0.2">
      <c r="A377" s="23" t="s">
        <v>114</v>
      </c>
      <c r="B377" s="23" t="s">
        <v>18</v>
      </c>
      <c r="C377" s="23">
        <v>3.2000000000000001E-2</v>
      </c>
      <c r="D377" s="44">
        <v>2</v>
      </c>
      <c r="E377" s="21">
        <v>1241</v>
      </c>
      <c r="F377" s="21">
        <v>241</v>
      </c>
      <c r="G377" s="18">
        <v>4.0000000000000001E-3</v>
      </c>
      <c r="H377" s="18" t="s">
        <v>71</v>
      </c>
      <c r="I377" s="23">
        <v>1367</v>
      </c>
      <c r="J377" s="26">
        <v>1.05</v>
      </c>
      <c r="K377" s="18" t="s">
        <v>71</v>
      </c>
    </row>
    <row r="378" spans="1:11" x14ac:dyDescent="0.2">
      <c r="A378" s="23" t="s">
        <v>58</v>
      </c>
      <c r="B378" s="23" t="s">
        <v>18</v>
      </c>
      <c r="C378" s="23">
        <v>6.5000000000000002E-2</v>
      </c>
      <c r="D378" s="44">
        <v>2</v>
      </c>
      <c r="E378" s="21">
        <v>5821</v>
      </c>
      <c r="F378" s="21">
        <v>4821</v>
      </c>
      <c r="G378" s="18">
        <v>7.9000000000000001E-2</v>
      </c>
      <c r="H378" s="45" t="s">
        <v>131</v>
      </c>
      <c r="I378" s="23">
        <v>42806</v>
      </c>
      <c r="J378" s="26">
        <v>15.87</v>
      </c>
      <c r="K378" s="45" t="s">
        <v>131</v>
      </c>
    </row>
    <row r="379" spans="1:11" x14ac:dyDescent="0.2">
      <c r="A379" s="23" t="s">
        <v>58</v>
      </c>
      <c r="B379" s="23" t="s">
        <v>33</v>
      </c>
      <c r="C379" s="23">
        <v>3.3000000000000002E-2</v>
      </c>
      <c r="D379" s="44">
        <v>2</v>
      </c>
      <c r="E379" s="21">
        <v>3215</v>
      </c>
      <c r="F379" s="21">
        <v>2215</v>
      </c>
      <c r="G379" s="18">
        <v>3.5999999999999997E-2</v>
      </c>
      <c r="H379" s="45" t="s">
        <v>131</v>
      </c>
      <c r="I379" s="23">
        <v>1322</v>
      </c>
      <c r="J379" s="26">
        <v>0.88</v>
      </c>
      <c r="K379" s="18" t="s">
        <v>71</v>
      </c>
    </row>
    <row r="380" spans="1:11" x14ac:dyDescent="0.2">
      <c r="A380" s="23" t="s">
        <v>58</v>
      </c>
      <c r="B380" s="23" t="s">
        <v>57</v>
      </c>
      <c r="C380" s="23">
        <v>3.1E-2</v>
      </c>
      <c r="D380" s="44">
        <v>2</v>
      </c>
      <c r="E380" s="21">
        <v>10971</v>
      </c>
      <c r="F380" s="21">
        <v>9971</v>
      </c>
      <c r="G380" s="18">
        <v>0.16300000000000001</v>
      </c>
      <c r="H380" s="45" t="s">
        <v>131</v>
      </c>
      <c r="I380" s="23">
        <v>1316</v>
      </c>
      <c r="J380" s="26">
        <v>0.88</v>
      </c>
      <c r="K380" s="18" t="s">
        <v>71</v>
      </c>
    </row>
    <row r="381" spans="1:11" x14ac:dyDescent="0.2">
      <c r="A381" s="23" t="s">
        <v>58</v>
      </c>
      <c r="B381" s="23" t="s">
        <v>128</v>
      </c>
      <c r="C381" s="23">
        <v>2.7E-2</v>
      </c>
      <c r="D381" s="44">
        <v>2</v>
      </c>
      <c r="E381" s="21">
        <v>1782</v>
      </c>
      <c r="F381" s="21">
        <v>782</v>
      </c>
      <c r="G381" s="18">
        <v>1.2999999999999999E-2</v>
      </c>
      <c r="H381" s="18" t="s">
        <v>71</v>
      </c>
      <c r="I381" s="23">
        <v>1725</v>
      </c>
      <c r="J381" s="26">
        <v>0.67</v>
      </c>
      <c r="K381" s="18" t="s">
        <v>71</v>
      </c>
    </row>
    <row r="382" spans="1:11" x14ac:dyDescent="0.2">
      <c r="A382" s="23" t="s">
        <v>58</v>
      </c>
      <c r="B382" s="23" t="s">
        <v>58</v>
      </c>
      <c r="C382" s="23">
        <v>3.9E-2</v>
      </c>
      <c r="D382" s="44">
        <v>2</v>
      </c>
      <c r="E382" s="21">
        <v>51085</v>
      </c>
      <c r="F382" s="21">
        <v>50085</v>
      </c>
      <c r="G382" s="18">
        <v>0.81899999999999995</v>
      </c>
      <c r="H382" s="45" t="s">
        <v>131</v>
      </c>
      <c r="I382" s="23">
        <v>1725</v>
      </c>
      <c r="J382" s="26">
        <v>0.67</v>
      </c>
      <c r="K382" s="18" t="s">
        <v>71</v>
      </c>
    </row>
    <row r="383" spans="1:11" x14ac:dyDescent="0.2">
      <c r="A383" s="23" t="s">
        <v>58</v>
      </c>
      <c r="B383" s="23" t="s">
        <v>29</v>
      </c>
      <c r="C383" s="23">
        <v>3.7999999999999999E-2</v>
      </c>
      <c r="D383" s="44">
        <v>2</v>
      </c>
      <c r="E383" s="21">
        <v>29547</v>
      </c>
      <c r="F383" s="21">
        <v>28547</v>
      </c>
      <c r="G383" s="18">
        <v>0.46700000000000003</v>
      </c>
      <c r="H383" s="45" t="s">
        <v>131</v>
      </c>
      <c r="I383" s="23">
        <v>14756</v>
      </c>
      <c r="J383" s="26">
        <v>5.74</v>
      </c>
      <c r="K383" s="45" t="s">
        <v>131</v>
      </c>
    </row>
    <row r="384" spans="1:11" x14ac:dyDescent="0.2">
      <c r="A384" s="23" t="s">
        <v>58</v>
      </c>
      <c r="B384" s="23" t="s">
        <v>41</v>
      </c>
      <c r="C384" s="23">
        <v>3.1E-2</v>
      </c>
      <c r="D384" s="44">
        <v>2</v>
      </c>
      <c r="E384" s="21">
        <v>26731</v>
      </c>
      <c r="F384" s="21">
        <v>25731</v>
      </c>
      <c r="G384" s="18">
        <v>0.42099999999999999</v>
      </c>
      <c r="H384" s="45" t="s">
        <v>131</v>
      </c>
      <c r="I384" s="23">
        <v>2192</v>
      </c>
      <c r="J384" s="26">
        <v>1.1299999999999999</v>
      </c>
      <c r="K384" s="18" t="s">
        <v>71</v>
      </c>
    </row>
    <row r="385" spans="1:11" x14ac:dyDescent="0.2">
      <c r="A385" s="23" t="s">
        <v>109</v>
      </c>
      <c r="B385" s="23" t="s">
        <v>98</v>
      </c>
      <c r="C385" s="23">
        <v>2.9000000000000001E-2</v>
      </c>
      <c r="D385" s="44">
        <v>2</v>
      </c>
      <c r="E385" s="21">
        <v>11421</v>
      </c>
      <c r="F385" s="21">
        <v>10421</v>
      </c>
      <c r="G385" s="18">
        <v>0.17</v>
      </c>
      <c r="H385" s="45" t="s">
        <v>131</v>
      </c>
      <c r="I385" s="23">
        <v>916</v>
      </c>
      <c r="J385" s="26">
        <v>0.7</v>
      </c>
      <c r="K385" s="18" t="s">
        <v>71</v>
      </c>
    </row>
    <row r="386" spans="1:11" x14ac:dyDescent="0.2">
      <c r="A386" s="23" t="s">
        <v>29</v>
      </c>
      <c r="B386" s="23" t="s">
        <v>115</v>
      </c>
      <c r="C386" s="23">
        <v>3.3000000000000002E-2</v>
      </c>
      <c r="D386" s="44">
        <v>2</v>
      </c>
      <c r="E386" s="21">
        <v>2961</v>
      </c>
      <c r="F386" s="21">
        <v>1961</v>
      </c>
      <c r="G386" s="18">
        <v>3.2000000000000001E-2</v>
      </c>
      <c r="H386" s="45" t="s">
        <v>131</v>
      </c>
      <c r="I386" s="23">
        <v>1390</v>
      </c>
      <c r="J386" s="26">
        <v>0.54</v>
      </c>
      <c r="K386" s="18" t="s">
        <v>71</v>
      </c>
    </row>
    <row r="387" spans="1:11" x14ac:dyDescent="0.2">
      <c r="A387" s="23" t="s">
        <v>29</v>
      </c>
      <c r="B387" s="23" t="s">
        <v>18</v>
      </c>
      <c r="C387" s="23">
        <v>2.9000000000000001E-2</v>
      </c>
      <c r="D387" s="44">
        <v>2</v>
      </c>
      <c r="E387" s="21">
        <v>3378</v>
      </c>
      <c r="F387" s="21">
        <v>2378</v>
      </c>
      <c r="G387" s="18">
        <v>3.9E-2</v>
      </c>
      <c r="H387" s="45" t="s">
        <v>131</v>
      </c>
      <c r="I387" s="23">
        <v>6620</v>
      </c>
      <c r="J387" s="26">
        <v>2.57</v>
      </c>
      <c r="K387" s="18" t="s">
        <v>71</v>
      </c>
    </row>
    <row r="388" spans="1:11" x14ac:dyDescent="0.2">
      <c r="A388" s="23" t="s">
        <v>36</v>
      </c>
      <c r="B388" s="23" t="s">
        <v>126</v>
      </c>
      <c r="C388" s="23">
        <v>2.7E-2</v>
      </c>
      <c r="D388" s="44">
        <v>2</v>
      </c>
      <c r="E388" s="21">
        <v>1583</v>
      </c>
      <c r="F388" s="21">
        <v>583</v>
      </c>
      <c r="G388" s="18">
        <v>0.01</v>
      </c>
      <c r="H388" s="18" t="s">
        <v>71</v>
      </c>
      <c r="I388" s="23">
        <v>1704</v>
      </c>
      <c r="J388" s="26">
        <v>0.88</v>
      </c>
      <c r="K388" s="18" t="s">
        <v>71</v>
      </c>
    </row>
    <row r="389" spans="1:11" x14ac:dyDescent="0.2">
      <c r="A389" s="23" t="s">
        <v>81</v>
      </c>
      <c r="B389" s="23" t="s">
        <v>44</v>
      </c>
      <c r="C389" s="23">
        <v>2.8000000000000001E-2</v>
      </c>
      <c r="D389" s="44">
        <v>2</v>
      </c>
      <c r="E389" s="21">
        <v>1780</v>
      </c>
      <c r="F389" s="21">
        <v>780</v>
      </c>
      <c r="G389" s="18">
        <v>1.2999999999999999E-2</v>
      </c>
      <c r="H389" s="18" t="s">
        <v>71</v>
      </c>
      <c r="I389" s="23">
        <v>1154</v>
      </c>
      <c r="J389" s="26">
        <v>0.88</v>
      </c>
      <c r="K389" s="18" t="s">
        <v>71</v>
      </c>
    </row>
    <row r="390" spans="1:11" x14ac:dyDescent="0.2">
      <c r="A390" s="23" t="s">
        <v>81</v>
      </c>
      <c r="B390" s="23" t="s">
        <v>81</v>
      </c>
      <c r="C390" s="23">
        <v>3.2000000000000001E-2</v>
      </c>
      <c r="D390" s="44">
        <v>2</v>
      </c>
      <c r="E390" s="21">
        <v>1431</v>
      </c>
      <c r="F390" s="21">
        <v>431</v>
      </c>
      <c r="G390" s="18">
        <v>7.0000000000000001E-3</v>
      </c>
      <c r="H390" s="18" t="s">
        <v>71</v>
      </c>
      <c r="I390" s="23">
        <v>2698</v>
      </c>
      <c r="J390" s="26">
        <v>2.08</v>
      </c>
      <c r="K390" s="45" t="s">
        <v>131</v>
      </c>
    </row>
    <row r="391" spans="1:11" x14ac:dyDescent="0.2">
      <c r="A391" s="23" t="s">
        <v>122</v>
      </c>
      <c r="B391" s="23" t="s">
        <v>122</v>
      </c>
      <c r="C391" s="23">
        <v>5.8999999999999997E-2</v>
      </c>
      <c r="D391" s="44">
        <v>2</v>
      </c>
      <c r="E391" s="21">
        <v>2163</v>
      </c>
      <c r="F391" s="21">
        <v>1141</v>
      </c>
      <c r="G391" s="18">
        <v>2.7E-2</v>
      </c>
      <c r="H391" s="18" t="s">
        <v>71</v>
      </c>
      <c r="I391" s="23">
        <v>3087</v>
      </c>
      <c r="J391" s="26">
        <v>2.06</v>
      </c>
      <c r="K391" s="18" t="s">
        <v>71</v>
      </c>
    </row>
    <row r="392" spans="1:11" x14ac:dyDescent="0.2">
      <c r="A392" s="23" t="s">
        <v>117</v>
      </c>
      <c r="B392" s="23" t="s">
        <v>95</v>
      </c>
      <c r="C392" s="23">
        <v>3.4000000000000002E-2</v>
      </c>
      <c r="D392" s="44">
        <v>2</v>
      </c>
      <c r="E392" s="21">
        <v>687</v>
      </c>
      <c r="F392" s="21">
        <v>-102</v>
      </c>
      <c r="G392" s="18">
        <v>-2E-3</v>
      </c>
      <c r="H392" s="18" t="s">
        <v>71</v>
      </c>
      <c r="I392" s="23">
        <v>19902</v>
      </c>
      <c r="J392" s="26">
        <v>8.02</v>
      </c>
      <c r="K392" s="45" t="s">
        <v>131</v>
      </c>
    </row>
    <row r="393" spans="1:11" x14ac:dyDescent="0.2">
      <c r="A393" s="23" t="s">
        <v>117</v>
      </c>
      <c r="B393" s="23" t="s">
        <v>37</v>
      </c>
      <c r="C393" s="23">
        <v>3.2000000000000001E-2</v>
      </c>
      <c r="D393" s="44">
        <v>2</v>
      </c>
      <c r="E393" s="21">
        <v>850</v>
      </c>
      <c r="F393" s="21">
        <v>61</v>
      </c>
      <c r="G393" s="18">
        <v>1E-3</v>
      </c>
      <c r="H393" s="18" t="s">
        <v>71</v>
      </c>
      <c r="I393" s="23">
        <v>7803</v>
      </c>
      <c r="J393" s="26">
        <v>3.14</v>
      </c>
      <c r="K393" s="45" t="s">
        <v>131</v>
      </c>
    </row>
    <row r="394" spans="1:11" x14ac:dyDescent="0.2">
      <c r="A394" s="23" t="s">
        <v>18</v>
      </c>
      <c r="B394" s="23" t="s">
        <v>122</v>
      </c>
      <c r="C394" s="23">
        <v>3.3000000000000002E-2</v>
      </c>
      <c r="D394" s="44">
        <v>2</v>
      </c>
      <c r="E394" s="21">
        <v>1150</v>
      </c>
      <c r="F394" s="21">
        <v>361</v>
      </c>
      <c r="G394" s="18">
        <v>8.0000000000000002E-3</v>
      </c>
      <c r="H394" s="18" t="s">
        <v>71</v>
      </c>
      <c r="I394" s="23">
        <v>4358</v>
      </c>
      <c r="J394" s="26">
        <v>2.91</v>
      </c>
      <c r="K394" s="45" t="s">
        <v>131</v>
      </c>
    </row>
    <row r="395" spans="1:11" x14ac:dyDescent="0.2">
      <c r="A395" s="23" t="s">
        <v>129</v>
      </c>
      <c r="B395" s="23" t="s">
        <v>129</v>
      </c>
      <c r="C395" s="23">
        <v>4.5999999999999999E-2</v>
      </c>
      <c r="D395" s="44">
        <v>2</v>
      </c>
      <c r="E395" s="21">
        <v>10162</v>
      </c>
      <c r="F395" s="21">
        <v>9373</v>
      </c>
      <c r="G395" s="18">
        <v>0.221</v>
      </c>
      <c r="H395" s="45" t="s">
        <v>131</v>
      </c>
      <c r="I395" s="23">
        <v>5379</v>
      </c>
      <c r="J395" s="26">
        <v>2.17</v>
      </c>
      <c r="K395" s="18" t="s">
        <v>71</v>
      </c>
    </row>
    <row r="396" spans="1:11" x14ac:dyDescent="0.2">
      <c r="A396" s="23" t="s">
        <v>32</v>
      </c>
      <c r="B396" s="23" t="s">
        <v>130</v>
      </c>
      <c r="C396" s="23">
        <v>2.7E-2</v>
      </c>
      <c r="D396" s="44">
        <v>1</v>
      </c>
      <c r="E396" s="21">
        <v>656</v>
      </c>
      <c r="F396" s="21">
        <v>-133</v>
      </c>
      <c r="G396" s="18">
        <v>-3.0000000000000001E-3</v>
      </c>
      <c r="H396" s="18" t="s">
        <v>71</v>
      </c>
      <c r="I396" s="23">
        <v>645</v>
      </c>
      <c r="J396" s="26">
        <v>0.44</v>
      </c>
      <c r="K396" s="18" t="s">
        <v>71</v>
      </c>
    </row>
    <row r="397" spans="1:11" x14ac:dyDescent="0.2">
      <c r="A397" s="23" t="s">
        <v>99</v>
      </c>
      <c r="B397" s="23" t="s">
        <v>129</v>
      </c>
      <c r="C397" s="23">
        <v>3.4000000000000002E-2</v>
      </c>
      <c r="D397" s="44">
        <v>2</v>
      </c>
      <c r="E397" s="21">
        <v>4962</v>
      </c>
      <c r="F397" s="21">
        <v>4173</v>
      </c>
      <c r="G397" s="18">
        <v>9.8000000000000004E-2</v>
      </c>
      <c r="H397" s="45" t="s">
        <v>131</v>
      </c>
      <c r="I397" s="23">
        <v>1448</v>
      </c>
      <c r="J397" s="26">
        <v>0.57999999999999996</v>
      </c>
      <c r="K397" s="18" t="s">
        <v>71</v>
      </c>
    </row>
    <row r="398" spans="1:11" x14ac:dyDescent="0.2">
      <c r="A398" s="23" t="s">
        <v>84</v>
      </c>
      <c r="B398" s="23" t="s">
        <v>129</v>
      </c>
      <c r="C398" s="23">
        <v>3.5000000000000003E-2</v>
      </c>
      <c r="D398" s="44">
        <v>2</v>
      </c>
      <c r="E398" s="21">
        <v>2186</v>
      </c>
      <c r="F398" s="21">
        <v>1397</v>
      </c>
      <c r="G398" s="18">
        <v>3.3000000000000002E-2</v>
      </c>
      <c r="H398" s="18" t="s">
        <v>71</v>
      </c>
      <c r="I398" s="23">
        <v>2956</v>
      </c>
      <c r="J398" s="26">
        <v>1.19</v>
      </c>
      <c r="K398" s="18" t="s">
        <v>71</v>
      </c>
    </row>
    <row r="399" spans="1:11" x14ac:dyDescent="0.2">
      <c r="A399" s="23" t="s">
        <v>84</v>
      </c>
      <c r="B399" s="23" t="s">
        <v>25</v>
      </c>
      <c r="C399" s="23">
        <v>4.7E-2</v>
      </c>
      <c r="D399" s="44">
        <v>1</v>
      </c>
      <c r="E399" s="21">
        <v>724</v>
      </c>
      <c r="F399" s="21">
        <v>-65</v>
      </c>
      <c r="G399" s="18">
        <v>-2E-3</v>
      </c>
      <c r="H399" s="18" t="s">
        <v>71</v>
      </c>
      <c r="I399" s="23">
        <v>3105</v>
      </c>
      <c r="J399" s="26">
        <v>1.51</v>
      </c>
      <c r="K399" s="45" t="s">
        <v>131</v>
      </c>
    </row>
    <row r="400" spans="1:11" x14ac:dyDescent="0.2">
      <c r="A400" s="23" t="s">
        <v>84</v>
      </c>
      <c r="B400" s="23" t="s">
        <v>83</v>
      </c>
      <c r="C400" s="23">
        <v>3.5000000000000003E-2</v>
      </c>
      <c r="D400" s="44">
        <v>1</v>
      </c>
      <c r="E400" s="21">
        <v>698</v>
      </c>
      <c r="F400" s="21">
        <v>-91</v>
      </c>
      <c r="G400" s="18">
        <v>-2E-3</v>
      </c>
      <c r="H400" s="18" t="s">
        <v>71</v>
      </c>
      <c r="I400" s="23">
        <v>8002</v>
      </c>
      <c r="J400" s="26">
        <v>3.89</v>
      </c>
      <c r="K400" s="45" t="s">
        <v>131</v>
      </c>
    </row>
    <row r="401" spans="1:11" x14ac:dyDescent="0.2">
      <c r="A401" s="23" t="s">
        <v>128</v>
      </c>
      <c r="B401" s="23" t="s">
        <v>64</v>
      </c>
      <c r="C401" s="23">
        <v>3.9E-2</v>
      </c>
      <c r="D401" s="44">
        <v>1</v>
      </c>
      <c r="E401" s="21">
        <v>574</v>
      </c>
      <c r="F401" s="21">
        <v>-215</v>
      </c>
      <c r="G401" s="18">
        <v>-5.0000000000000001E-3</v>
      </c>
      <c r="H401" s="18" t="s">
        <v>71</v>
      </c>
      <c r="I401" s="23">
        <v>1189</v>
      </c>
      <c r="J401" s="26">
        <v>0.46</v>
      </c>
      <c r="K401" s="18" t="s">
        <v>71</v>
      </c>
    </row>
    <row r="402" spans="1:11" x14ac:dyDescent="0.2">
      <c r="A402" s="23" t="s">
        <v>85</v>
      </c>
      <c r="B402" s="23" t="s">
        <v>85</v>
      </c>
      <c r="C402" s="23">
        <v>0.124</v>
      </c>
      <c r="D402" s="44">
        <v>2</v>
      </c>
      <c r="E402" s="21">
        <v>1675</v>
      </c>
      <c r="F402" s="21">
        <v>886</v>
      </c>
      <c r="G402" s="18">
        <v>2.1000000000000001E-2</v>
      </c>
      <c r="H402" s="18" t="s">
        <v>71</v>
      </c>
      <c r="I402" s="23">
        <v>2268</v>
      </c>
      <c r="J402" s="26">
        <v>1.84</v>
      </c>
      <c r="K402" s="45" t="s">
        <v>131</v>
      </c>
    </row>
    <row r="403" spans="1:11" x14ac:dyDescent="0.2">
      <c r="A403" s="23" t="s">
        <v>102</v>
      </c>
      <c r="B403" s="23" t="s">
        <v>79</v>
      </c>
      <c r="C403" s="23">
        <v>3.7999999999999999E-2</v>
      </c>
      <c r="D403" s="44">
        <v>2</v>
      </c>
      <c r="E403" s="21">
        <v>926</v>
      </c>
      <c r="F403" s="21">
        <v>137</v>
      </c>
      <c r="G403" s="18">
        <v>3.0000000000000001E-3</v>
      </c>
      <c r="H403" s="18" t="s">
        <v>71</v>
      </c>
      <c r="I403" s="23">
        <v>1588</v>
      </c>
      <c r="J403" s="26">
        <v>1.0900000000000001</v>
      </c>
      <c r="K403" s="18" t="s">
        <v>71</v>
      </c>
    </row>
    <row r="404" spans="1:11" x14ac:dyDescent="0.2">
      <c r="A404" s="23" t="s">
        <v>108</v>
      </c>
      <c r="B404" s="23" t="s">
        <v>49</v>
      </c>
      <c r="C404" s="23">
        <v>3.8300000000000001E-2</v>
      </c>
      <c r="D404" s="44">
        <v>2</v>
      </c>
      <c r="E404" s="21">
        <v>689</v>
      </c>
      <c r="F404" s="21">
        <v>-100</v>
      </c>
      <c r="G404" s="18">
        <v>-2E-3</v>
      </c>
      <c r="H404" s="18" t="s">
        <v>71</v>
      </c>
      <c r="I404" s="23">
        <v>1971</v>
      </c>
      <c r="J404" s="26">
        <v>0.44</v>
      </c>
      <c r="K404" s="18" t="s">
        <v>71</v>
      </c>
    </row>
    <row r="405" spans="1:11" x14ac:dyDescent="0.2">
      <c r="A405" s="23" t="s">
        <v>108</v>
      </c>
      <c r="B405" s="23" t="s">
        <v>61</v>
      </c>
      <c r="C405" s="23">
        <v>4.9799999999999997E-2</v>
      </c>
      <c r="D405" s="44">
        <v>2</v>
      </c>
      <c r="E405" s="21">
        <v>1224</v>
      </c>
      <c r="F405" s="21">
        <v>435</v>
      </c>
      <c r="G405" s="18">
        <v>0.01</v>
      </c>
      <c r="H405" s="18" t="s">
        <v>71</v>
      </c>
      <c r="I405" s="23"/>
      <c r="J405" s="26"/>
      <c r="K405" s="23"/>
    </row>
    <row r="406" spans="1:11" x14ac:dyDescent="0.2">
      <c r="A406" s="23" t="s">
        <v>104</v>
      </c>
      <c r="B406" s="23" t="s">
        <v>90</v>
      </c>
      <c r="C406" s="23">
        <v>3.5000000000000003E-2</v>
      </c>
      <c r="D406" s="44">
        <v>2</v>
      </c>
      <c r="E406" s="21">
        <v>908</v>
      </c>
      <c r="F406" s="21">
        <v>119</v>
      </c>
      <c r="G406" s="18">
        <v>3.0000000000000001E-3</v>
      </c>
      <c r="H406" s="18" t="s">
        <v>71</v>
      </c>
      <c r="I406" s="23">
        <v>1847</v>
      </c>
      <c r="J406" s="26">
        <v>1.27</v>
      </c>
      <c r="K406" s="18" t="s">
        <v>71</v>
      </c>
    </row>
    <row r="407" spans="1:11" x14ac:dyDescent="0.2">
      <c r="A407" s="23" t="s">
        <v>58</v>
      </c>
      <c r="B407" s="23" t="s">
        <v>50</v>
      </c>
      <c r="C407" s="23">
        <v>3.1E-2</v>
      </c>
      <c r="D407" s="44">
        <v>2</v>
      </c>
      <c r="E407" s="21">
        <v>16972</v>
      </c>
      <c r="F407" s="21">
        <v>16183</v>
      </c>
      <c r="G407" s="18">
        <v>0.38100000000000001</v>
      </c>
      <c r="H407" s="45" t="s">
        <v>131</v>
      </c>
      <c r="I407" s="23">
        <v>5716</v>
      </c>
      <c r="J407" s="26">
        <v>2.2999999999999998</v>
      </c>
      <c r="K407" s="18" t="s">
        <v>71</v>
      </c>
    </row>
    <row r="408" spans="1:11" x14ac:dyDescent="0.2">
      <c r="A408" s="23" t="s">
        <v>58</v>
      </c>
      <c r="B408" s="23" t="s">
        <v>32</v>
      </c>
      <c r="C408" s="23">
        <v>3.1E-2</v>
      </c>
      <c r="D408" s="44">
        <v>2</v>
      </c>
      <c r="E408" s="21">
        <v>14615</v>
      </c>
      <c r="F408" s="21">
        <v>13826</v>
      </c>
      <c r="G408" s="18">
        <v>0.32500000000000001</v>
      </c>
      <c r="H408" s="45" t="s">
        <v>131</v>
      </c>
      <c r="I408" s="23">
        <v>967</v>
      </c>
      <c r="J408" s="26">
        <v>0.36</v>
      </c>
      <c r="K408" s="18" t="s">
        <v>71</v>
      </c>
    </row>
    <row r="409" spans="1:11" x14ac:dyDescent="0.2">
      <c r="A409" s="23" t="s">
        <v>109</v>
      </c>
      <c r="B409" s="23" t="s">
        <v>39</v>
      </c>
      <c r="C409" s="23">
        <v>3.5999999999999997E-2</v>
      </c>
      <c r="D409" s="44">
        <v>2</v>
      </c>
      <c r="E409" s="21">
        <v>5995</v>
      </c>
      <c r="F409" s="21">
        <v>5206</v>
      </c>
      <c r="G409" s="18">
        <v>0.122</v>
      </c>
      <c r="H409" s="45" t="s">
        <v>131</v>
      </c>
      <c r="I409" s="23"/>
      <c r="J409" s="26"/>
      <c r="K409" s="23"/>
    </row>
    <row r="410" spans="1:11" x14ac:dyDescent="0.2">
      <c r="A410" s="23" t="s">
        <v>109</v>
      </c>
      <c r="B410" s="23" t="s">
        <v>48</v>
      </c>
      <c r="C410" s="23">
        <v>2.7E-2</v>
      </c>
      <c r="D410" s="44">
        <v>2</v>
      </c>
      <c r="E410" s="21">
        <v>4903</v>
      </c>
      <c r="F410" s="21">
        <v>4114</v>
      </c>
      <c r="G410" s="18">
        <v>9.7000000000000003E-2</v>
      </c>
      <c r="H410" s="45" t="s">
        <v>131</v>
      </c>
      <c r="I410" s="23">
        <v>1434</v>
      </c>
      <c r="J410" s="26">
        <v>1.1000000000000001</v>
      </c>
      <c r="K410" s="18" t="s">
        <v>71</v>
      </c>
    </row>
    <row r="411" spans="1:11" x14ac:dyDescent="0.2">
      <c r="A411" s="23" t="s">
        <v>109</v>
      </c>
      <c r="B411" s="23" t="s">
        <v>45</v>
      </c>
      <c r="C411" s="23">
        <v>6.9000000000000006E-2</v>
      </c>
      <c r="D411" s="44">
        <v>2</v>
      </c>
      <c r="E411" s="21">
        <v>2334</v>
      </c>
      <c r="F411" s="21">
        <v>1545</v>
      </c>
      <c r="G411" s="18">
        <v>3.5999999999999997E-2</v>
      </c>
      <c r="H411" s="18" t="s">
        <v>71</v>
      </c>
      <c r="I411" s="23">
        <v>2426</v>
      </c>
      <c r="J411" s="26">
        <v>1.66</v>
      </c>
      <c r="K411" s="18" t="s">
        <v>71</v>
      </c>
    </row>
    <row r="412" spans="1:11" x14ac:dyDescent="0.2">
      <c r="A412" s="23" t="s">
        <v>109</v>
      </c>
      <c r="B412" s="23" t="s">
        <v>87</v>
      </c>
      <c r="C412" s="23">
        <v>5.0999999999999997E-2</v>
      </c>
      <c r="D412" s="44">
        <v>2</v>
      </c>
      <c r="E412" s="21">
        <v>5561</v>
      </c>
      <c r="F412" s="21">
        <v>4772</v>
      </c>
      <c r="G412" s="18">
        <v>0.112</v>
      </c>
      <c r="H412" s="45" t="s">
        <v>131</v>
      </c>
      <c r="I412" s="23">
        <v>5921</v>
      </c>
      <c r="J412" s="26">
        <v>2.88</v>
      </c>
      <c r="K412" s="45" t="s">
        <v>131</v>
      </c>
    </row>
    <row r="413" spans="1:11" x14ac:dyDescent="0.2">
      <c r="A413" s="23" t="s">
        <v>109</v>
      </c>
      <c r="B413" s="23" t="s">
        <v>95</v>
      </c>
      <c r="C413" s="23">
        <v>2.7E-2</v>
      </c>
      <c r="D413" s="44">
        <v>2</v>
      </c>
      <c r="E413" s="21">
        <v>6685</v>
      </c>
      <c r="F413" s="21">
        <v>5896</v>
      </c>
      <c r="G413" s="18">
        <v>0.13900000000000001</v>
      </c>
      <c r="H413" s="45" t="s">
        <v>131</v>
      </c>
      <c r="I413" s="23">
        <v>985</v>
      </c>
      <c r="J413" s="26">
        <v>0.75</v>
      </c>
      <c r="K413" s="18" t="s">
        <v>71</v>
      </c>
    </row>
    <row r="414" spans="1:11" x14ac:dyDescent="0.2">
      <c r="A414" s="23" t="s">
        <v>29</v>
      </c>
      <c r="B414" s="23" t="s">
        <v>122</v>
      </c>
      <c r="C414" s="23">
        <v>0.03</v>
      </c>
      <c r="D414" s="44">
        <v>2</v>
      </c>
      <c r="E414" s="21">
        <v>5930</v>
      </c>
      <c r="F414" s="21">
        <v>5141</v>
      </c>
      <c r="G414" s="18">
        <v>0.121</v>
      </c>
      <c r="H414" s="45" t="s">
        <v>131</v>
      </c>
      <c r="I414" s="23">
        <v>4328</v>
      </c>
      <c r="J414" s="26">
        <v>2.89</v>
      </c>
      <c r="K414" s="45" t="s">
        <v>131</v>
      </c>
    </row>
    <row r="415" spans="1:11" x14ac:dyDescent="0.2">
      <c r="A415" s="23" t="s">
        <v>29</v>
      </c>
      <c r="B415" s="23" t="s">
        <v>84</v>
      </c>
      <c r="C415" s="23">
        <v>3.4000000000000002E-2</v>
      </c>
      <c r="D415" s="44">
        <v>2</v>
      </c>
      <c r="E415" s="21">
        <v>2427</v>
      </c>
      <c r="F415" s="21">
        <v>1638</v>
      </c>
      <c r="G415" s="18">
        <v>3.9E-2</v>
      </c>
      <c r="H415" s="45" t="s">
        <v>131</v>
      </c>
      <c r="I415" s="23">
        <v>5898</v>
      </c>
      <c r="J415" s="26">
        <v>2.87</v>
      </c>
      <c r="K415" s="45" t="s">
        <v>131</v>
      </c>
    </row>
    <row r="416" spans="1:11" x14ac:dyDescent="0.2">
      <c r="A416" s="23" t="s">
        <v>95</v>
      </c>
      <c r="B416" s="23" t="s">
        <v>121</v>
      </c>
      <c r="C416" s="23">
        <v>3.5999999999999997E-2</v>
      </c>
      <c r="D416" s="44">
        <v>1</v>
      </c>
      <c r="E416" s="21">
        <v>991</v>
      </c>
      <c r="F416" s="21">
        <v>202</v>
      </c>
      <c r="G416" s="18">
        <v>5.0000000000000001E-3</v>
      </c>
      <c r="H416" s="18" t="s">
        <v>71</v>
      </c>
      <c r="I416" s="23">
        <v>1069</v>
      </c>
      <c r="J416" s="26">
        <v>0.71</v>
      </c>
      <c r="K416" s="18" t="s">
        <v>71</v>
      </c>
    </row>
    <row r="417" spans="1:11" x14ac:dyDescent="0.2">
      <c r="A417" s="23" t="s">
        <v>91</v>
      </c>
      <c r="B417" s="23" t="s">
        <v>33</v>
      </c>
      <c r="C417" s="23">
        <v>4.2999999999999997E-2</v>
      </c>
      <c r="D417" s="44">
        <v>1</v>
      </c>
      <c r="E417" s="21">
        <v>741</v>
      </c>
      <c r="F417" s="21">
        <v>-48</v>
      </c>
      <c r="G417" s="18">
        <v>-1E-3</v>
      </c>
      <c r="H417" s="18" t="s">
        <v>71</v>
      </c>
      <c r="I417" s="23">
        <v>1103</v>
      </c>
      <c r="J417" s="26">
        <v>0.76</v>
      </c>
      <c r="K417" s="18" t="s">
        <v>71</v>
      </c>
    </row>
    <row r="418" spans="1:11" x14ac:dyDescent="0.2">
      <c r="A418" s="23" t="s">
        <v>36</v>
      </c>
      <c r="B418" s="23" t="s">
        <v>95</v>
      </c>
      <c r="C418" s="23">
        <v>3.2000000000000001E-2</v>
      </c>
      <c r="D418" s="44">
        <v>2</v>
      </c>
      <c r="E418" s="21">
        <v>1930</v>
      </c>
      <c r="F418" s="21">
        <v>1141</v>
      </c>
      <c r="G418" s="18">
        <v>2.7E-2</v>
      </c>
      <c r="H418" s="18" t="s">
        <v>71</v>
      </c>
      <c r="I418" s="23">
        <v>1683</v>
      </c>
      <c r="J418" s="26">
        <v>0.87</v>
      </c>
      <c r="K418" s="18" t="s">
        <v>71</v>
      </c>
    </row>
    <row r="419" spans="1:11" x14ac:dyDescent="0.2">
      <c r="A419" s="23" t="s">
        <v>77</v>
      </c>
      <c r="B419" s="23" t="s">
        <v>69</v>
      </c>
      <c r="C419" s="23">
        <v>4.2000000000000003E-2</v>
      </c>
      <c r="D419" s="44">
        <v>1</v>
      </c>
      <c r="E419" s="21">
        <v>3079</v>
      </c>
      <c r="F419" s="21">
        <v>2290</v>
      </c>
      <c r="G419" s="18">
        <v>5.3999999999999999E-2</v>
      </c>
      <c r="H419" s="45" t="s">
        <v>131</v>
      </c>
      <c r="I419" s="23">
        <v>2048</v>
      </c>
      <c r="J419" s="26">
        <v>1.06</v>
      </c>
      <c r="K419" s="18" t="s">
        <v>71</v>
      </c>
    </row>
    <row r="420" spans="1:11" x14ac:dyDescent="0.2">
      <c r="A420" s="23" t="s">
        <v>77</v>
      </c>
      <c r="B420" s="23" t="s">
        <v>30</v>
      </c>
      <c r="C420" s="23">
        <v>3.2000000000000001E-2</v>
      </c>
      <c r="D420" s="44">
        <v>2</v>
      </c>
      <c r="E420" s="21">
        <v>1366</v>
      </c>
      <c r="F420" s="21">
        <v>577</v>
      </c>
      <c r="G420" s="18">
        <v>1.4E-2</v>
      </c>
      <c r="H420" s="18" t="s">
        <v>71</v>
      </c>
      <c r="I420" s="23">
        <v>1762</v>
      </c>
      <c r="J420" s="26">
        <v>0.91</v>
      </c>
      <c r="K420" s="18" t="s">
        <v>71</v>
      </c>
    </row>
    <row r="421" spans="1:11" x14ac:dyDescent="0.2">
      <c r="A421" s="23" t="s">
        <v>80</v>
      </c>
      <c r="B421" s="23" t="s">
        <v>85</v>
      </c>
      <c r="C421" s="23">
        <v>2.8000000000000001E-2</v>
      </c>
      <c r="D421" s="44">
        <v>2</v>
      </c>
      <c r="E421" s="21">
        <v>787</v>
      </c>
      <c r="F421" s="21">
        <v>-2</v>
      </c>
      <c r="G421" s="18">
        <v>0</v>
      </c>
      <c r="H421" s="18" t="s">
        <v>71</v>
      </c>
      <c r="I421" s="23">
        <v>2267</v>
      </c>
      <c r="J421" s="26">
        <v>1.18</v>
      </c>
      <c r="K421" s="45" t="s">
        <v>131</v>
      </c>
    </row>
    <row r="422" spans="1:11" x14ac:dyDescent="0.2">
      <c r="A422" s="23" t="s">
        <v>17</v>
      </c>
      <c r="B422" s="23" t="s">
        <v>17</v>
      </c>
      <c r="C422" s="23">
        <v>9.9000000000000005E-2</v>
      </c>
      <c r="D422" s="44">
        <v>1</v>
      </c>
      <c r="E422" s="21">
        <v>1203</v>
      </c>
      <c r="F422" s="21">
        <v>-31</v>
      </c>
      <c r="G422" s="18">
        <v>-1E-3</v>
      </c>
      <c r="H422" s="18" t="s">
        <v>71</v>
      </c>
      <c r="I422" s="23">
        <v>2472</v>
      </c>
      <c r="J422" s="26">
        <v>1.28</v>
      </c>
      <c r="K422" s="45" t="s">
        <v>131</v>
      </c>
    </row>
    <row r="423" spans="1:11" x14ac:dyDescent="0.2">
      <c r="A423" s="23" t="s">
        <v>17</v>
      </c>
      <c r="B423" s="23" t="s">
        <v>61</v>
      </c>
      <c r="C423" s="23">
        <v>3.7999999999999999E-2</v>
      </c>
      <c r="D423" s="44">
        <v>2</v>
      </c>
      <c r="E423" s="21">
        <v>1818</v>
      </c>
      <c r="F423" s="21">
        <v>585</v>
      </c>
      <c r="G423" s="18">
        <v>1.4999999999999999E-2</v>
      </c>
      <c r="H423" s="45" t="s">
        <v>131</v>
      </c>
      <c r="I423" s="23">
        <v>3641</v>
      </c>
      <c r="J423" s="26">
        <v>1.47</v>
      </c>
      <c r="K423" s="18" t="s">
        <v>71</v>
      </c>
    </row>
    <row r="424" spans="1:11" x14ac:dyDescent="0.2">
      <c r="A424" s="23" t="s">
        <v>125</v>
      </c>
      <c r="B424" s="23" t="s">
        <v>58</v>
      </c>
      <c r="C424" s="23">
        <v>0.124</v>
      </c>
      <c r="D424" s="44">
        <v>2</v>
      </c>
      <c r="E424" s="21">
        <v>13931</v>
      </c>
      <c r="F424" s="21">
        <v>12698</v>
      </c>
      <c r="G424" s="18">
        <v>0.32</v>
      </c>
      <c r="H424" s="45" t="s">
        <v>131</v>
      </c>
      <c r="I424" s="23">
        <v>20830</v>
      </c>
      <c r="J424" s="26">
        <v>7.72</v>
      </c>
      <c r="K424" s="45" t="s">
        <v>131</v>
      </c>
    </row>
    <row r="425" spans="1:11" x14ac:dyDescent="0.2">
      <c r="A425" s="23" t="s">
        <v>72</v>
      </c>
      <c r="B425" s="23" t="s">
        <v>33</v>
      </c>
      <c r="C425" s="23">
        <v>3.2000000000000001E-2</v>
      </c>
      <c r="D425" s="44">
        <v>2</v>
      </c>
      <c r="E425" s="21"/>
      <c r="F425" s="21"/>
      <c r="G425" s="18"/>
      <c r="H425" s="18"/>
      <c r="I425" s="23">
        <v>1274</v>
      </c>
      <c r="J425" s="26">
        <v>0.85</v>
      </c>
      <c r="K425" s="18" t="s">
        <v>71</v>
      </c>
    </row>
    <row r="426" spans="1:11" x14ac:dyDescent="0.2">
      <c r="A426" s="23" t="s">
        <v>108</v>
      </c>
      <c r="B426" s="23" t="s">
        <v>18</v>
      </c>
      <c r="C426" s="23">
        <v>0.10249999999999999</v>
      </c>
      <c r="D426" s="44">
        <v>2</v>
      </c>
      <c r="E426" s="21"/>
      <c r="F426" s="21"/>
      <c r="G426" s="18"/>
      <c r="H426" s="18"/>
      <c r="I426" s="23">
        <v>2383</v>
      </c>
      <c r="J426" s="26">
        <v>1.93</v>
      </c>
      <c r="K426" s="45" t="s">
        <v>131</v>
      </c>
    </row>
    <row r="427" spans="1:11" x14ac:dyDescent="0.2">
      <c r="A427" s="23" t="s">
        <v>58</v>
      </c>
      <c r="B427" s="23" t="s">
        <v>132</v>
      </c>
      <c r="C427" s="23">
        <v>3.7999999999999999E-2</v>
      </c>
      <c r="D427" s="44">
        <v>2</v>
      </c>
      <c r="E427" s="21"/>
      <c r="F427" s="21"/>
      <c r="G427" s="18"/>
      <c r="H427" s="18"/>
      <c r="I427" s="23">
        <v>1088</v>
      </c>
      <c r="J427" s="26">
        <v>0.42</v>
      </c>
      <c r="K427" s="18" t="s">
        <v>71</v>
      </c>
    </row>
    <row r="428" spans="1:11" x14ac:dyDescent="0.2">
      <c r="A428" s="23" t="s">
        <v>29</v>
      </c>
      <c r="B428" s="23" t="s">
        <v>132</v>
      </c>
      <c r="C428" s="23">
        <v>4.2000000000000003E-2</v>
      </c>
      <c r="D428" s="44">
        <v>2</v>
      </c>
      <c r="E428" s="21"/>
      <c r="F428" s="21"/>
      <c r="G428" s="18"/>
      <c r="H428" s="18"/>
      <c r="I428" s="23">
        <v>598</v>
      </c>
      <c r="J428" s="26">
        <v>0.46</v>
      </c>
      <c r="K428" s="18" t="s">
        <v>71</v>
      </c>
    </row>
    <row r="429" spans="1:11" x14ac:dyDescent="0.2">
      <c r="A429" s="23" t="s">
        <v>36</v>
      </c>
      <c r="B429" s="23" t="s">
        <v>132</v>
      </c>
      <c r="C429" s="23">
        <v>4.3999999999999997E-2</v>
      </c>
      <c r="D429" s="44">
        <v>2</v>
      </c>
      <c r="E429" s="21"/>
      <c r="F429" s="21"/>
      <c r="G429" s="18"/>
      <c r="H429" s="18"/>
      <c r="I429" s="23">
        <v>1728</v>
      </c>
      <c r="J429" s="26">
        <v>0.89</v>
      </c>
      <c r="K429" s="23"/>
    </row>
    <row r="430" spans="1:11" x14ac:dyDescent="0.2">
      <c r="A430" s="23" t="s">
        <v>61</v>
      </c>
      <c r="B430" s="23" t="s">
        <v>132</v>
      </c>
      <c r="C430" s="23">
        <v>3.1E-2</v>
      </c>
      <c r="D430" s="44">
        <v>2</v>
      </c>
      <c r="E430" s="21"/>
      <c r="F430" s="21"/>
      <c r="G430" s="18"/>
      <c r="H430" s="18"/>
      <c r="I430" s="23"/>
      <c r="J430" s="26"/>
      <c r="K430" s="23"/>
    </row>
  </sheetData>
  <autoFilter ref="A1:K431" xr:uid="{47ACACE2-CD70-5744-B4F5-F81C7D030CE7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workbookViewId="0">
      <selection activeCell="L34" sqref="L34"/>
    </sheetView>
  </sheetViews>
  <sheetFormatPr baseColWidth="10" defaultColWidth="11" defaultRowHeight="16" x14ac:dyDescent="0.2"/>
  <cols>
    <col min="3" max="3" width="8.33203125" bestFit="1" customWidth="1"/>
  </cols>
  <sheetData>
    <row r="1" spans="1:14" x14ac:dyDescent="0.2">
      <c r="A1" t="s">
        <v>133</v>
      </c>
    </row>
    <row r="2" spans="1:14" x14ac:dyDescent="0.2">
      <c r="B2" s="34" t="s">
        <v>14</v>
      </c>
      <c r="C2" s="34"/>
      <c r="D2" s="34"/>
      <c r="E2" s="35" t="s">
        <v>134</v>
      </c>
      <c r="F2" s="36"/>
      <c r="G2" s="36"/>
      <c r="H2" s="35" t="s">
        <v>135</v>
      </c>
      <c r="I2" s="35"/>
      <c r="J2" s="35"/>
      <c r="L2" t="s">
        <v>136</v>
      </c>
      <c r="M2" t="s">
        <v>8</v>
      </c>
      <c r="N2" t="s">
        <v>137</v>
      </c>
    </row>
    <row r="3" spans="1:14" x14ac:dyDescent="0.2">
      <c r="A3" t="s">
        <v>13</v>
      </c>
      <c r="B3" t="s">
        <v>138</v>
      </c>
      <c r="C3" t="s">
        <v>139</v>
      </c>
      <c r="D3" t="s">
        <v>140</v>
      </c>
      <c r="E3" t="s">
        <v>140</v>
      </c>
      <c r="F3" t="s">
        <v>141</v>
      </c>
      <c r="G3" t="s">
        <v>142</v>
      </c>
      <c r="H3" t="s">
        <v>140</v>
      </c>
      <c r="I3" t="s">
        <v>141</v>
      </c>
      <c r="J3" t="s">
        <v>142</v>
      </c>
      <c r="L3" t="s">
        <v>131</v>
      </c>
      <c r="M3">
        <f>COUNTIF(All!L3:L431,'Controls-Split'!L3:L4)</f>
        <v>134</v>
      </c>
      <c r="N3" s="19">
        <f>M3/M6</f>
        <v>0.31678486997635935</v>
      </c>
    </row>
    <row r="4" spans="1:14" x14ac:dyDescent="0.2">
      <c r="A4">
        <v>1</v>
      </c>
      <c r="B4" s="2">
        <v>56773</v>
      </c>
      <c r="C4" s="2">
        <f>B4-D4</f>
        <v>55275</v>
      </c>
      <c r="D4" s="2">
        <v>1498</v>
      </c>
      <c r="E4" s="2">
        <v>259</v>
      </c>
      <c r="F4" s="2">
        <f>D4+3*E4</f>
        <v>2275</v>
      </c>
      <c r="G4" s="2">
        <f>D4+9*E4</f>
        <v>3829</v>
      </c>
      <c r="H4" s="1">
        <f>E4/$B4</f>
        <v>4.56202772444648E-3</v>
      </c>
      <c r="I4" s="1">
        <f t="shared" ref="I4:J16" si="0">F4/$B4</f>
        <v>4.0071865147165028E-2</v>
      </c>
      <c r="J4" s="1">
        <f t="shared" si="0"/>
        <v>6.7444031493843898E-2</v>
      </c>
      <c r="L4" t="s">
        <v>71</v>
      </c>
      <c r="M4">
        <f>COUNTIF(All!L3:L431,'Controls-Split'!L3:L4)</f>
        <v>289</v>
      </c>
      <c r="N4" s="19">
        <f>M4/M6</f>
        <v>0.68321513002364065</v>
      </c>
    </row>
    <row r="5" spans="1:14" x14ac:dyDescent="0.2">
      <c r="A5">
        <v>2</v>
      </c>
      <c r="B5" s="4">
        <v>41457</v>
      </c>
      <c r="C5" s="2">
        <f t="shared" ref="C5:C16" si="1">B5-D5</f>
        <v>38110</v>
      </c>
      <c r="D5" s="4">
        <v>3347</v>
      </c>
      <c r="E5" s="4">
        <v>614</v>
      </c>
      <c r="F5" s="4">
        <f t="shared" ref="F5:F16" si="2">D5+3*E5</f>
        <v>5189</v>
      </c>
      <c r="G5" s="4">
        <f t="shared" ref="G5:G16" si="3">D5+9*E5</f>
        <v>8873</v>
      </c>
      <c r="H5" s="5">
        <f>E5/$B5</f>
        <v>1.4810526569698723E-2</v>
      </c>
      <c r="I5" s="5">
        <f t="shared" si="0"/>
        <v>0.12516583447909882</v>
      </c>
      <c r="J5" s="5">
        <f t="shared" si="0"/>
        <v>0.21402899389729116</v>
      </c>
    </row>
    <row r="6" spans="1:14" x14ac:dyDescent="0.2">
      <c r="A6">
        <v>3</v>
      </c>
      <c r="B6" s="2">
        <v>46292</v>
      </c>
      <c r="C6" s="2">
        <f t="shared" si="1"/>
        <v>45549</v>
      </c>
      <c r="D6" s="2">
        <v>743</v>
      </c>
      <c r="E6" s="2">
        <v>289</v>
      </c>
      <c r="F6" s="2">
        <f t="shared" si="2"/>
        <v>1610</v>
      </c>
      <c r="G6" s="2">
        <f t="shared" si="3"/>
        <v>3344</v>
      </c>
      <c r="H6" s="1">
        <f t="shared" ref="H6:H16" si="4">E6/$B6</f>
        <v>6.242979348483539E-3</v>
      </c>
      <c r="I6" s="1">
        <f t="shared" si="0"/>
        <v>3.4779227512313139E-2</v>
      </c>
      <c r="J6" s="1">
        <f t="shared" si="0"/>
        <v>7.2237103603214378E-2</v>
      </c>
      <c r="L6" t="s">
        <v>143</v>
      </c>
      <c r="M6">
        <f>M3+M4</f>
        <v>423</v>
      </c>
    </row>
    <row r="7" spans="1:14" x14ac:dyDescent="0.2">
      <c r="A7">
        <v>4</v>
      </c>
      <c r="B7" s="2">
        <v>62955</v>
      </c>
      <c r="C7" s="2">
        <f t="shared" si="1"/>
        <v>61597</v>
      </c>
      <c r="D7" s="2">
        <v>1358</v>
      </c>
      <c r="E7" s="2">
        <v>172</v>
      </c>
      <c r="F7" s="2">
        <f t="shared" si="2"/>
        <v>1874</v>
      </c>
      <c r="G7" s="2">
        <f t="shared" si="3"/>
        <v>2906</v>
      </c>
      <c r="H7" s="1">
        <f t="shared" si="4"/>
        <v>2.7321102374712096E-3</v>
      </c>
      <c r="I7" s="1">
        <f t="shared" si="0"/>
        <v>2.9767294098959573E-2</v>
      </c>
      <c r="J7" s="1">
        <f t="shared" si="0"/>
        <v>4.6159955523786829E-2</v>
      </c>
    </row>
    <row r="8" spans="1:14" x14ac:dyDescent="0.2">
      <c r="A8">
        <v>5</v>
      </c>
      <c r="B8" s="2">
        <v>45963</v>
      </c>
      <c r="C8" s="2">
        <f t="shared" si="1"/>
        <v>45328.6</v>
      </c>
      <c r="D8" s="3">
        <v>634.4</v>
      </c>
      <c r="E8" s="2">
        <v>100</v>
      </c>
      <c r="F8" s="2">
        <f t="shared" si="2"/>
        <v>934.4</v>
      </c>
      <c r="G8" s="2">
        <f t="shared" si="3"/>
        <v>1534.4</v>
      </c>
      <c r="H8" s="1">
        <f t="shared" si="4"/>
        <v>2.1756630333094012E-3</v>
      </c>
      <c r="I8" s="1">
        <f t="shared" si="0"/>
        <v>2.0329395383243042E-2</v>
      </c>
      <c r="J8" s="1">
        <f t="shared" si="0"/>
        <v>3.3383373583099452E-2</v>
      </c>
      <c r="L8" t="s">
        <v>144</v>
      </c>
      <c r="M8" t="s">
        <v>8</v>
      </c>
      <c r="N8" t="s">
        <v>137</v>
      </c>
    </row>
    <row r="9" spans="1:14" x14ac:dyDescent="0.2">
      <c r="A9">
        <v>6</v>
      </c>
      <c r="B9" s="2">
        <v>71656</v>
      </c>
      <c r="C9" s="2">
        <f t="shared" si="1"/>
        <v>69105</v>
      </c>
      <c r="D9" s="2">
        <v>2551</v>
      </c>
      <c r="E9" s="2">
        <v>965</v>
      </c>
      <c r="F9" s="2">
        <f t="shared" si="2"/>
        <v>5446</v>
      </c>
      <c r="G9" s="2">
        <f t="shared" si="3"/>
        <v>11236</v>
      </c>
      <c r="H9" s="1">
        <f t="shared" si="4"/>
        <v>1.3467120687730268E-2</v>
      </c>
      <c r="I9" s="1">
        <f t="shared" si="0"/>
        <v>7.6002009601429055E-2</v>
      </c>
      <c r="J9" s="1">
        <f t="shared" si="0"/>
        <v>0.15680473372781065</v>
      </c>
      <c r="L9" t="s">
        <v>131</v>
      </c>
      <c r="M9">
        <f>COUNTIF(All!R3:R431,'Controls-Split'!L9:L10)</f>
        <v>85</v>
      </c>
      <c r="N9" s="19">
        <f>M9/M12</f>
        <v>0.20481927710843373</v>
      </c>
    </row>
    <row r="10" spans="1:14" x14ac:dyDescent="0.2">
      <c r="A10">
        <v>7</v>
      </c>
      <c r="B10" s="2">
        <v>59704</v>
      </c>
      <c r="C10" s="2">
        <f t="shared" si="1"/>
        <v>58631.125</v>
      </c>
      <c r="D10" s="2">
        <v>1072.875</v>
      </c>
      <c r="E10" s="2">
        <v>87.7</v>
      </c>
      <c r="F10" s="2">
        <f t="shared" si="2"/>
        <v>1335.9749999999999</v>
      </c>
      <c r="G10" s="2">
        <f t="shared" si="3"/>
        <v>1862.1750000000002</v>
      </c>
      <c r="H10" s="1">
        <f t="shared" si="4"/>
        <v>1.4689133056411631E-3</v>
      </c>
      <c r="I10" s="1">
        <f t="shared" si="0"/>
        <v>2.2376641431059895E-2</v>
      </c>
      <c r="J10" s="1">
        <f t="shared" si="0"/>
        <v>3.1190121264906875E-2</v>
      </c>
      <c r="L10" t="s">
        <v>71</v>
      </c>
      <c r="M10">
        <f>COUNTIF(All!R3:R431,'Controls-Split'!L9:L10)</f>
        <v>330</v>
      </c>
      <c r="N10" s="19">
        <f>M10/M12</f>
        <v>0.79518072289156627</v>
      </c>
    </row>
    <row r="11" spans="1:14" x14ac:dyDescent="0.2">
      <c r="A11">
        <v>8</v>
      </c>
      <c r="B11" s="2">
        <v>81288</v>
      </c>
      <c r="C11" s="2">
        <f t="shared" si="1"/>
        <v>80139</v>
      </c>
      <c r="D11" s="2">
        <v>1149</v>
      </c>
      <c r="E11" s="2">
        <v>194</v>
      </c>
      <c r="F11" s="2">
        <f t="shared" si="2"/>
        <v>1731</v>
      </c>
      <c r="G11" s="2">
        <f t="shared" si="3"/>
        <v>2895</v>
      </c>
      <c r="H11" s="1">
        <f t="shared" si="4"/>
        <v>2.3865761243972048E-3</v>
      </c>
      <c r="I11" s="1">
        <f t="shared" si="0"/>
        <v>2.1294656037791557E-2</v>
      </c>
      <c r="J11" s="1">
        <f t="shared" si="0"/>
        <v>3.5614112784174784E-2</v>
      </c>
    </row>
    <row r="12" spans="1:14" x14ac:dyDescent="0.2">
      <c r="A12">
        <v>9</v>
      </c>
      <c r="B12" s="2">
        <v>53427</v>
      </c>
      <c r="C12" s="2">
        <f t="shared" si="1"/>
        <v>52223</v>
      </c>
      <c r="D12" s="2">
        <v>1204</v>
      </c>
      <c r="E12" s="2">
        <v>196</v>
      </c>
      <c r="F12" s="2">
        <f t="shared" si="2"/>
        <v>1792</v>
      </c>
      <c r="G12" s="2">
        <f t="shared" si="3"/>
        <v>2968</v>
      </c>
      <c r="H12" s="1">
        <f t="shared" si="4"/>
        <v>3.6685570965990979E-3</v>
      </c>
      <c r="I12" s="1">
        <f t="shared" si="0"/>
        <v>3.3541093454620322E-2</v>
      </c>
      <c r="J12" s="1">
        <f t="shared" si="0"/>
        <v>5.5552436034214912E-2</v>
      </c>
      <c r="L12" t="s">
        <v>143</v>
      </c>
      <c r="M12">
        <f>M9+M10</f>
        <v>415</v>
      </c>
    </row>
    <row r="13" spans="1:14" x14ac:dyDescent="0.2">
      <c r="A13">
        <v>10</v>
      </c>
      <c r="B13" s="2">
        <v>62147</v>
      </c>
      <c r="C13" s="2">
        <f>B13-D13</f>
        <v>61147</v>
      </c>
      <c r="D13" s="2">
        <v>1000</v>
      </c>
      <c r="E13" s="2">
        <v>123</v>
      </c>
      <c r="F13" s="2">
        <f t="shared" si="2"/>
        <v>1369</v>
      </c>
      <c r="G13" s="2">
        <f t="shared" si="3"/>
        <v>2107</v>
      </c>
      <c r="H13" s="1">
        <f t="shared" si="4"/>
        <v>1.9791783996009464E-3</v>
      </c>
      <c r="I13" s="1">
        <f t="shared" si="0"/>
        <v>2.2028416496371505E-2</v>
      </c>
      <c r="J13" s="1">
        <f t="shared" si="0"/>
        <v>3.3903486893977181E-2</v>
      </c>
    </row>
    <row r="14" spans="1:14" x14ac:dyDescent="0.2">
      <c r="A14">
        <v>11</v>
      </c>
      <c r="B14" s="2">
        <v>43295</v>
      </c>
      <c r="C14" s="2">
        <f>B14-D14</f>
        <v>42506</v>
      </c>
      <c r="D14" s="2">
        <v>789</v>
      </c>
      <c r="E14" s="2">
        <v>287</v>
      </c>
      <c r="F14" s="2">
        <f t="shared" si="2"/>
        <v>1650</v>
      </c>
      <c r="G14" s="2">
        <f t="shared" si="3"/>
        <v>3372</v>
      </c>
      <c r="H14" s="1">
        <f t="shared" si="4"/>
        <v>6.6289409862570732E-3</v>
      </c>
      <c r="I14" s="1">
        <f t="shared" si="0"/>
        <v>3.8110636332139972E-2</v>
      </c>
      <c r="J14" s="1">
        <f t="shared" si="0"/>
        <v>7.7884282249682413E-2</v>
      </c>
    </row>
    <row r="15" spans="1:14" x14ac:dyDescent="0.2">
      <c r="A15">
        <v>12</v>
      </c>
      <c r="B15" s="2"/>
      <c r="C15" s="2"/>
      <c r="D15" s="2"/>
      <c r="E15" s="2"/>
      <c r="F15" s="2">
        <f t="shared" si="2"/>
        <v>0</v>
      </c>
      <c r="G15" s="2">
        <f t="shared" si="3"/>
        <v>0</v>
      </c>
      <c r="H15" s="1" t="e">
        <f t="shared" si="4"/>
        <v>#DIV/0!</v>
      </c>
      <c r="I15" s="1" t="e">
        <f t="shared" si="0"/>
        <v>#DIV/0!</v>
      </c>
      <c r="J15" s="1" t="e">
        <f t="shared" si="0"/>
        <v>#DIV/0!</v>
      </c>
    </row>
    <row r="16" spans="1:14" x14ac:dyDescent="0.2">
      <c r="A16">
        <v>13</v>
      </c>
      <c r="B16" s="2">
        <v>40961.5</v>
      </c>
      <c r="C16" s="2">
        <f t="shared" si="1"/>
        <v>39728.25</v>
      </c>
      <c r="D16" s="2">
        <v>1233.25</v>
      </c>
      <c r="E16" s="2">
        <v>183</v>
      </c>
      <c r="F16" s="2">
        <f t="shared" si="2"/>
        <v>1782.25</v>
      </c>
      <c r="G16" s="2">
        <f t="shared" si="3"/>
        <v>2880.25</v>
      </c>
      <c r="H16" s="1">
        <f t="shared" si="4"/>
        <v>4.4676098287416231E-3</v>
      </c>
      <c r="I16" s="1">
        <f t="shared" si="0"/>
        <v>4.3510369493304689E-2</v>
      </c>
      <c r="J16" s="1">
        <f t="shared" si="0"/>
        <v>7.0316028465754424E-2</v>
      </c>
    </row>
    <row r="17" spans="1:12" x14ac:dyDescent="0.2">
      <c r="C17" s="2"/>
      <c r="F17" s="2"/>
      <c r="G17" s="2"/>
    </row>
    <row r="18" spans="1:12" x14ac:dyDescent="0.2">
      <c r="A18" t="s">
        <v>14</v>
      </c>
      <c r="B18" s="2">
        <f>AVERAGE(B4:B17)</f>
        <v>55493.208333333336</v>
      </c>
      <c r="C18" s="2">
        <f>AVERAGE(C4:C17)</f>
        <v>54111.581249999996</v>
      </c>
      <c r="D18" s="2">
        <f>AVERAGE(D4:D17)</f>
        <v>1381.6270833333335</v>
      </c>
      <c r="E18" s="2">
        <f>_xlfn.STDEV.P(D4:D17)</f>
        <v>758.85186956584357</v>
      </c>
      <c r="F18" s="2"/>
      <c r="G18" s="2"/>
      <c r="I18" s="1"/>
      <c r="J18" s="1"/>
    </row>
    <row r="19" spans="1:12" x14ac:dyDescent="0.2">
      <c r="F19" s="1"/>
      <c r="G19" s="1"/>
    </row>
    <row r="21" spans="1:12" x14ac:dyDescent="0.2">
      <c r="A21" t="s">
        <v>145</v>
      </c>
    </row>
    <row r="22" spans="1:12" x14ac:dyDescent="0.2">
      <c r="B22" s="34" t="s">
        <v>14</v>
      </c>
      <c r="C22" s="34"/>
      <c r="D22" s="34"/>
      <c r="E22" s="35" t="s">
        <v>134</v>
      </c>
      <c r="F22" s="36"/>
      <c r="G22" s="36"/>
      <c r="H22" s="35" t="s">
        <v>146</v>
      </c>
      <c r="I22" s="35"/>
      <c r="J22" s="35"/>
      <c r="L22" t="s">
        <v>147</v>
      </c>
    </row>
    <row r="23" spans="1:12" x14ac:dyDescent="0.2">
      <c r="A23" t="s">
        <v>13</v>
      </c>
      <c r="B23" t="s">
        <v>138</v>
      </c>
      <c r="C23" t="s">
        <v>148</v>
      </c>
      <c r="D23" t="s">
        <v>140</v>
      </c>
      <c r="E23" t="s">
        <v>140</v>
      </c>
      <c r="F23" t="s">
        <v>141</v>
      </c>
      <c r="G23" t="s">
        <v>142</v>
      </c>
      <c r="J23" t="s">
        <v>149</v>
      </c>
    </row>
    <row r="24" spans="1:12" x14ac:dyDescent="0.2">
      <c r="A24">
        <v>1</v>
      </c>
      <c r="B24" s="2">
        <v>370689.5</v>
      </c>
      <c r="C24" s="2">
        <f>B24/D24</f>
        <v>192.4659916926272</v>
      </c>
      <c r="D24" s="2">
        <v>1926</v>
      </c>
      <c r="E24" s="2">
        <v>326</v>
      </c>
      <c r="F24" s="2"/>
      <c r="G24" s="2"/>
    </row>
    <row r="25" spans="1:12" x14ac:dyDescent="0.2">
      <c r="A25">
        <v>2</v>
      </c>
      <c r="B25" s="2"/>
      <c r="C25" s="2"/>
      <c r="D25" s="2"/>
      <c r="E25" s="2"/>
      <c r="F25" s="2"/>
      <c r="G25" s="2"/>
    </row>
    <row r="26" spans="1:12" x14ac:dyDescent="0.2">
      <c r="A26">
        <v>3</v>
      </c>
      <c r="B26" s="2">
        <v>48525</v>
      </c>
      <c r="C26" s="2">
        <f>B26/D26</f>
        <v>25.05162622612287</v>
      </c>
      <c r="D26" s="2">
        <v>1937</v>
      </c>
      <c r="E26" s="2">
        <v>37</v>
      </c>
      <c r="F26" s="2">
        <f>D26+3*E26</f>
        <v>2048</v>
      </c>
      <c r="G26" s="2">
        <f>D26+9*E26</f>
        <v>2270</v>
      </c>
      <c r="H26">
        <v>0</v>
      </c>
      <c r="J26" s="27">
        <f>G26/D26</f>
        <v>1.1719153329891585</v>
      </c>
      <c r="K26" t="s">
        <v>150</v>
      </c>
    </row>
    <row r="27" spans="1:12" x14ac:dyDescent="0.2">
      <c r="A27">
        <v>4</v>
      </c>
      <c r="B27" s="2">
        <v>322425</v>
      </c>
      <c r="C27" s="2">
        <f>B27/D27</f>
        <v>156.89781021897809</v>
      </c>
      <c r="D27" s="2">
        <v>2055</v>
      </c>
      <c r="E27" s="2">
        <v>115</v>
      </c>
      <c r="F27" s="2">
        <f>D27+3*E27</f>
        <v>2400</v>
      </c>
      <c r="G27" s="2">
        <f>D27+9*E27</f>
        <v>3090</v>
      </c>
      <c r="H27">
        <v>4559</v>
      </c>
      <c r="J27" s="27">
        <f t="shared" ref="J27:J35" si="5">G27/D27</f>
        <v>1.5036496350364963</v>
      </c>
    </row>
    <row r="28" spans="1:12" x14ac:dyDescent="0.2">
      <c r="A28">
        <v>5</v>
      </c>
      <c r="B28" s="2">
        <v>252181</v>
      </c>
      <c r="C28" s="2">
        <f>B28/D28</f>
        <v>168.57018716577539</v>
      </c>
      <c r="D28" s="2">
        <v>1496</v>
      </c>
      <c r="E28" s="2">
        <v>227</v>
      </c>
      <c r="F28" s="2">
        <f>D28+3*E28</f>
        <v>2177</v>
      </c>
      <c r="G28" s="2">
        <f>D28+9*E28</f>
        <v>3539</v>
      </c>
      <c r="H28">
        <v>2104</v>
      </c>
      <c r="J28" s="27">
        <f t="shared" si="5"/>
        <v>2.3656417112299466</v>
      </c>
      <c r="K28" t="s">
        <v>151</v>
      </c>
    </row>
    <row r="29" spans="1:12" x14ac:dyDescent="0.2">
      <c r="A29">
        <v>6</v>
      </c>
      <c r="B29" s="2">
        <v>162675</v>
      </c>
      <c r="C29" s="2">
        <f>B29/D29</f>
        <v>131.93430656934308</v>
      </c>
      <c r="D29" s="2">
        <v>1233</v>
      </c>
      <c r="E29" s="2">
        <v>105</v>
      </c>
      <c r="F29" s="2">
        <f>D29+3*E29</f>
        <v>1548</v>
      </c>
      <c r="G29" s="2">
        <f>D29+9*E29</f>
        <v>2178</v>
      </c>
      <c r="H29">
        <v>1923</v>
      </c>
      <c r="J29" s="27">
        <f t="shared" si="5"/>
        <v>1.7664233576642336</v>
      </c>
    </row>
    <row r="30" spans="1:12" x14ac:dyDescent="0.2">
      <c r="A30">
        <v>7</v>
      </c>
      <c r="B30" s="2">
        <v>182381</v>
      </c>
      <c r="C30" s="2">
        <f t="shared" ref="C30:C35" si="6">B30/D30</f>
        <v>140.50924499229583</v>
      </c>
      <c r="D30" s="2">
        <v>1298</v>
      </c>
      <c r="E30" s="2">
        <v>101</v>
      </c>
      <c r="F30" s="2">
        <f t="shared" ref="F30:F35" si="7">D30+3*E30</f>
        <v>1601</v>
      </c>
      <c r="G30" s="2">
        <f t="shared" ref="G30:G35" si="8">D30+9*E30</f>
        <v>2207</v>
      </c>
      <c r="H30">
        <v>2158</v>
      </c>
      <c r="J30" s="27">
        <f t="shared" si="5"/>
        <v>1.7003081664098614</v>
      </c>
    </row>
    <row r="31" spans="1:12" x14ac:dyDescent="0.2">
      <c r="A31">
        <v>8</v>
      </c>
      <c r="B31" s="2">
        <v>852928</v>
      </c>
      <c r="C31" s="2">
        <f t="shared" si="6"/>
        <v>316.25064886911383</v>
      </c>
      <c r="D31" s="2">
        <v>2697</v>
      </c>
      <c r="E31" s="2">
        <v>103</v>
      </c>
      <c r="F31" s="2">
        <f t="shared" si="7"/>
        <v>3006</v>
      </c>
      <c r="G31" s="2">
        <f t="shared" si="8"/>
        <v>3624</v>
      </c>
      <c r="H31">
        <v>7129</v>
      </c>
      <c r="J31" s="27">
        <f t="shared" si="5"/>
        <v>1.3437152391546163</v>
      </c>
    </row>
    <row r="32" spans="1:12" x14ac:dyDescent="0.2">
      <c r="A32">
        <v>9</v>
      </c>
      <c r="B32" s="2">
        <v>776590</v>
      </c>
      <c r="C32" s="2">
        <f t="shared" si="6"/>
        <v>312.76278695126865</v>
      </c>
      <c r="D32" s="2">
        <v>2483</v>
      </c>
      <c r="E32" s="2">
        <v>407</v>
      </c>
      <c r="F32" s="2">
        <f t="shared" si="7"/>
        <v>3704</v>
      </c>
      <c r="G32" s="2">
        <f t="shared" si="8"/>
        <v>6146</v>
      </c>
      <c r="H32">
        <v>7206</v>
      </c>
      <c r="J32" s="27">
        <f t="shared" si="5"/>
        <v>2.4752315747080145</v>
      </c>
    </row>
    <row r="33" spans="1:10" x14ac:dyDescent="0.2">
      <c r="A33">
        <v>10</v>
      </c>
      <c r="B33" s="2">
        <v>730388</v>
      </c>
      <c r="C33" s="2">
        <f t="shared" si="6"/>
        <v>283.97667185069986</v>
      </c>
      <c r="D33" s="2">
        <v>2572</v>
      </c>
      <c r="E33" s="2">
        <v>769</v>
      </c>
      <c r="F33" s="2">
        <f t="shared" si="7"/>
        <v>4879</v>
      </c>
      <c r="G33" s="2">
        <f t="shared" si="8"/>
        <v>9493</v>
      </c>
      <c r="H33">
        <v>20631</v>
      </c>
      <c r="J33" s="27">
        <f t="shared" si="5"/>
        <v>3.6909020217729394</v>
      </c>
    </row>
    <row r="34" spans="1:10" x14ac:dyDescent="0.2">
      <c r="A34">
        <v>11</v>
      </c>
      <c r="B34">
        <v>138321</v>
      </c>
      <c r="C34" s="2">
        <f t="shared" si="6"/>
        <v>105.99310344827586</v>
      </c>
      <c r="D34">
        <v>1305</v>
      </c>
      <c r="E34">
        <v>167</v>
      </c>
      <c r="F34" s="2">
        <f t="shared" si="7"/>
        <v>1806</v>
      </c>
      <c r="G34" s="2">
        <f t="shared" si="8"/>
        <v>2808</v>
      </c>
      <c r="H34">
        <v>1532</v>
      </c>
      <c r="J34" s="27">
        <f t="shared" si="5"/>
        <v>2.1517241379310343</v>
      </c>
    </row>
    <row r="35" spans="1:10" x14ac:dyDescent="0.2">
      <c r="A35">
        <v>12</v>
      </c>
      <c r="B35">
        <v>230412</v>
      </c>
      <c r="C35" s="2">
        <f t="shared" si="6"/>
        <v>157.92460589444826</v>
      </c>
      <c r="D35">
        <v>1459</v>
      </c>
      <c r="E35">
        <v>256</v>
      </c>
      <c r="F35" s="2">
        <f t="shared" si="7"/>
        <v>2227</v>
      </c>
      <c r="G35" s="2">
        <f t="shared" si="8"/>
        <v>3763</v>
      </c>
      <c r="H35">
        <v>2585</v>
      </c>
      <c r="J35" s="27">
        <f t="shared" si="5"/>
        <v>2.5791638108293351</v>
      </c>
    </row>
  </sheetData>
  <mergeCells count="6">
    <mergeCell ref="B2:D2"/>
    <mergeCell ref="E2:G2"/>
    <mergeCell ref="H2:J2"/>
    <mergeCell ref="B22:D22"/>
    <mergeCell ref="E22:G22"/>
    <mergeCell ref="H22:J2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selection activeCell="D22" sqref="D22"/>
    </sheetView>
  </sheetViews>
  <sheetFormatPr baseColWidth="10" defaultColWidth="11" defaultRowHeight="16" x14ac:dyDescent="0.2"/>
  <sheetData>
    <row r="1" spans="1:11" x14ac:dyDescent="0.2">
      <c r="A1" s="24" t="s">
        <v>152</v>
      </c>
      <c r="G1" s="24" t="s">
        <v>153</v>
      </c>
    </row>
    <row r="2" spans="1:11" x14ac:dyDescent="0.2">
      <c r="A2" s="23" t="s">
        <v>23</v>
      </c>
      <c r="B2" s="23" t="s">
        <v>20</v>
      </c>
      <c r="C2" s="23" t="s">
        <v>71</v>
      </c>
      <c r="D2" s="23">
        <v>148</v>
      </c>
      <c r="E2" s="23">
        <v>0.51211072700000004</v>
      </c>
      <c r="F2" s="23"/>
      <c r="G2" s="23" t="s">
        <v>23</v>
      </c>
      <c r="H2" s="23" t="s">
        <v>20</v>
      </c>
      <c r="I2" s="23" t="s">
        <v>131</v>
      </c>
      <c r="J2" s="23">
        <v>64</v>
      </c>
      <c r="K2" s="23">
        <v>0.47761194000000001</v>
      </c>
    </row>
    <row r="3" spans="1:11" x14ac:dyDescent="0.2">
      <c r="A3" s="23" t="s">
        <v>19</v>
      </c>
      <c r="B3" s="23" t="s">
        <v>20</v>
      </c>
      <c r="C3" s="23" t="s">
        <v>71</v>
      </c>
      <c r="D3" s="23">
        <v>48</v>
      </c>
      <c r="E3" s="23">
        <v>0.16608996500000001</v>
      </c>
      <c r="F3" s="23"/>
      <c r="G3" s="23" t="s">
        <v>19</v>
      </c>
      <c r="H3" s="23" t="s">
        <v>20</v>
      </c>
      <c r="I3" s="23" t="s">
        <v>131</v>
      </c>
      <c r="J3" s="23">
        <v>40</v>
      </c>
      <c r="K3" s="23">
        <v>0.29850746299999997</v>
      </c>
    </row>
    <row r="4" spans="1:11" x14ac:dyDescent="0.2">
      <c r="A4" s="23" t="s">
        <v>19</v>
      </c>
      <c r="B4" s="23" t="s">
        <v>26</v>
      </c>
      <c r="C4" s="23" t="s">
        <v>71</v>
      </c>
      <c r="D4" s="23">
        <v>33</v>
      </c>
      <c r="E4" s="23">
        <v>0.11418685100000001</v>
      </c>
      <c r="F4" s="23"/>
      <c r="G4" s="23" t="s">
        <v>19</v>
      </c>
      <c r="H4" s="23" t="s">
        <v>26</v>
      </c>
      <c r="I4" s="23" t="s">
        <v>131</v>
      </c>
      <c r="J4" s="23">
        <v>18</v>
      </c>
      <c r="K4" s="23">
        <v>0.13432835800000001</v>
      </c>
    </row>
    <row r="5" spans="1:11" x14ac:dyDescent="0.2">
      <c r="A5" s="23" t="s">
        <v>23</v>
      </c>
      <c r="B5" s="23" t="s">
        <v>26</v>
      </c>
      <c r="C5" s="23" t="s">
        <v>71</v>
      </c>
      <c r="D5" s="23">
        <v>60</v>
      </c>
      <c r="E5" s="23">
        <v>0.207612457</v>
      </c>
      <c r="F5" s="23"/>
      <c r="G5" s="23" t="s">
        <v>23</v>
      </c>
      <c r="H5" s="23" t="s">
        <v>26</v>
      </c>
      <c r="I5" s="23" t="s">
        <v>131</v>
      </c>
      <c r="J5" s="23">
        <v>12</v>
      </c>
      <c r="K5" s="23">
        <v>8.9552239000000006E-2</v>
      </c>
    </row>
    <row r="6" spans="1:11" x14ac:dyDescent="0.2">
      <c r="A6" s="23"/>
      <c r="B6" s="23"/>
      <c r="C6" s="23"/>
      <c r="D6" s="23">
        <v>289</v>
      </c>
      <c r="E6" s="23"/>
      <c r="F6" s="23"/>
      <c r="G6" s="23"/>
      <c r="H6" s="23"/>
      <c r="I6" s="23"/>
      <c r="J6" s="23">
        <v>134</v>
      </c>
      <c r="K6" s="23"/>
    </row>
    <row r="8" spans="1:11" x14ac:dyDescent="0.2">
      <c r="H8" s="23" t="s">
        <v>154</v>
      </c>
      <c r="I8" s="23" t="s">
        <v>155</v>
      </c>
    </row>
    <row r="9" spans="1:11" x14ac:dyDescent="0.2">
      <c r="G9" t="s">
        <v>156</v>
      </c>
      <c r="H9">
        <v>5.0380000000000001E-2</v>
      </c>
      <c r="I9">
        <v>5.4289999999999998E-2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11"/>
  <sheetViews>
    <sheetView workbookViewId="0">
      <selection sqref="A1:F1"/>
    </sheetView>
  </sheetViews>
  <sheetFormatPr baseColWidth="10" defaultColWidth="11" defaultRowHeight="16" x14ac:dyDescent="0.2"/>
  <cols>
    <col min="3" max="3" width="12.83203125" bestFit="1" customWidth="1"/>
    <col min="6" max="6" width="58.1640625" bestFit="1" customWidth="1"/>
  </cols>
  <sheetData>
    <row r="1" spans="1:6" x14ac:dyDescent="0.2">
      <c r="C1" t="s">
        <v>157</v>
      </c>
      <c r="D1" t="s">
        <v>158</v>
      </c>
      <c r="E1" t="s">
        <v>159</v>
      </c>
      <c r="F1" t="s">
        <v>160</v>
      </c>
    </row>
    <row r="2" spans="1:6" x14ac:dyDescent="0.2">
      <c r="A2" t="s">
        <v>95</v>
      </c>
      <c r="B2" t="s">
        <v>47</v>
      </c>
      <c r="C2">
        <v>2</v>
      </c>
      <c r="D2">
        <v>6.02891100926729</v>
      </c>
      <c r="E2">
        <v>1</v>
      </c>
      <c r="F2" t="s">
        <v>161</v>
      </c>
    </row>
    <row r="3" spans="1:6" x14ac:dyDescent="0.2">
      <c r="A3" t="s">
        <v>102</v>
      </c>
      <c r="B3" t="s">
        <v>28</v>
      </c>
      <c r="C3">
        <v>2</v>
      </c>
      <c r="D3">
        <v>6.02891100926729</v>
      </c>
      <c r="E3">
        <v>1</v>
      </c>
      <c r="F3" t="s">
        <v>162</v>
      </c>
    </row>
    <row r="4" spans="1:6" x14ac:dyDescent="0.2">
      <c r="A4" t="s">
        <v>163</v>
      </c>
      <c r="B4" t="s">
        <v>114</v>
      </c>
      <c r="C4">
        <v>2</v>
      </c>
      <c r="D4">
        <v>6.02891100926729</v>
      </c>
      <c r="E4">
        <v>1</v>
      </c>
      <c r="F4" t="s">
        <v>164</v>
      </c>
    </row>
    <row r="5" spans="1:6" x14ac:dyDescent="0.2">
      <c r="A5" t="s">
        <v>85</v>
      </c>
      <c r="B5" t="s">
        <v>18</v>
      </c>
      <c r="C5">
        <v>2</v>
      </c>
      <c r="D5">
        <v>6.02891100926729</v>
      </c>
      <c r="E5">
        <v>1</v>
      </c>
      <c r="F5" t="s">
        <v>165</v>
      </c>
    </row>
    <row r="6" spans="1:6" x14ac:dyDescent="0.2">
      <c r="A6" t="s">
        <v>99</v>
      </c>
      <c r="B6" t="s">
        <v>121</v>
      </c>
      <c r="C6">
        <v>2</v>
      </c>
      <c r="D6">
        <v>6.02891100926729</v>
      </c>
      <c r="E6">
        <v>1</v>
      </c>
      <c r="F6" t="s">
        <v>166</v>
      </c>
    </row>
    <row r="7" spans="1:6" x14ac:dyDescent="0.2">
      <c r="A7" t="s">
        <v>41</v>
      </c>
      <c r="B7" t="s">
        <v>89</v>
      </c>
      <c r="C7">
        <v>3</v>
      </c>
      <c r="D7">
        <v>5.6484369586968004</v>
      </c>
      <c r="E7">
        <v>0.66666666666666696</v>
      </c>
      <c r="F7" t="s">
        <v>167</v>
      </c>
    </row>
    <row r="8" spans="1:6" x14ac:dyDescent="0.2">
      <c r="A8" t="s">
        <v>114</v>
      </c>
      <c r="B8" t="s">
        <v>79</v>
      </c>
      <c r="C8">
        <v>3</v>
      </c>
      <c r="D8">
        <v>5.6484369586968004</v>
      </c>
      <c r="E8">
        <v>0.66666666666666696</v>
      </c>
      <c r="F8" t="s">
        <v>168</v>
      </c>
    </row>
    <row r="9" spans="1:6" x14ac:dyDescent="0.2">
      <c r="A9" t="s">
        <v>107</v>
      </c>
      <c r="B9" t="s">
        <v>106</v>
      </c>
      <c r="C9">
        <v>3</v>
      </c>
      <c r="D9">
        <v>5.6484369586968004</v>
      </c>
      <c r="E9">
        <v>0.66666666666666696</v>
      </c>
      <c r="F9" t="s">
        <v>169</v>
      </c>
    </row>
    <row r="10" spans="1:6" x14ac:dyDescent="0.2">
      <c r="A10" t="s">
        <v>108</v>
      </c>
      <c r="B10" t="s">
        <v>106</v>
      </c>
      <c r="C10">
        <v>3</v>
      </c>
      <c r="D10">
        <v>5.6484369586968004</v>
      </c>
      <c r="E10">
        <v>0.66666666666666696</v>
      </c>
      <c r="F10" t="s">
        <v>169</v>
      </c>
    </row>
    <row r="11" spans="1:6" x14ac:dyDescent="0.2">
      <c r="A11" t="s">
        <v>108</v>
      </c>
      <c r="B11" t="s">
        <v>107</v>
      </c>
      <c r="C11">
        <v>3</v>
      </c>
      <c r="D11">
        <v>5.6484369586968004</v>
      </c>
      <c r="E11">
        <v>0.66666666666666696</v>
      </c>
      <c r="F11" t="s">
        <v>169</v>
      </c>
    </row>
    <row r="12" spans="1:6" x14ac:dyDescent="0.2">
      <c r="A12" t="s">
        <v>163</v>
      </c>
      <c r="B12" t="s">
        <v>79</v>
      </c>
      <c r="C12">
        <v>3</v>
      </c>
      <c r="D12">
        <v>5.6484369586968004</v>
      </c>
      <c r="E12">
        <v>0.66666666666666696</v>
      </c>
      <c r="F12" t="s">
        <v>168</v>
      </c>
    </row>
    <row r="13" spans="1:6" x14ac:dyDescent="0.2">
      <c r="A13" t="s">
        <v>106</v>
      </c>
      <c r="B13" t="s">
        <v>125</v>
      </c>
      <c r="C13">
        <v>4</v>
      </c>
      <c r="D13">
        <v>5.3784863237508098</v>
      </c>
      <c r="E13">
        <v>0.5</v>
      </c>
      <c r="F13" t="s">
        <v>170</v>
      </c>
    </row>
    <row r="14" spans="1:6" x14ac:dyDescent="0.2">
      <c r="A14" t="s">
        <v>127</v>
      </c>
      <c r="B14" t="s">
        <v>27</v>
      </c>
      <c r="C14">
        <v>4</v>
      </c>
      <c r="D14">
        <v>5.3784863237508098</v>
      </c>
      <c r="E14">
        <v>0.5</v>
      </c>
      <c r="F14" t="s">
        <v>171</v>
      </c>
    </row>
    <row r="15" spans="1:6" x14ac:dyDescent="0.2">
      <c r="A15" t="s">
        <v>114</v>
      </c>
      <c r="B15" t="s">
        <v>28</v>
      </c>
      <c r="C15">
        <v>4</v>
      </c>
      <c r="D15">
        <v>5.3784863237508098</v>
      </c>
      <c r="E15">
        <v>0.5</v>
      </c>
      <c r="F15" t="s">
        <v>172</v>
      </c>
    </row>
    <row r="16" spans="1:6" x14ac:dyDescent="0.2">
      <c r="A16" t="s">
        <v>94</v>
      </c>
      <c r="B16" t="s">
        <v>27</v>
      </c>
      <c r="C16">
        <v>4</v>
      </c>
      <c r="D16">
        <v>5.3784863237508098</v>
      </c>
      <c r="E16">
        <v>0.5</v>
      </c>
      <c r="F16" t="s">
        <v>171</v>
      </c>
    </row>
    <row r="17" spans="1:6" x14ac:dyDescent="0.2">
      <c r="A17" t="s">
        <v>58</v>
      </c>
      <c r="B17" t="s">
        <v>125</v>
      </c>
      <c r="C17">
        <v>4</v>
      </c>
      <c r="D17">
        <v>5.3784863237508098</v>
      </c>
      <c r="E17">
        <v>0.5</v>
      </c>
      <c r="F17" t="s">
        <v>170</v>
      </c>
    </row>
    <row r="18" spans="1:6" x14ac:dyDescent="0.2">
      <c r="A18" t="s">
        <v>127</v>
      </c>
      <c r="B18" t="s">
        <v>94</v>
      </c>
      <c r="C18">
        <v>4</v>
      </c>
      <c r="D18">
        <v>5.3784863237508098</v>
      </c>
      <c r="E18">
        <v>0.5</v>
      </c>
      <c r="F18" t="s">
        <v>171</v>
      </c>
    </row>
    <row r="19" spans="1:6" x14ac:dyDescent="0.2">
      <c r="A19" t="s">
        <v>45</v>
      </c>
      <c r="B19" t="s">
        <v>50</v>
      </c>
      <c r="C19">
        <v>4</v>
      </c>
      <c r="D19">
        <v>5.3784863237508098</v>
      </c>
      <c r="E19">
        <v>0.5</v>
      </c>
      <c r="F19" t="s">
        <v>173</v>
      </c>
    </row>
    <row r="20" spans="1:6" x14ac:dyDescent="0.2">
      <c r="A20" t="s">
        <v>90</v>
      </c>
      <c r="B20" t="s">
        <v>125</v>
      </c>
      <c r="C20">
        <v>4</v>
      </c>
      <c r="D20">
        <v>5.3784863237508098</v>
      </c>
      <c r="E20">
        <v>0.5</v>
      </c>
      <c r="F20" t="s">
        <v>170</v>
      </c>
    </row>
    <row r="21" spans="1:6" x14ac:dyDescent="0.2">
      <c r="A21" t="s">
        <v>163</v>
      </c>
      <c r="B21" t="s">
        <v>28</v>
      </c>
      <c r="C21">
        <v>4</v>
      </c>
      <c r="D21">
        <v>5.3784863237508098</v>
      </c>
      <c r="E21">
        <v>0.5</v>
      </c>
      <c r="F21" t="s">
        <v>172</v>
      </c>
    </row>
    <row r="22" spans="1:6" x14ac:dyDescent="0.2">
      <c r="A22" t="s">
        <v>94</v>
      </c>
      <c r="B22" t="s">
        <v>93</v>
      </c>
      <c r="C22">
        <v>4</v>
      </c>
      <c r="D22">
        <v>5.3784863237508098</v>
      </c>
      <c r="E22">
        <v>0.5</v>
      </c>
      <c r="F22" t="s">
        <v>171</v>
      </c>
    </row>
    <row r="23" spans="1:6" x14ac:dyDescent="0.2">
      <c r="A23" t="s">
        <v>106</v>
      </c>
      <c r="B23" t="s">
        <v>90</v>
      </c>
      <c r="C23">
        <v>4</v>
      </c>
      <c r="D23">
        <v>5.3784863237508098</v>
      </c>
      <c r="E23">
        <v>0.5</v>
      </c>
      <c r="F23" t="s">
        <v>170</v>
      </c>
    </row>
    <row r="24" spans="1:6" x14ac:dyDescent="0.2">
      <c r="A24" t="s">
        <v>27</v>
      </c>
      <c r="B24" t="s">
        <v>93</v>
      </c>
      <c r="C24">
        <v>4</v>
      </c>
      <c r="D24">
        <v>5.3784863237508098</v>
      </c>
      <c r="E24">
        <v>0.5</v>
      </c>
      <c r="F24" t="s">
        <v>171</v>
      </c>
    </row>
    <row r="25" spans="1:6" x14ac:dyDescent="0.2">
      <c r="A25" t="s">
        <v>58</v>
      </c>
      <c r="B25" t="s">
        <v>106</v>
      </c>
      <c r="C25">
        <v>4</v>
      </c>
      <c r="D25">
        <v>5.3784863237508098</v>
      </c>
      <c r="E25">
        <v>0.5</v>
      </c>
      <c r="F25" t="s">
        <v>170</v>
      </c>
    </row>
    <row r="26" spans="1:6" x14ac:dyDescent="0.2">
      <c r="A26" t="s">
        <v>127</v>
      </c>
      <c r="B26" t="s">
        <v>93</v>
      </c>
      <c r="C26">
        <v>4</v>
      </c>
      <c r="D26">
        <v>5.3784863237508098</v>
      </c>
      <c r="E26">
        <v>0.5</v>
      </c>
      <c r="F26" t="s">
        <v>171</v>
      </c>
    </row>
    <row r="27" spans="1:6" x14ac:dyDescent="0.2">
      <c r="A27" t="s">
        <v>58</v>
      </c>
      <c r="B27" t="s">
        <v>90</v>
      </c>
      <c r="C27">
        <v>4</v>
      </c>
      <c r="D27">
        <v>5.3784863237508098</v>
      </c>
      <c r="E27">
        <v>0.5</v>
      </c>
      <c r="F27" t="s">
        <v>170</v>
      </c>
    </row>
    <row r="28" spans="1:6" x14ac:dyDescent="0.2">
      <c r="A28" t="s">
        <v>120</v>
      </c>
      <c r="B28" t="s">
        <v>47</v>
      </c>
      <c r="C28">
        <v>5</v>
      </c>
      <c r="D28">
        <v>5.1690963438747701</v>
      </c>
      <c r="E28">
        <v>0.4</v>
      </c>
      <c r="F28" t="s">
        <v>174</v>
      </c>
    </row>
    <row r="29" spans="1:6" x14ac:dyDescent="0.2">
      <c r="A29" t="s">
        <v>175</v>
      </c>
      <c r="B29" t="s">
        <v>47</v>
      </c>
      <c r="C29">
        <v>5</v>
      </c>
      <c r="D29">
        <v>5.1690963438747701</v>
      </c>
      <c r="E29">
        <v>0.4</v>
      </c>
      <c r="F29" t="s">
        <v>176</v>
      </c>
    </row>
    <row r="30" spans="1:6" x14ac:dyDescent="0.2">
      <c r="A30" t="s">
        <v>17</v>
      </c>
      <c r="B30" t="s">
        <v>177</v>
      </c>
      <c r="C30">
        <v>5</v>
      </c>
      <c r="D30">
        <v>5.1690963438747701</v>
      </c>
      <c r="E30">
        <v>0.4</v>
      </c>
      <c r="F30" t="s">
        <v>176</v>
      </c>
    </row>
    <row r="31" spans="1:6" x14ac:dyDescent="0.2">
      <c r="A31" t="s">
        <v>177</v>
      </c>
      <c r="B31" t="s">
        <v>47</v>
      </c>
      <c r="C31">
        <v>5</v>
      </c>
      <c r="D31">
        <v>5.1690963438747701</v>
      </c>
      <c r="E31">
        <v>0.4</v>
      </c>
      <c r="F31" t="s">
        <v>176</v>
      </c>
    </row>
    <row r="32" spans="1:6" x14ac:dyDescent="0.2">
      <c r="A32" t="s">
        <v>95</v>
      </c>
      <c r="B32" t="s">
        <v>60</v>
      </c>
      <c r="C32">
        <v>5</v>
      </c>
      <c r="D32">
        <v>5.1690963438747701</v>
      </c>
      <c r="E32">
        <v>0.4</v>
      </c>
      <c r="F32" t="s">
        <v>174</v>
      </c>
    </row>
    <row r="33" spans="1:6" x14ac:dyDescent="0.2">
      <c r="A33" t="s">
        <v>175</v>
      </c>
      <c r="B33" t="s">
        <v>177</v>
      </c>
      <c r="C33">
        <v>5</v>
      </c>
      <c r="D33">
        <v>5.1690963438747701</v>
      </c>
      <c r="E33">
        <v>0.4</v>
      </c>
      <c r="F33" t="s">
        <v>176</v>
      </c>
    </row>
    <row r="34" spans="1:6" x14ac:dyDescent="0.2">
      <c r="A34" t="s">
        <v>95</v>
      </c>
      <c r="B34" t="s">
        <v>120</v>
      </c>
      <c r="C34">
        <v>5</v>
      </c>
      <c r="D34">
        <v>5.1690963438747701</v>
      </c>
      <c r="E34">
        <v>0.4</v>
      </c>
      <c r="F34" t="s">
        <v>174</v>
      </c>
    </row>
    <row r="35" spans="1:6" x14ac:dyDescent="0.2">
      <c r="A35" t="s">
        <v>60</v>
      </c>
      <c r="B35" t="s">
        <v>28</v>
      </c>
      <c r="C35">
        <v>5</v>
      </c>
      <c r="D35">
        <v>5.1690963438747701</v>
      </c>
      <c r="E35">
        <v>0.4</v>
      </c>
      <c r="F35" t="s">
        <v>174</v>
      </c>
    </row>
    <row r="36" spans="1:6" x14ac:dyDescent="0.2">
      <c r="A36" t="s">
        <v>60</v>
      </c>
      <c r="B36" t="s">
        <v>47</v>
      </c>
      <c r="C36">
        <v>5</v>
      </c>
      <c r="D36">
        <v>5.1690963438747701</v>
      </c>
      <c r="E36">
        <v>0.4</v>
      </c>
      <c r="F36" t="s">
        <v>174</v>
      </c>
    </row>
    <row r="37" spans="1:6" x14ac:dyDescent="0.2">
      <c r="A37" t="s">
        <v>38</v>
      </c>
      <c r="B37" t="s">
        <v>178</v>
      </c>
      <c r="C37">
        <v>5</v>
      </c>
      <c r="D37">
        <v>5.1690963438747701</v>
      </c>
      <c r="E37">
        <v>0.4</v>
      </c>
      <c r="F37" t="s">
        <v>179</v>
      </c>
    </row>
    <row r="38" spans="1:6" x14ac:dyDescent="0.2">
      <c r="A38" t="s">
        <v>60</v>
      </c>
      <c r="B38" t="s">
        <v>120</v>
      </c>
      <c r="C38">
        <v>5</v>
      </c>
      <c r="D38">
        <v>5.1690963438747701</v>
      </c>
      <c r="E38">
        <v>0.4</v>
      </c>
      <c r="F38" t="s">
        <v>174</v>
      </c>
    </row>
    <row r="39" spans="1:6" x14ac:dyDescent="0.2">
      <c r="A39" t="s">
        <v>47</v>
      </c>
      <c r="B39" t="s">
        <v>28</v>
      </c>
      <c r="C39">
        <v>5</v>
      </c>
      <c r="D39">
        <v>5.1690963438747701</v>
      </c>
      <c r="E39">
        <v>0.4</v>
      </c>
      <c r="F39" t="s">
        <v>174</v>
      </c>
    </row>
    <row r="40" spans="1:6" x14ac:dyDescent="0.2">
      <c r="A40" t="s">
        <v>17</v>
      </c>
      <c r="B40" t="s">
        <v>47</v>
      </c>
      <c r="C40">
        <v>5</v>
      </c>
      <c r="D40">
        <v>5.1690963438747701</v>
      </c>
      <c r="E40">
        <v>0.4</v>
      </c>
      <c r="F40" t="s">
        <v>176</v>
      </c>
    </row>
    <row r="41" spans="1:6" x14ac:dyDescent="0.2">
      <c r="A41" t="s">
        <v>175</v>
      </c>
      <c r="B41" t="s">
        <v>17</v>
      </c>
      <c r="C41">
        <v>5</v>
      </c>
      <c r="D41">
        <v>5.1690963438747701</v>
      </c>
      <c r="E41">
        <v>0.4</v>
      </c>
      <c r="F41" t="s">
        <v>176</v>
      </c>
    </row>
    <row r="42" spans="1:6" x14ac:dyDescent="0.2">
      <c r="A42" t="s">
        <v>95</v>
      </c>
      <c r="B42" t="s">
        <v>28</v>
      </c>
      <c r="C42">
        <v>5</v>
      </c>
      <c r="D42">
        <v>5.1690963438747701</v>
      </c>
      <c r="E42">
        <v>0.4</v>
      </c>
      <c r="F42" t="s">
        <v>174</v>
      </c>
    </row>
    <row r="43" spans="1:6" x14ac:dyDescent="0.2">
      <c r="A43" t="s">
        <v>120</v>
      </c>
      <c r="B43" t="s">
        <v>28</v>
      </c>
      <c r="C43">
        <v>5</v>
      </c>
      <c r="D43">
        <v>5.1690963438747701</v>
      </c>
      <c r="E43">
        <v>0.4</v>
      </c>
      <c r="F43" t="s">
        <v>174</v>
      </c>
    </row>
    <row r="44" spans="1:6" x14ac:dyDescent="0.2">
      <c r="A44" t="s">
        <v>111</v>
      </c>
      <c r="B44" t="s">
        <v>90</v>
      </c>
      <c r="C44">
        <v>6</v>
      </c>
      <c r="D44">
        <v>4.9980122731803096</v>
      </c>
      <c r="E44">
        <v>0.33333333333333298</v>
      </c>
      <c r="F44" t="s">
        <v>180</v>
      </c>
    </row>
    <row r="45" spans="1:6" x14ac:dyDescent="0.2">
      <c r="A45" t="s">
        <v>58</v>
      </c>
      <c r="B45" t="s">
        <v>163</v>
      </c>
      <c r="C45">
        <v>6</v>
      </c>
      <c r="D45">
        <v>4.9980122731803096</v>
      </c>
      <c r="E45">
        <v>0.33333333333333298</v>
      </c>
      <c r="F45" t="s">
        <v>180</v>
      </c>
    </row>
    <row r="46" spans="1:6" x14ac:dyDescent="0.2">
      <c r="A46" t="s">
        <v>58</v>
      </c>
      <c r="B46" t="s">
        <v>111</v>
      </c>
      <c r="C46">
        <v>6</v>
      </c>
      <c r="D46">
        <v>4.9980122731803096</v>
      </c>
      <c r="E46">
        <v>0.33333333333333298</v>
      </c>
      <c r="F46" t="s">
        <v>180</v>
      </c>
    </row>
    <row r="47" spans="1:6" x14ac:dyDescent="0.2">
      <c r="A47" t="s">
        <v>111</v>
      </c>
      <c r="B47" t="s">
        <v>163</v>
      </c>
      <c r="C47">
        <v>6</v>
      </c>
      <c r="D47">
        <v>4.9980122731803096</v>
      </c>
      <c r="E47">
        <v>0.33333333333333298</v>
      </c>
      <c r="F47" t="s">
        <v>180</v>
      </c>
    </row>
    <row r="48" spans="1:6" x14ac:dyDescent="0.2">
      <c r="A48" t="s">
        <v>111</v>
      </c>
      <c r="B48" t="s">
        <v>125</v>
      </c>
      <c r="C48">
        <v>6</v>
      </c>
      <c r="D48">
        <v>4.9980122731803096</v>
      </c>
      <c r="E48">
        <v>0.33333333333333298</v>
      </c>
      <c r="F48" t="s">
        <v>180</v>
      </c>
    </row>
    <row r="49" spans="1:6" x14ac:dyDescent="0.2">
      <c r="A49" t="s">
        <v>163</v>
      </c>
      <c r="B49" t="s">
        <v>90</v>
      </c>
      <c r="C49">
        <v>6</v>
      </c>
      <c r="D49">
        <v>4.9980122731803096</v>
      </c>
      <c r="E49">
        <v>0.33333333333333298</v>
      </c>
      <c r="F49" t="s">
        <v>180</v>
      </c>
    </row>
    <row r="50" spans="1:6" x14ac:dyDescent="0.2">
      <c r="A50" t="s">
        <v>163</v>
      </c>
      <c r="B50" t="s">
        <v>125</v>
      </c>
      <c r="C50">
        <v>6</v>
      </c>
      <c r="D50">
        <v>4.9980122731803096</v>
      </c>
      <c r="E50">
        <v>0.33333333333333298</v>
      </c>
      <c r="F50" t="s">
        <v>180</v>
      </c>
    </row>
    <row r="51" spans="1:6" x14ac:dyDescent="0.2">
      <c r="A51" t="s">
        <v>102</v>
      </c>
      <c r="B51" t="s">
        <v>90</v>
      </c>
      <c r="C51">
        <v>8</v>
      </c>
      <c r="D51">
        <v>4.7280616382343297</v>
      </c>
      <c r="E51">
        <v>0.25</v>
      </c>
      <c r="F51" t="s">
        <v>181</v>
      </c>
    </row>
    <row r="52" spans="1:6" x14ac:dyDescent="0.2">
      <c r="A52" t="s">
        <v>58</v>
      </c>
      <c r="B52" t="s">
        <v>79</v>
      </c>
      <c r="C52">
        <v>8</v>
      </c>
      <c r="D52">
        <v>4.7280616382343297</v>
      </c>
      <c r="E52">
        <v>0.25</v>
      </c>
      <c r="F52" t="s">
        <v>181</v>
      </c>
    </row>
    <row r="53" spans="1:6" x14ac:dyDescent="0.2">
      <c r="A53" t="s">
        <v>90</v>
      </c>
      <c r="B53" t="s">
        <v>79</v>
      </c>
      <c r="C53">
        <v>8</v>
      </c>
      <c r="D53">
        <v>4.7280616382343297</v>
      </c>
      <c r="E53">
        <v>0.25</v>
      </c>
      <c r="F53" t="s">
        <v>181</v>
      </c>
    </row>
    <row r="54" spans="1:6" x14ac:dyDescent="0.2">
      <c r="A54" t="s">
        <v>163</v>
      </c>
      <c r="B54" t="s">
        <v>104</v>
      </c>
      <c r="C54">
        <v>8</v>
      </c>
      <c r="D54">
        <v>4.7280616382343297</v>
      </c>
      <c r="E54">
        <v>0.25</v>
      </c>
      <c r="F54" t="s">
        <v>181</v>
      </c>
    </row>
    <row r="55" spans="1:6" x14ac:dyDescent="0.2">
      <c r="A55" t="s">
        <v>58</v>
      </c>
      <c r="B55" t="s">
        <v>104</v>
      </c>
      <c r="C55">
        <v>8</v>
      </c>
      <c r="D55">
        <v>4.7280616382343297</v>
      </c>
      <c r="E55">
        <v>0.25</v>
      </c>
      <c r="F55" t="s">
        <v>181</v>
      </c>
    </row>
    <row r="56" spans="1:6" x14ac:dyDescent="0.2">
      <c r="A56" t="s">
        <v>90</v>
      </c>
      <c r="B56" t="s">
        <v>104</v>
      </c>
      <c r="C56">
        <v>8</v>
      </c>
      <c r="D56">
        <v>4.7280616382343297</v>
      </c>
      <c r="E56">
        <v>0.25</v>
      </c>
      <c r="F56" t="s">
        <v>181</v>
      </c>
    </row>
    <row r="57" spans="1:6" x14ac:dyDescent="0.2">
      <c r="A57" t="s">
        <v>58</v>
      </c>
      <c r="B57" t="s">
        <v>102</v>
      </c>
      <c r="C57">
        <v>8</v>
      </c>
      <c r="D57">
        <v>4.7280616382343297</v>
      </c>
      <c r="E57">
        <v>0.25</v>
      </c>
      <c r="F57" t="s">
        <v>181</v>
      </c>
    </row>
    <row r="58" spans="1:6" x14ac:dyDescent="0.2">
      <c r="A58" t="s">
        <v>129</v>
      </c>
      <c r="B58" t="s">
        <v>66</v>
      </c>
      <c r="C58">
        <v>8</v>
      </c>
      <c r="D58">
        <v>4.7280616382343297</v>
      </c>
      <c r="E58">
        <v>0.25</v>
      </c>
      <c r="F58" t="s">
        <v>182</v>
      </c>
    </row>
    <row r="59" spans="1:6" x14ac:dyDescent="0.2">
      <c r="A59" t="s">
        <v>104</v>
      </c>
      <c r="B59" t="s">
        <v>79</v>
      </c>
      <c r="C59">
        <v>8</v>
      </c>
      <c r="D59">
        <v>4.7280616382343297</v>
      </c>
      <c r="E59">
        <v>0.25</v>
      </c>
      <c r="F59" t="s">
        <v>181</v>
      </c>
    </row>
    <row r="60" spans="1:6" x14ac:dyDescent="0.2">
      <c r="A60" t="s">
        <v>32</v>
      </c>
      <c r="B60" t="s">
        <v>73</v>
      </c>
      <c r="C60">
        <v>8</v>
      </c>
      <c r="D60">
        <v>4.7280616382343297</v>
      </c>
      <c r="E60">
        <v>0.25</v>
      </c>
      <c r="F60" t="s">
        <v>183</v>
      </c>
    </row>
    <row r="61" spans="1:6" x14ac:dyDescent="0.2">
      <c r="A61" t="s">
        <v>102</v>
      </c>
      <c r="B61" t="s">
        <v>79</v>
      </c>
      <c r="C61">
        <v>8</v>
      </c>
      <c r="D61">
        <v>4.7280616382343297</v>
      </c>
      <c r="E61">
        <v>0.25</v>
      </c>
      <c r="F61" t="s">
        <v>181</v>
      </c>
    </row>
    <row r="62" spans="1:6" x14ac:dyDescent="0.2">
      <c r="A62" t="s">
        <v>102</v>
      </c>
      <c r="B62" t="s">
        <v>104</v>
      </c>
      <c r="C62">
        <v>8</v>
      </c>
      <c r="D62">
        <v>4.7280616382343297</v>
      </c>
      <c r="E62">
        <v>0.25</v>
      </c>
      <c r="F62" t="s">
        <v>181</v>
      </c>
    </row>
    <row r="63" spans="1:6" x14ac:dyDescent="0.2">
      <c r="A63" t="s">
        <v>102</v>
      </c>
      <c r="B63" t="s">
        <v>163</v>
      </c>
      <c r="C63">
        <v>8</v>
      </c>
      <c r="D63">
        <v>4.7280616382343297</v>
      </c>
      <c r="E63">
        <v>0.25</v>
      </c>
      <c r="F63" t="s">
        <v>181</v>
      </c>
    </row>
    <row r="64" spans="1:6" x14ac:dyDescent="0.2">
      <c r="A64" t="s">
        <v>106</v>
      </c>
      <c r="B64" t="s">
        <v>32</v>
      </c>
      <c r="C64">
        <v>9</v>
      </c>
      <c r="D64">
        <v>4.6175382226098201</v>
      </c>
      <c r="E64">
        <v>0.22222222222222199</v>
      </c>
      <c r="F64" t="s">
        <v>184</v>
      </c>
    </row>
    <row r="65" spans="1:6" x14ac:dyDescent="0.2">
      <c r="A65" t="s">
        <v>53</v>
      </c>
      <c r="B65" t="s">
        <v>32</v>
      </c>
      <c r="C65">
        <v>9</v>
      </c>
      <c r="D65">
        <v>4.6175382226098201</v>
      </c>
      <c r="E65">
        <v>0.22222222222222199</v>
      </c>
      <c r="F65" t="s">
        <v>184</v>
      </c>
    </row>
    <row r="66" spans="1:6" x14ac:dyDescent="0.2">
      <c r="A66" t="s">
        <v>53</v>
      </c>
      <c r="B66" t="s">
        <v>55</v>
      </c>
      <c r="C66">
        <v>9</v>
      </c>
      <c r="D66">
        <v>4.6175382226098201</v>
      </c>
      <c r="E66">
        <v>0.22222222222222199</v>
      </c>
      <c r="F66" t="s">
        <v>184</v>
      </c>
    </row>
    <row r="67" spans="1:6" x14ac:dyDescent="0.2">
      <c r="A67" t="s">
        <v>106</v>
      </c>
      <c r="B67" t="s">
        <v>53</v>
      </c>
      <c r="C67">
        <v>9</v>
      </c>
      <c r="D67">
        <v>4.6175382226098201</v>
      </c>
      <c r="E67">
        <v>0.22222222222222199</v>
      </c>
      <c r="F67" t="s">
        <v>184</v>
      </c>
    </row>
    <row r="68" spans="1:6" x14ac:dyDescent="0.2">
      <c r="A68" t="s">
        <v>108</v>
      </c>
      <c r="B68" t="s">
        <v>73</v>
      </c>
      <c r="C68">
        <v>9</v>
      </c>
      <c r="D68">
        <v>4.6175382226098201</v>
      </c>
      <c r="E68">
        <v>0.22222222222222199</v>
      </c>
      <c r="F68" t="s">
        <v>184</v>
      </c>
    </row>
    <row r="69" spans="1:6" x14ac:dyDescent="0.2">
      <c r="A69" t="s">
        <v>107</v>
      </c>
      <c r="B69" t="s">
        <v>58</v>
      </c>
      <c r="C69">
        <v>9</v>
      </c>
      <c r="D69">
        <v>4.6175382226098201</v>
      </c>
      <c r="E69">
        <v>0.22222222222222199</v>
      </c>
      <c r="F69" t="s">
        <v>184</v>
      </c>
    </row>
    <row r="70" spans="1:6" x14ac:dyDescent="0.2">
      <c r="A70" t="s">
        <v>73</v>
      </c>
      <c r="B70" t="s">
        <v>55</v>
      </c>
      <c r="C70">
        <v>9</v>
      </c>
      <c r="D70">
        <v>4.6175382226098201</v>
      </c>
      <c r="E70">
        <v>0.22222222222222199</v>
      </c>
      <c r="F70" t="s">
        <v>184</v>
      </c>
    </row>
    <row r="71" spans="1:6" x14ac:dyDescent="0.2">
      <c r="A71" t="s">
        <v>58</v>
      </c>
      <c r="B71" t="s">
        <v>55</v>
      </c>
      <c r="C71">
        <v>9</v>
      </c>
      <c r="D71">
        <v>4.6175382226098201</v>
      </c>
      <c r="E71">
        <v>0.22222222222222199</v>
      </c>
      <c r="F71" t="s">
        <v>184</v>
      </c>
    </row>
    <row r="72" spans="1:6" x14ac:dyDescent="0.2">
      <c r="A72" t="s">
        <v>106</v>
      </c>
      <c r="B72" t="s">
        <v>73</v>
      </c>
      <c r="C72">
        <v>9</v>
      </c>
      <c r="D72">
        <v>4.6175382226098201</v>
      </c>
      <c r="E72">
        <v>0.22222222222222199</v>
      </c>
      <c r="F72" t="s">
        <v>184</v>
      </c>
    </row>
    <row r="73" spans="1:6" x14ac:dyDescent="0.2">
      <c r="A73" t="s">
        <v>107</v>
      </c>
      <c r="B73" t="s">
        <v>73</v>
      </c>
      <c r="C73">
        <v>9</v>
      </c>
      <c r="D73">
        <v>4.6175382226098201</v>
      </c>
      <c r="E73">
        <v>0.22222222222222199</v>
      </c>
      <c r="F73" t="s">
        <v>184</v>
      </c>
    </row>
    <row r="74" spans="1:6" x14ac:dyDescent="0.2">
      <c r="A74" t="s">
        <v>53</v>
      </c>
      <c r="B74" t="s">
        <v>118</v>
      </c>
      <c r="C74">
        <v>9</v>
      </c>
      <c r="D74">
        <v>4.6175382226098201</v>
      </c>
      <c r="E74">
        <v>0.22222222222222199</v>
      </c>
      <c r="F74" t="s">
        <v>185</v>
      </c>
    </row>
    <row r="75" spans="1:6" x14ac:dyDescent="0.2">
      <c r="A75" t="s">
        <v>108</v>
      </c>
      <c r="B75" t="s">
        <v>58</v>
      </c>
      <c r="C75">
        <v>9</v>
      </c>
      <c r="D75">
        <v>4.6175382226098201</v>
      </c>
      <c r="E75">
        <v>0.22222222222222199</v>
      </c>
      <c r="F75" t="s">
        <v>184</v>
      </c>
    </row>
    <row r="76" spans="1:6" x14ac:dyDescent="0.2">
      <c r="A76" t="s">
        <v>58</v>
      </c>
      <c r="B76" t="s">
        <v>73</v>
      </c>
      <c r="C76">
        <v>9</v>
      </c>
      <c r="D76">
        <v>4.6175382226098201</v>
      </c>
      <c r="E76">
        <v>0.22222222222222199</v>
      </c>
      <c r="F76" t="s">
        <v>184</v>
      </c>
    </row>
    <row r="77" spans="1:6" x14ac:dyDescent="0.2">
      <c r="A77" t="s">
        <v>107</v>
      </c>
      <c r="B77" t="s">
        <v>32</v>
      </c>
      <c r="C77">
        <v>9</v>
      </c>
      <c r="D77">
        <v>4.6175382226098201</v>
      </c>
      <c r="E77">
        <v>0.22222222222222199</v>
      </c>
      <c r="F77" t="s">
        <v>184</v>
      </c>
    </row>
    <row r="78" spans="1:6" x14ac:dyDescent="0.2">
      <c r="A78" t="s">
        <v>108</v>
      </c>
      <c r="B78" t="s">
        <v>53</v>
      </c>
      <c r="C78">
        <v>9</v>
      </c>
      <c r="D78">
        <v>4.6175382226098201</v>
      </c>
      <c r="E78">
        <v>0.22222222222222199</v>
      </c>
      <c r="F78" t="s">
        <v>184</v>
      </c>
    </row>
    <row r="79" spans="1:6" x14ac:dyDescent="0.2">
      <c r="A79" t="s">
        <v>186</v>
      </c>
      <c r="B79" t="s">
        <v>53</v>
      </c>
      <c r="C79">
        <v>9</v>
      </c>
      <c r="D79">
        <v>4.6175382226098201</v>
      </c>
      <c r="E79">
        <v>0.22222222222222199</v>
      </c>
      <c r="F79" t="s">
        <v>185</v>
      </c>
    </row>
    <row r="80" spans="1:6" x14ac:dyDescent="0.2">
      <c r="A80" t="s">
        <v>53</v>
      </c>
      <c r="B80" t="s">
        <v>65</v>
      </c>
      <c r="C80">
        <v>9</v>
      </c>
      <c r="D80">
        <v>4.6175382226098201</v>
      </c>
      <c r="E80">
        <v>0.22222222222222199</v>
      </c>
      <c r="F80" t="s">
        <v>185</v>
      </c>
    </row>
    <row r="81" spans="1:6" x14ac:dyDescent="0.2">
      <c r="A81" t="s">
        <v>129</v>
      </c>
      <c r="B81" t="s">
        <v>118</v>
      </c>
      <c r="C81">
        <v>9</v>
      </c>
      <c r="D81">
        <v>4.6175382226098201</v>
      </c>
      <c r="E81">
        <v>0.22222222222222199</v>
      </c>
      <c r="F81" t="s">
        <v>185</v>
      </c>
    </row>
    <row r="82" spans="1:6" x14ac:dyDescent="0.2">
      <c r="A82" t="s">
        <v>53</v>
      </c>
      <c r="B82" t="s">
        <v>129</v>
      </c>
      <c r="C82">
        <v>9</v>
      </c>
      <c r="D82">
        <v>4.6175382226098201</v>
      </c>
      <c r="E82">
        <v>0.22222222222222199</v>
      </c>
      <c r="F82" t="s">
        <v>185</v>
      </c>
    </row>
    <row r="83" spans="1:6" x14ac:dyDescent="0.2">
      <c r="A83" t="s">
        <v>108</v>
      </c>
      <c r="B83" t="s">
        <v>55</v>
      </c>
      <c r="C83">
        <v>9</v>
      </c>
      <c r="D83">
        <v>4.6175382226098201</v>
      </c>
      <c r="E83">
        <v>0.22222222222222199</v>
      </c>
      <c r="F83" t="s">
        <v>184</v>
      </c>
    </row>
    <row r="84" spans="1:6" x14ac:dyDescent="0.2">
      <c r="A84" t="s">
        <v>186</v>
      </c>
      <c r="B84" t="s">
        <v>129</v>
      </c>
      <c r="C84">
        <v>9</v>
      </c>
      <c r="D84">
        <v>4.6175382226098201</v>
      </c>
      <c r="E84">
        <v>0.22222222222222199</v>
      </c>
      <c r="F84" t="s">
        <v>185</v>
      </c>
    </row>
    <row r="85" spans="1:6" x14ac:dyDescent="0.2">
      <c r="A85" t="s">
        <v>65</v>
      </c>
      <c r="B85" t="s">
        <v>66</v>
      </c>
      <c r="C85">
        <v>9</v>
      </c>
      <c r="D85">
        <v>4.6175382226098201</v>
      </c>
      <c r="E85">
        <v>0.22222222222222199</v>
      </c>
      <c r="F85" t="s">
        <v>185</v>
      </c>
    </row>
    <row r="86" spans="1:6" x14ac:dyDescent="0.2">
      <c r="A86" t="s">
        <v>107</v>
      </c>
      <c r="B86" t="s">
        <v>53</v>
      </c>
      <c r="C86">
        <v>9</v>
      </c>
      <c r="D86">
        <v>4.6175382226098201</v>
      </c>
      <c r="E86">
        <v>0.22222222222222199</v>
      </c>
      <c r="F86" t="s">
        <v>184</v>
      </c>
    </row>
    <row r="87" spans="1:6" x14ac:dyDescent="0.2">
      <c r="A87" t="s">
        <v>186</v>
      </c>
      <c r="B87" t="s">
        <v>65</v>
      </c>
      <c r="C87">
        <v>9</v>
      </c>
      <c r="D87">
        <v>4.6175382226098201</v>
      </c>
      <c r="E87">
        <v>0.22222222222222199</v>
      </c>
      <c r="F87" t="s">
        <v>185</v>
      </c>
    </row>
    <row r="88" spans="1:6" x14ac:dyDescent="0.2">
      <c r="A88" t="s">
        <v>106</v>
      </c>
      <c r="B88" t="s">
        <v>55</v>
      </c>
      <c r="C88">
        <v>9</v>
      </c>
      <c r="D88">
        <v>4.6175382226098201</v>
      </c>
      <c r="E88">
        <v>0.22222222222222199</v>
      </c>
      <c r="F88" t="s">
        <v>184</v>
      </c>
    </row>
    <row r="89" spans="1:6" x14ac:dyDescent="0.2">
      <c r="A89" t="s">
        <v>53</v>
      </c>
      <c r="B89" t="s">
        <v>73</v>
      </c>
      <c r="C89">
        <v>9</v>
      </c>
      <c r="D89">
        <v>4.6175382226098201</v>
      </c>
      <c r="E89">
        <v>0.22222222222222199</v>
      </c>
      <c r="F89" t="s">
        <v>184</v>
      </c>
    </row>
    <row r="90" spans="1:6" x14ac:dyDescent="0.2">
      <c r="A90" t="s">
        <v>107</v>
      </c>
      <c r="B90" t="s">
        <v>55</v>
      </c>
      <c r="C90">
        <v>9</v>
      </c>
      <c r="D90">
        <v>4.6175382226098201</v>
      </c>
      <c r="E90">
        <v>0.22222222222222199</v>
      </c>
      <c r="F90" t="s">
        <v>184</v>
      </c>
    </row>
    <row r="91" spans="1:6" x14ac:dyDescent="0.2">
      <c r="A91" t="s">
        <v>186</v>
      </c>
      <c r="B91" t="s">
        <v>118</v>
      </c>
      <c r="C91">
        <v>9</v>
      </c>
      <c r="D91">
        <v>4.6175382226098201</v>
      </c>
      <c r="E91">
        <v>0.22222222222222199</v>
      </c>
      <c r="F91" t="s">
        <v>185</v>
      </c>
    </row>
    <row r="92" spans="1:6" x14ac:dyDescent="0.2">
      <c r="A92" t="s">
        <v>65</v>
      </c>
      <c r="B92" t="s">
        <v>118</v>
      </c>
      <c r="C92">
        <v>9</v>
      </c>
      <c r="D92">
        <v>4.6175382226098201</v>
      </c>
      <c r="E92">
        <v>0.22222222222222199</v>
      </c>
      <c r="F92" t="s">
        <v>185</v>
      </c>
    </row>
    <row r="93" spans="1:6" x14ac:dyDescent="0.2">
      <c r="A93" t="s">
        <v>53</v>
      </c>
      <c r="B93" t="s">
        <v>66</v>
      </c>
      <c r="C93">
        <v>9</v>
      </c>
      <c r="D93">
        <v>4.6175382226098201</v>
      </c>
      <c r="E93">
        <v>0.22222222222222199</v>
      </c>
      <c r="F93" t="s">
        <v>185</v>
      </c>
    </row>
    <row r="94" spans="1:6" x14ac:dyDescent="0.2">
      <c r="A94" t="s">
        <v>58</v>
      </c>
      <c r="B94" t="s">
        <v>53</v>
      </c>
      <c r="C94">
        <v>9</v>
      </c>
      <c r="D94">
        <v>4.6175382226098201</v>
      </c>
      <c r="E94">
        <v>0.22222222222222199</v>
      </c>
      <c r="F94" t="s">
        <v>184</v>
      </c>
    </row>
    <row r="95" spans="1:6" x14ac:dyDescent="0.2">
      <c r="A95" t="s">
        <v>186</v>
      </c>
      <c r="B95" t="s">
        <v>66</v>
      </c>
      <c r="C95">
        <v>9</v>
      </c>
      <c r="D95">
        <v>4.6175382226098201</v>
      </c>
      <c r="E95">
        <v>0.22222222222222199</v>
      </c>
      <c r="F95" t="s">
        <v>185</v>
      </c>
    </row>
    <row r="96" spans="1:6" x14ac:dyDescent="0.2">
      <c r="A96" t="s">
        <v>129</v>
      </c>
      <c r="B96" t="s">
        <v>65</v>
      </c>
      <c r="C96">
        <v>9</v>
      </c>
      <c r="D96">
        <v>4.6175382226098201</v>
      </c>
      <c r="E96">
        <v>0.22222222222222199</v>
      </c>
      <c r="F96" t="s">
        <v>185</v>
      </c>
    </row>
    <row r="97" spans="1:6" x14ac:dyDescent="0.2">
      <c r="A97" t="s">
        <v>108</v>
      </c>
      <c r="B97" t="s">
        <v>32</v>
      </c>
      <c r="C97">
        <v>9</v>
      </c>
      <c r="D97">
        <v>4.6175382226098201</v>
      </c>
      <c r="E97">
        <v>0.22222222222222199</v>
      </c>
      <c r="F97" t="s">
        <v>184</v>
      </c>
    </row>
    <row r="98" spans="1:6" x14ac:dyDescent="0.2">
      <c r="A98" t="s">
        <v>66</v>
      </c>
      <c r="B98" t="s">
        <v>118</v>
      </c>
      <c r="C98">
        <v>9</v>
      </c>
      <c r="D98">
        <v>4.6175382226098201</v>
      </c>
      <c r="E98">
        <v>0.22222222222222199</v>
      </c>
      <c r="F98" t="s">
        <v>185</v>
      </c>
    </row>
    <row r="99" spans="1:6" x14ac:dyDescent="0.2">
      <c r="A99" t="s">
        <v>58</v>
      </c>
      <c r="B99" t="s">
        <v>32</v>
      </c>
      <c r="C99">
        <v>9</v>
      </c>
      <c r="D99">
        <v>4.6175382226098201</v>
      </c>
      <c r="E99">
        <v>0.22222222222222199</v>
      </c>
      <c r="F99" t="s">
        <v>184</v>
      </c>
    </row>
    <row r="100" spans="1:6" x14ac:dyDescent="0.2">
      <c r="A100" t="s">
        <v>32</v>
      </c>
      <c r="B100" t="s">
        <v>55</v>
      </c>
      <c r="C100">
        <v>9</v>
      </c>
      <c r="D100">
        <v>4.6175382226098201</v>
      </c>
      <c r="E100">
        <v>0.22222222222222199</v>
      </c>
      <c r="F100" t="s">
        <v>184</v>
      </c>
    </row>
    <row r="101" spans="1:6" x14ac:dyDescent="0.2">
      <c r="A101" t="s">
        <v>187</v>
      </c>
      <c r="B101" t="s">
        <v>55</v>
      </c>
      <c r="C101">
        <v>10</v>
      </c>
      <c r="D101">
        <v>4.51867165835829</v>
      </c>
      <c r="E101">
        <v>0.2</v>
      </c>
      <c r="F101" t="s">
        <v>188</v>
      </c>
    </row>
    <row r="102" spans="1:6" x14ac:dyDescent="0.2">
      <c r="A102" t="s">
        <v>187</v>
      </c>
      <c r="B102" t="s">
        <v>53</v>
      </c>
      <c r="C102">
        <v>10</v>
      </c>
      <c r="D102">
        <v>4.51867165835829</v>
      </c>
      <c r="E102">
        <v>0.2</v>
      </c>
      <c r="F102" t="s">
        <v>188</v>
      </c>
    </row>
    <row r="103" spans="1:6" x14ac:dyDescent="0.2">
      <c r="A103" t="s">
        <v>189</v>
      </c>
      <c r="B103" t="s">
        <v>55</v>
      </c>
      <c r="C103">
        <v>10</v>
      </c>
      <c r="D103">
        <v>4.51867165835829</v>
      </c>
      <c r="E103">
        <v>0.2</v>
      </c>
      <c r="F103" t="s">
        <v>188</v>
      </c>
    </row>
    <row r="104" spans="1:6" x14ac:dyDescent="0.2">
      <c r="A104" t="s">
        <v>187</v>
      </c>
      <c r="B104" t="s">
        <v>17</v>
      </c>
      <c r="C104">
        <v>10</v>
      </c>
      <c r="D104">
        <v>4.51867165835829</v>
      </c>
      <c r="E104">
        <v>0.2</v>
      </c>
      <c r="F104" t="s">
        <v>188</v>
      </c>
    </row>
    <row r="105" spans="1:6" x14ac:dyDescent="0.2">
      <c r="A105" t="s">
        <v>17</v>
      </c>
      <c r="B105" t="s">
        <v>189</v>
      </c>
      <c r="C105">
        <v>10</v>
      </c>
      <c r="D105">
        <v>4.51867165835829</v>
      </c>
      <c r="E105">
        <v>0.2</v>
      </c>
      <c r="F105" t="s">
        <v>190</v>
      </c>
    </row>
    <row r="106" spans="1:6" x14ac:dyDescent="0.2">
      <c r="A106" t="s">
        <v>119</v>
      </c>
      <c r="B106" t="s">
        <v>55</v>
      </c>
      <c r="C106">
        <v>10</v>
      </c>
      <c r="D106">
        <v>4.51867165835829</v>
      </c>
      <c r="E106">
        <v>0.2</v>
      </c>
      <c r="F106" t="s">
        <v>190</v>
      </c>
    </row>
    <row r="107" spans="1:6" x14ac:dyDescent="0.2">
      <c r="A107" t="s">
        <v>17</v>
      </c>
      <c r="B107" t="s">
        <v>55</v>
      </c>
      <c r="C107">
        <v>10</v>
      </c>
      <c r="D107">
        <v>4.51867165835829</v>
      </c>
      <c r="E107">
        <v>0.2</v>
      </c>
      <c r="F107" t="s">
        <v>190</v>
      </c>
    </row>
    <row r="108" spans="1:6" x14ac:dyDescent="0.2">
      <c r="A108" t="s">
        <v>17</v>
      </c>
      <c r="B108" t="s">
        <v>53</v>
      </c>
      <c r="C108">
        <v>10</v>
      </c>
      <c r="D108">
        <v>4.51867165835829</v>
      </c>
      <c r="E108">
        <v>0.2</v>
      </c>
      <c r="F108" t="s">
        <v>190</v>
      </c>
    </row>
    <row r="109" spans="1:6" x14ac:dyDescent="0.2">
      <c r="A109" t="s">
        <v>119</v>
      </c>
      <c r="B109" t="s">
        <v>187</v>
      </c>
      <c r="C109">
        <v>10</v>
      </c>
      <c r="D109">
        <v>4.51867165835829</v>
      </c>
      <c r="E109">
        <v>0.2</v>
      </c>
      <c r="F109" t="s">
        <v>190</v>
      </c>
    </row>
    <row r="110" spans="1:6" x14ac:dyDescent="0.2">
      <c r="A110" t="s">
        <v>187</v>
      </c>
      <c r="B110" t="s">
        <v>189</v>
      </c>
      <c r="C110">
        <v>10</v>
      </c>
      <c r="D110">
        <v>4.51867165835829</v>
      </c>
      <c r="E110">
        <v>0.2</v>
      </c>
      <c r="F110" t="s">
        <v>188</v>
      </c>
    </row>
    <row r="111" spans="1:6" x14ac:dyDescent="0.2">
      <c r="A111" t="s">
        <v>53</v>
      </c>
      <c r="B111" t="s">
        <v>189</v>
      </c>
      <c r="C111">
        <v>10</v>
      </c>
      <c r="D111">
        <v>4.51867165835829</v>
      </c>
      <c r="E111">
        <v>0.2</v>
      </c>
      <c r="F111" t="s">
        <v>188</v>
      </c>
    </row>
    <row r="112" spans="1:6" x14ac:dyDescent="0.2">
      <c r="A112" t="s">
        <v>119</v>
      </c>
      <c r="B112" t="s">
        <v>189</v>
      </c>
      <c r="C112">
        <v>10</v>
      </c>
      <c r="D112">
        <v>4.51867165835829</v>
      </c>
      <c r="E112">
        <v>0.2</v>
      </c>
      <c r="F112" t="s">
        <v>190</v>
      </c>
    </row>
    <row r="113" spans="1:6" x14ac:dyDescent="0.2">
      <c r="A113" t="s">
        <v>119</v>
      </c>
      <c r="B113" t="s">
        <v>17</v>
      </c>
      <c r="C113">
        <v>10</v>
      </c>
      <c r="D113">
        <v>4.51867165835829</v>
      </c>
      <c r="E113">
        <v>0.2</v>
      </c>
      <c r="F113" t="s">
        <v>190</v>
      </c>
    </row>
    <row r="114" spans="1:6" x14ac:dyDescent="0.2">
      <c r="A114" t="s">
        <v>119</v>
      </c>
      <c r="B114" t="s">
        <v>53</v>
      </c>
      <c r="C114">
        <v>10</v>
      </c>
      <c r="D114">
        <v>4.51867165835829</v>
      </c>
      <c r="E114">
        <v>0.2</v>
      </c>
      <c r="F114" t="s">
        <v>190</v>
      </c>
    </row>
    <row r="115" spans="1:6" x14ac:dyDescent="0.2">
      <c r="A115" t="s">
        <v>75</v>
      </c>
      <c r="B115" t="s">
        <v>189</v>
      </c>
      <c r="C115">
        <v>11</v>
      </c>
      <c r="D115">
        <v>4.4292359721658299</v>
      </c>
      <c r="E115">
        <v>0.18181818181818199</v>
      </c>
      <c r="F115" t="s">
        <v>191</v>
      </c>
    </row>
    <row r="116" spans="1:6" x14ac:dyDescent="0.2">
      <c r="A116" t="s">
        <v>53</v>
      </c>
      <c r="B116" t="s">
        <v>70</v>
      </c>
      <c r="C116">
        <v>11</v>
      </c>
      <c r="D116">
        <v>4.4292359721658299</v>
      </c>
      <c r="E116">
        <v>0.18181818181818199</v>
      </c>
      <c r="F116" t="s">
        <v>191</v>
      </c>
    </row>
    <row r="117" spans="1:6" x14ac:dyDescent="0.2">
      <c r="A117" t="s">
        <v>75</v>
      </c>
      <c r="B117" t="s">
        <v>70</v>
      </c>
      <c r="C117">
        <v>11</v>
      </c>
      <c r="D117">
        <v>4.4292359721658299</v>
      </c>
      <c r="E117">
        <v>0.18181818181818199</v>
      </c>
      <c r="F117" t="s">
        <v>191</v>
      </c>
    </row>
    <row r="118" spans="1:6" x14ac:dyDescent="0.2">
      <c r="A118" t="s">
        <v>102</v>
      </c>
      <c r="B118" t="s">
        <v>111</v>
      </c>
      <c r="C118">
        <v>11</v>
      </c>
      <c r="D118">
        <v>4.4292359721658299</v>
      </c>
      <c r="E118">
        <v>0.18181818181818199</v>
      </c>
      <c r="F118" t="s">
        <v>192</v>
      </c>
    </row>
    <row r="119" spans="1:6" x14ac:dyDescent="0.2">
      <c r="A119" t="s">
        <v>193</v>
      </c>
      <c r="B119" t="s">
        <v>90</v>
      </c>
      <c r="C119">
        <v>11</v>
      </c>
      <c r="D119">
        <v>4.4292359721658299</v>
      </c>
      <c r="E119">
        <v>0.18181818181818199</v>
      </c>
      <c r="F119" t="s">
        <v>192</v>
      </c>
    </row>
    <row r="120" spans="1:6" x14ac:dyDescent="0.2">
      <c r="A120" t="s">
        <v>93</v>
      </c>
      <c r="B120" t="s">
        <v>114</v>
      </c>
      <c r="C120">
        <v>11</v>
      </c>
      <c r="D120">
        <v>4.4292359721658299</v>
      </c>
      <c r="E120">
        <v>0.18181818181818199</v>
      </c>
      <c r="F120" t="s">
        <v>192</v>
      </c>
    </row>
    <row r="121" spans="1:6" x14ac:dyDescent="0.2">
      <c r="A121" t="s">
        <v>102</v>
      </c>
      <c r="B121" t="s">
        <v>114</v>
      </c>
      <c r="C121">
        <v>11</v>
      </c>
      <c r="D121">
        <v>4.4292359721658299</v>
      </c>
      <c r="E121">
        <v>0.18181818181818199</v>
      </c>
      <c r="F121" t="s">
        <v>192</v>
      </c>
    </row>
    <row r="122" spans="1:6" x14ac:dyDescent="0.2">
      <c r="A122" t="s">
        <v>68</v>
      </c>
      <c r="B122" t="s">
        <v>55</v>
      </c>
      <c r="C122">
        <v>11</v>
      </c>
      <c r="D122">
        <v>4.4292359721658299</v>
      </c>
      <c r="E122">
        <v>0.18181818181818199</v>
      </c>
      <c r="F122" t="s">
        <v>191</v>
      </c>
    </row>
    <row r="123" spans="1:6" x14ac:dyDescent="0.2">
      <c r="A123" t="s">
        <v>17</v>
      </c>
      <c r="B123" t="s">
        <v>75</v>
      </c>
      <c r="C123">
        <v>11</v>
      </c>
      <c r="D123">
        <v>4.4292359721658299</v>
      </c>
      <c r="E123">
        <v>0.18181818181818199</v>
      </c>
      <c r="F123" t="s">
        <v>191</v>
      </c>
    </row>
    <row r="124" spans="1:6" x14ac:dyDescent="0.2">
      <c r="A124" t="s">
        <v>89</v>
      </c>
      <c r="B124" t="s">
        <v>121</v>
      </c>
      <c r="C124">
        <v>11</v>
      </c>
      <c r="D124">
        <v>4.4292359721658299</v>
      </c>
      <c r="E124">
        <v>0.18181818181818199</v>
      </c>
      <c r="F124" t="s">
        <v>194</v>
      </c>
    </row>
    <row r="125" spans="1:6" x14ac:dyDescent="0.2">
      <c r="A125" t="s">
        <v>93</v>
      </c>
      <c r="B125" t="s">
        <v>90</v>
      </c>
      <c r="C125">
        <v>11</v>
      </c>
      <c r="D125">
        <v>4.4292359721658299</v>
      </c>
      <c r="E125">
        <v>0.18181818181818199</v>
      </c>
      <c r="F125" t="s">
        <v>192</v>
      </c>
    </row>
    <row r="126" spans="1:6" x14ac:dyDescent="0.2">
      <c r="A126" t="s">
        <v>68</v>
      </c>
      <c r="B126" t="s">
        <v>53</v>
      </c>
      <c r="C126">
        <v>11</v>
      </c>
      <c r="D126">
        <v>4.4292359721658299</v>
      </c>
      <c r="E126">
        <v>0.18181818181818199</v>
      </c>
      <c r="F126" t="s">
        <v>191</v>
      </c>
    </row>
    <row r="127" spans="1:6" x14ac:dyDescent="0.2">
      <c r="A127" t="s">
        <v>114</v>
      </c>
      <c r="B127" t="s">
        <v>90</v>
      </c>
      <c r="C127">
        <v>11</v>
      </c>
      <c r="D127">
        <v>4.4292359721658299</v>
      </c>
      <c r="E127">
        <v>0.18181818181818199</v>
      </c>
      <c r="F127" t="s">
        <v>192</v>
      </c>
    </row>
    <row r="128" spans="1:6" x14ac:dyDescent="0.2">
      <c r="A128" t="s">
        <v>187</v>
      </c>
      <c r="B128" t="s">
        <v>110</v>
      </c>
      <c r="C128">
        <v>11</v>
      </c>
      <c r="D128">
        <v>4.4292359721658299</v>
      </c>
      <c r="E128">
        <v>0.18181818181818199</v>
      </c>
      <c r="F128" t="s">
        <v>191</v>
      </c>
    </row>
    <row r="129" spans="1:6" x14ac:dyDescent="0.2">
      <c r="A129" t="s">
        <v>99</v>
      </c>
      <c r="B129" t="s">
        <v>89</v>
      </c>
      <c r="C129">
        <v>11</v>
      </c>
      <c r="D129">
        <v>4.4292359721658299</v>
      </c>
      <c r="E129">
        <v>0.18181818181818199</v>
      </c>
      <c r="F129" t="s">
        <v>194</v>
      </c>
    </row>
    <row r="130" spans="1:6" x14ac:dyDescent="0.2">
      <c r="A130" t="s">
        <v>189</v>
      </c>
      <c r="B130" t="s">
        <v>70</v>
      </c>
      <c r="C130">
        <v>11</v>
      </c>
      <c r="D130">
        <v>4.4292359721658299</v>
      </c>
      <c r="E130">
        <v>0.18181818181818199</v>
      </c>
      <c r="F130" t="s">
        <v>191</v>
      </c>
    </row>
    <row r="131" spans="1:6" x14ac:dyDescent="0.2">
      <c r="A131" t="s">
        <v>189</v>
      </c>
      <c r="B131" t="s">
        <v>35</v>
      </c>
      <c r="C131">
        <v>11</v>
      </c>
      <c r="D131">
        <v>4.4292359721658299</v>
      </c>
      <c r="E131">
        <v>0.18181818181818199</v>
      </c>
      <c r="F131" t="s">
        <v>191</v>
      </c>
    </row>
    <row r="132" spans="1:6" x14ac:dyDescent="0.2">
      <c r="A132" t="s">
        <v>119</v>
      </c>
      <c r="B132" t="s">
        <v>35</v>
      </c>
      <c r="C132">
        <v>11</v>
      </c>
      <c r="D132">
        <v>4.4292359721658299</v>
      </c>
      <c r="E132">
        <v>0.18181818181818199</v>
      </c>
      <c r="F132" t="s">
        <v>191</v>
      </c>
    </row>
    <row r="133" spans="1:6" x14ac:dyDescent="0.2">
      <c r="A133" t="s">
        <v>111</v>
      </c>
      <c r="B133" t="s">
        <v>124</v>
      </c>
      <c r="C133">
        <v>11</v>
      </c>
      <c r="D133">
        <v>4.4292359721658299</v>
      </c>
      <c r="E133">
        <v>0.18181818181818199</v>
      </c>
      <c r="F133" t="s">
        <v>192</v>
      </c>
    </row>
    <row r="134" spans="1:6" x14ac:dyDescent="0.2">
      <c r="A134" t="s">
        <v>17</v>
      </c>
      <c r="B134" t="s">
        <v>110</v>
      </c>
      <c r="C134">
        <v>11</v>
      </c>
      <c r="D134">
        <v>4.4292359721658299</v>
      </c>
      <c r="E134">
        <v>0.18181818181818199</v>
      </c>
      <c r="F134" t="s">
        <v>191</v>
      </c>
    </row>
    <row r="135" spans="1:6" x14ac:dyDescent="0.2">
      <c r="A135" t="s">
        <v>68</v>
      </c>
      <c r="B135" t="s">
        <v>187</v>
      </c>
      <c r="C135">
        <v>11</v>
      </c>
      <c r="D135">
        <v>4.4292359721658299</v>
      </c>
      <c r="E135">
        <v>0.18181818181818199</v>
      </c>
      <c r="F135" t="s">
        <v>191</v>
      </c>
    </row>
    <row r="136" spans="1:6" x14ac:dyDescent="0.2">
      <c r="A136" t="s">
        <v>119</v>
      </c>
      <c r="B136" t="s">
        <v>68</v>
      </c>
      <c r="C136">
        <v>11</v>
      </c>
      <c r="D136">
        <v>4.4292359721658299</v>
      </c>
      <c r="E136">
        <v>0.18181818181818199</v>
      </c>
      <c r="F136" t="s">
        <v>191</v>
      </c>
    </row>
    <row r="137" spans="1:6" x14ac:dyDescent="0.2">
      <c r="A137" t="s">
        <v>68</v>
      </c>
      <c r="B137" t="s">
        <v>35</v>
      </c>
      <c r="C137">
        <v>11</v>
      </c>
      <c r="D137">
        <v>4.4292359721658299</v>
      </c>
      <c r="E137">
        <v>0.18181818181818199</v>
      </c>
      <c r="F137" t="s">
        <v>191</v>
      </c>
    </row>
    <row r="138" spans="1:6" x14ac:dyDescent="0.2">
      <c r="A138" t="s">
        <v>187</v>
      </c>
      <c r="B138" t="s">
        <v>70</v>
      </c>
      <c r="C138">
        <v>11</v>
      </c>
      <c r="D138">
        <v>4.4292359721658299</v>
      </c>
      <c r="E138">
        <v>0.18181818181818199</v>
      </c>
      <c r="F138" t="s">
        <v>191</v>
      </c>
    </row>
    <row r="139" spans="1:6" x14ac:dyDescent="0.2">
      <c r="A139" t="s">
        <v>111</v>
      </c>
      <c r="B139" t="s">
        <v>114</v>
      </c>
      <c r="C139">
        <v>11</v>
      </c>
      <c r="D139">
        <v>4.4292359721658299</v>
      </c>
      <c r="E139">
        <v>0.18181818181818199</v>
      </c>
      <c r="F139" t="s">
        <v>192</v>
      </c>
    </row>
    <row r="140" spans="1:6" x14ac:dyDescent="0.2">
      <c r="A140" t="s">
        <v>68</v>
      </c>
      <c r="B140" t="s">
        <v>189</v>
      </c>
      <c r="C140">
        <v>11</v>
      </c>
      <c r="D140">
        <v>4.4292359721658299</v>
      </c>
      <c r="E140">
        <v>0.18181818181818199</v>
      </c>
      <c r="F140" t="s">
        <v>191</v>
      </c>
    </row>
    <row r="141" spans="1:6" x14ac:dyDescent="0.2">
      <c r="A141" t="s">
        <v>193</v>
      </c>
      <c r="B141" t="s">
        <v>104</v>
      </c>
      <c r="C141">
        <v>11</v>
      </c>
      <c r="D141">
        <v>4.4292359721658299</v>
      </c>
      <c r="E141">
        <v>0.18181818181818199</v>
      </c>
      <c r="F141" t="s">
        <v>192</v>
      </c>
    </row>
    <row r="142" spans="1:6" x14ac:dyDescent="0.2">
      <c r="A142" t="s">
        <v>17</v>
      </c>
      <c r="B142" t="s">
        <v>70</v>
      </c>
      <c r="C142">
        <v>11</v>
      </c>
      <c r="D142">
        <v>4.4292359721658299</v>
      </c>
      <c r="E142">
        <v>0.18181818181818199</v>
      </c>
      <c r="F142" t="s">
        <v>191</v>
      </c>
    </row>
    <row r="143" spans="1:6" x14ac:dyDescent="0.2">
      <c r="A143" t="s">
        <v>119</v>
      </c>
      <c r="B143" t="s">
        <v>110</v>
      </c>
      <c r="C143">
        <v>11</v>
      </c>
      <c r="D143">
        <v>4.4292359721658299</v>
      </c>
      <c r="E143">
        <v>0.18181818181818199</v>
      </c>
      <c r="F143" t="s">
        <v>191</v>
      </c>
    </row>
    <row r="144" spans="1:6" x14ac:dyDescent="0.2">
      <c r="A144" t="s">
        <v>35</v>
      </c>
      <c r="B144" t="s">
        <v>110</v>
      </c>
      <c r="C144">
        <v>11</v>
      </c>
      <c r="D144">
        <v>4.4292359721658299</v>
      </c>
      <c r="E144">
        <v>0.18181818181818199</v>
      </c>
      <c r="F144" t="s">
        <v>191</v>
      </c>
    </row>
    <row r="145" spans="1:6" x14ac:dyDescent="0.2">
      <c r="A145" t="s">
        <v>119</v>
      </c>
      <c r="B145" t="s">
        <v>75</v>
      </c>
      <c r="C145">
        <v>11</v>
      </c>
      <c r="D145">
        <v>4.4292359721658299</v>
      </c>
      <c r="E145">
        <v>0.18181818181818199</v>
      </c>
      <c r="F145" t="s">
        <v>191</v>
      </c>
    </row>
    <row r="146" spans="1:6" x14ac:dyDescent="0.2">
      <c r="A146" t="s">
        <v>114</v>
      </c>
      <c r="B146" t="s">
        <v>124</v>
      </c>
      <c r="C146">
        <v>11</v>
      </c>
      <c r="D146">
        <v>4.4292359721658299</v>
      </c>
      <c r="E146">
        <v>0.18181818181818199</v>
      </c>
      <c r="F146" t="s">
        <v>192</v>
      </c>
    </row>
    <row r="147" spans="1:6" x14ac:dyDescent="0.2">
      <c r="A147" t="s">
        <v>53</v>
      </c>
      <c r="B147" t="s">
        <v>110</v>
      </c>
      <c r="C147">
        <v>11</v>
      </c>
      <c r="D147">
        <v>4.4292359721658299</v>
      </c>
      <c r="E147">
        <v>0.18181818181818199</v>
      </c>
      <c r="F147" t="s">
        <v>191</v>
      </c>
    </row>
    <row r="148" spans="1:6" x14ac:dyDescent="0.2">
      <c r="A148" t="s">
        <v>93</v>
      </c>
      <c r="B148" t="s">
        <v>104</v>
      </c>
      <c r="C148">
        <v>11</v>
      </c>
      <c r="D148">
        <v>4.4292359721658299</v>
      </c>
      <c r="E148">
        <v>0.18181818181818199</v>
      </c>
      <c r="F148" t="s">
        <v>192</v>
      </c>
    </row>
    <row r="149" spans="1:6" x14ac:dyDescent="0.2">
      <c r="A149" t="s">
        <v>193</v>
      </c>
      <c r="B149" t="s">
        <v>114</v>
      </c>
      <c r="C149">
        <v>11</v>
      </c>
      <c r="D149">
        <v>4.4292359721658299</v>
      </c>
      <c r="E149">
        <v>0.18181818181818199</v>
      </c>
      <c r="F149" t="s">
        <v>192</v>
      </c>
    </row>
    <row r="150" spans="1:6" x14ac:dyDescent="0.2">
      <c r="A150" t="s">
        <v>93</v>
      </c>
      <c r="B150" t="s">
        <v>111</v>
      </c>
      <c r="C150">
        <v>11</v>
      </c>
      <c r="D150">
        <v>4.4292359721658299</v>
      </c>
      <c r="E150">
        <v>0.18181818181818199</v>
      </c>
      <c r="F150" t="s">
        <v>192</v>
      </c>
    </row>
    <row r="151" spans="1:6" x14ac:dyDescent="0.2">
      <c r="A151" t="s">
        <v>75</v>
      </c>
      <c r="B151" t="s">
        <v>35</v>
      </c>
      <c r="C151">
        <v>11</v>
      </c>
      <c r="D151">
        <v>4.4292359721658299</v>
      </c>
      <c r="E151">
        <v>0.18181818181818199</v>
      </c>
      <c r="F151" t="s">
        <v>191</v>
      </c>
    </row>
    <row r="152" spans="1:6" x14ac:dyDescent="0.2">
      <c r="A152" t="s">
        <v>102</v>
      </c>
      <c r="B152" t="s">
        <v>193</v>
      </c>
      <c r="C152">
        <v>11</v>
      </c>
      <c r="D152">
        <v>4.4292359721658299</v>
      </c>
      <c r="E152">
        <v>0.18181818181818199</v>
      </c>
      <c r="F152" t="s">
        <v>192</v>
      </c>
    </row>
    <row r="153" spans="1:6" x14ac:dyDescent="0.2">
      <c r="A153" t="s">
        <v>70</v>
      </c>
      <c r="B153" t="s">
        <v>55</v>
      </c>
      <c r="C153">
        <v>11</v>
      </c>
      <c r="D153">
        <v>4.4292359721658299</v>
      </c>
      <c r="E153">
        <v>0.18181818181818199</v>
      </c>
      <c r="F153" t="s">
        <v>191</v>
      </c>
    </row>
    <row r="154" spans="1:6" x14ac:dyDescent="0.2">
      <c r="A154" t="s">
        <v>93</v>
      </c>
      <c r="B154" t="s">
        <v>163</v>
      </c>
      <c r="C154">
        <v>11</v>
      </c>
      <c r="D154">
        <v>4.4292359721658299</v>
      </c>
      <c r="E154">
        <v>0.18181818181818199</v>
      </c>
      <c r="F154" t="s">
        <v>192</v>
      </c>
    </row>
    <row r="155" spans="1:6" x14ac:dyDescent="0.2">
      <c r="A155" t="s">
        <v>114</v>
      </c>
      <c r="B155" t="s">
        <v>104</v>
      </c>
      <c r="C155">
        <v>11</v>
      </c>
      <c r="D155">
        <v>4.4292359721658299</v>
      </c>
      <c r="E155">
        <v>0.18181818181818199</v>
      </c>
      <c r="F155" t="s">
        <v>192</v>
      </c>
    </row>
    <row r="156" spans="1:6" x14ac:dyDescent="0.2">
      <c r="A156" t="s">
        <v>104</v>
      </c>
      <c r="B156" t="s">
        <v>124</v>
      </c>
      <c r="C156">
        <v>11</v>
      </c>
      <c r="D156">
        <v>4.4292359721658299</v>
      </c>
      <c r="E156">
        <v>0.18181818181818199</v>
      </c>
      <c r="F156" t="s">
        <v>192</v>
      </c>
    </row>
    <row r="157" spans="1:6" x14ac:dyDescent="0.2">
      <c r="A157" t="s">
        <v>90</v>
      </c>
      <c r="B157" t="s">
        <v>124</v>
      </c>
      <c r="C157">
        <v>11</v>
      </c>
      <c r="D157">
        <v>4.4292359721658299</v>
      </c>
      <c r="E157">
        <v>0.18181818181818199</v>
      </c>
      <c r="F157" t="s">
        <v>192</v>
      </c>
    </row>
    <row r="158" spans="1:6" x14ac:dyDescent="0.2">
      <c r="A158" t="s">
        <v>68</v>
      </c>
      <c r="B158" t="s">
        <v>17</v>
      </c>
      <c r="C158">
        <v>11</v>
      </c>
      <c r="D158">
        <v>4.4292359721658299</v>
      </c>
      <c r="E158">
        <v>0.18181818181818199</v>
      </c>
      <c r="F158" t="s">
        <v>191</v>
      </c>
    </row>
    <row r="159" spans="1:6" x14ac:dyDescent="0.2">
      <c r="A159" t="s">
        <v>68</v>
      </c>
      <c r="B159" t="s">
        <v>70</v>
      </c>
      <c r="C159">
        <v>11</v>
      </c>
      <c r="D159">
        <v>4.4292359721658299</v>
      </c>
      <c r="E159">
        <v>0.18181818181818199</v>
      </c>
      <c r="F159" t="s">
        <v>191</v>
      </c>
    </row>
    <row r="160" spans="1:6" x14ac:dyDescent="0.2">
      <c r="A160" t="s">
        <v>111</v>
      </c>
      <c r="B160" t="s">
        <v>104</v>
      </c>
      <c r="C160">
        <v>11</v>
      </c>
      <c r="D160">
        <v>4.4292359721658299</v>
      </c>
      <c r="E160">
        <v>0.18181818181818199</v>
      </c>
      <c r="F160" t="s">
        <v>192</v>
      </c>
    </row>
    <row r="161" spans="1:6" x14ac:dyDescent="0.2">
      <c r="A161" t="s">
        <v>119</v>
      </c>
      <c r="B161" t="s">
        <v>70</v>
      </c>
      <c r="C161">
        <v>11</v>
      </c>
      <c r="D161">
        <v>4.4292359721658299</v>
      </c>
      <c r="E161">
        <v>0.18181818181818199</v>
      </c>
      <c r="F161" t="s">
        <v>191</v>
      </c>
    </row>
    <row r="162" spans="1:6" x14ac:dyDescent="0.2">
      <c r="A162" t="s">
        <v>17</v>
      </c>
      <c r="B162" t="s">
        <v>35</v>
      </c>
      <c r="C162">
        <v>11</v>
      </c>
      <c r="D162">
        <v>4.4292359721658299</v>
      </c>
      <c r="E162">
        <v>0.18181818181818199</v>
      </c>
      <c r="F162" t="s">
        <v>191</v>
      </c>
    </row>
    <row r="163" spans="1:6" x14ac:dyDescent="0.2">
      <c r="A163" t="s">
        <v>163</v>
      </c>
      <c r="B163" t="s">
        <v>124</v>
      </c>
      <c r="C163">
        <v>11</v>
      </c>
      <c r="D163">
        <v>4.4292359721658299</v>
      </c>
      <c r="E163">
        <v>0.18181818181818199</v>
      </c>
      <c r="F163" t="s">
        <v>192</v>
      </c>
    </row>
    <row r="164" spans="1:6" x14ac:dyDescent="0.2">
      <c r="A164" t="s">
        <v>102</v>
      </c>
      <c r="B164" t="s">
        <v>93</v>
      </c>
      <c r="C164">
        <v>11</v>
      </c>
      <c r="D164">
        <v>4.4292359721658299</v>
      </c>
      <c r="E164">
        <v>0.18181818181818199</v>
      </c>
      <c r="F164" t="s">
        <v>192</v>
      </c>
    </row>
    <row r="165" spans="1:6" x14ac:dyDescent="0.2">
      <c r="A165" t="s">
        <v>70</v>
      </c>
      <c r="B165" t="s">
        <v>110</v>
      </c>
      <c r="C165">
        <v>11</v>
      </c>
      <c r="D165">
        <v>4.4292359721658299</v>
      </c>
      <c r="E165">
        <v>0.18181818181818199</v>
      </c>
      <c r="F165" t="s">
        <v>191</v>
      </c>
    </row>
    <row r="166" spans="1:6" x14ac:dyDescent="0.2">
      <c r="A166" t="s">
        <v>189</v>
      </c>
      <c r="B166" t="s">
        <v>110</v>
      </c>
      <c r="C166">
        <v>11</v>
      </c>
      <c r="D166">
        <v>4.4292359721658299</v>
      </c>
      <c r="E166">
        <v>0.18181818181818199</v>
      </c>
      <c r="F166" t="s">
        <v>191</v>
      </c>
    </row>
    <row r="167" spans="1:6" x14ac:dyDescent="0.2">
      <c r="A167" t="s">
        <v>75</v>
      </c>
      <c r="B167" t="s">
        <v>55</v>
      </c>
      <c r="C167">
        <v>11</v>
      </c>
      <c r="D167">
        <v>4.4292359721658299</v>
      </c>
      <c r="E167">
        <v>0.18181818181818199</v>
      </c>
      <c r="F167" t="s">
        <v>191</v>
      </c>
    </row>
    <row r="168" spans="1:6" x14ac:dyDescent="0.2">
      <c r="A168" t="s">
        <v>75</v>
      </c>
      <c r="B168" t="s">
        <v>110</v>
      </c>
      <c r="C168">
        <v>11</v>
      </c>
      <c r="D168">
        <v>4.4292359721658299</v>
      </c>
      <c r="E168">
        <v>0.18181818181818199</v>
      </c>
      <c r="F168" t="s">
        <v>191</v>
      </c>
    </row>
    <row r="169" spans="1:6" x14ac:dyDescent="0.2">
      <c r="A169" t="s">
        <v>68</v>
      </c>
      <c r="B169" t="s">
        <v>75</v>
      </c>
      <c r="C169">
        <v>11</v>
      </c>
      <c r="D169">
        <v>4.4292359721658299</v>
      </c>
      <c r="E169">
        <v>0.18181818181818199</v>
      </c>
      <c r="F169" t="s">
        <v>191</v>
      </c>
    </row>
    <row r="170" spans="1:6" x14ac:dyDescent="0.2">
      <c r="A170" t="s">
        <v>68</v>
      </c>
      <c r="B170" t="s">
        <v>110</v>
      </c>
      <c r="C170">
        <v>11</v>
      </c>
      <c r="D170">
        <v>4.4292359721658299</v>
      </c>
      <c r="E170">
        <v>0.18181818181818199</v>
      </c>
      <c r="F170" t="s">
        <v>191</v>
      </c>
    </row>
    <row r="171" spans="1:6" x14ac:dyDescent="0.2">
      <c r="A171" t="s">
        <v>93</v>
      </c>
      <c r="B171" t="s">
        <v>193</v>
      </c>
      <c r="C171">
        <v>11</v>
      </c>
      <c r="D171">
        <v>4.4292359721658299</v>
      </c>
      <c r="E171">
        <v>0.18181818181818199</v>
      </c>
      <c r="F171" t="s">
        <v>192</v>
      </c>
    </row>
    <row r="172" spans="1:6" x14ac:dyDescent="0.2">
      <c r="A172" t="s">
        <v>35</v>
      </c>
      <c r="B172" t="s">
        <v>55</v>
      </c>
      <c r="C172">
        <v>11</v>
      </c>
      <c r="D172">
        <v>4.4292359721658299</v>
      </c>
      <c r="E172">
        <v>0.18181818181818199</v>
      </c>
      <c r="F172" t="s">
        <v>191</v>
      </c>
    </row>
    <row r="173" spans="1:6" x14ac:dyDescent="0.2">
      <c r="A173" t="s">
        <v>187</v>
      </c>
      <c r="B173" t="s">
        <v>75</v>
      </c>
      <c r="C173">
        <v>11</v>
      </c>
      <c r="D173">
        <v>4.4292359721658299</v>
      </c>
      <c r="E173">
        <v>0.18181818181818199</v>
      </c>
      <c r="F173" t="s">
        <v>191</v>
      </c>
    </row>
    <row r="174" spans="1:6" x14ac:dyDescent="0.2">
      <c r="A174" t="s">
        <v>163</v>
      </c>
      <c r="B174" t="s">
        <v>193</v>
      </c>
      <c r="C174">
        <v>11</v>
      </c>
      <c r="D174">
        <v>4.4292359721658299</v>
      </c>
      <c r="E174">
        <v>0.18181818181818199</v>
      </c>
      <c r="F174" t="s">
        <v>192</v>
      </c>
    </row>
    <row r="175" spans="1:6" x14ac:dyDescent="0.2">
      <c r="A175" t="s">
        <v>187</v>
      </c>
      <c r="B175" t="s">
        <v>35</v>
      </c>
      <c r="C175">
        <v>11</v>
      </c>
      <c r="D175">
        <v>4.4292359721658299</v>
      </c>
      <c r="E175">
        <v>0.18181818181818199</v>
      </c>
      <c r="F175" t="s">
        <v>191</v>
      </c>
    </row>
    <row r="176" spans="1:6" x14ac:dyDescent="0.2">
      <c r="A176" t="s">
        <v>110</v>
      </c>
      <c r="B176" t="s">
        <v>55</v>
      </c>
      <c r="C176">
        <v>11</v>
      </c>
      <c r="D176">
        <v>4.4292359721658299</v>
      </c>
      <c r="E176">
        <v>0.18181818181818199</v>
      </c>
      <c r="F176" t="s">
        <v>191</v>
      </c>
    </row>
    <row r="177" spans="1:6" x14ac:dyDescent="0.2">
      <c r="A177" t="s">
        <v>93</v>
      </c>
      <c r="B177" t="s">
        <v>124</v>
      </c>
      <c r="C177">
        <v>11</v>
      </c>
      <c r="D177">
        <v>4.4292359721658299</v>
      </c>
      <c r="E177">
        <v>0.18181818181818199</v>
      </c>
      <c r="F177" t="s">
        <v>192</v>
      </c>
    </row>
    <row r="178" spans="1:6" x14ac:dyDescent="0.2">
      <c r="A178" t="s">
        <v>53</v>
      </c>
      <c r="B178" t="s">
        <v>75</v>
      </c>
      <c r="C178">
        <v>11</v>
      </c>
      <c r="D178">
        <v>4.4292359721658299</v>
      </c>
      <c r="E178">
        <v>0.18181818181818199</v>
      </c>
      <c r="F178" t="s">
        <v>191</v>
      </c>
    </row>
    <row r="179" spans="1:6" x14ac:dyDescent="0.2">
      <c r="A179" t="s">
        <v>111</v>
      </c>
      <c r="B179" t="s">
        <v>193</v>
      </c>
      <c r="C179">
        <v>11</v>
      </c>
      <c r="D179">
        <v>4.4292359721658299</v>
      </c>
      <c r="E179">
        <v>0.18181818181818199</v>
      </c>
      <c r="F179" t="s">
        <v>192</v>
      </c>
    </row>
    <row r="180" spans="1:6" x14ac:dyDescent="0.2">
      <c r="A180" t="s">
        <v>193</v>
      </c>
      <c r="B180" t="s">
        <v>124</v>
      </c>
      <c r="C180">
        <v>11</v>
      </c>
      <c r="D180">
        <v>4.4292359721658299</v>
      </c>
      <c r="E180">
        <v>0.18181818181818199</v>
      </c>
      <c r="F180" t="s">
        <v>192</v>
      </c>
    </row>
    <row r="181" spans="1:6" x14ac:dyDescent="0.2">
      <c r="A181" t="s">
        <v>53</v>
      </c>
      <c r="B181" t="s">
        <v>35</v>
      </c>
      <c r="C181">
        <v>11</v>
      </c>
      <c r="D181">
        <v>4.4292359721658299</v>
      </c>
      <c r="E181">
        <v>0.18181818181818199</v>
      </c>
      <c r="F181" t="s">
        <v>191</v>
      </c>
    </row>
    <row r="182" spans="1:6" x14ac:dyDescent="0.2">
      <c r="A182" t="s">
        <v>70</v>
      </c>
      <c r="B182" t="s">
        <v>35</v>
      </c>
      <c r="C182">
        <v>11</v>
      </c>
      <c r="D182">
        <v>4.4292359721658299</v>
      </c>
      <c r="E182">
        <v>0.18181818181818199</v>
      </c>
      <c r="F182" t="s">
        <v>191</v>
      </c>
    </row>
    <row r="183" spans="1:6" x14ac:dyDescent="0.2">
      <c r="A183" t="s">
        <v>102</v>
      </c>
      <c r="B183" t="s">
        <v>124</v>
      </c>
      <c r="C183">
        <v>11</v>
      </c>
      <c r="D183">
        <v>4.4292359721658299</v>
      </c>
      <c r="E183">
        <v>0.18181818181818199</v>
      </c>
      <c r="F183" t="s">
        <v>192</v>
      </c>
    </row>
    <row r="184" spans="1:6" x14ac:dyDescent="0.2">
      <c r="A184" t="s">
        <v>163</v>
      </c>
      <c r="B184" t="s">
        <v>189</v>
      </c>
      <c r="C184">
        <v>12</v>
      </c>
      <c r="D184">
        <v>4.3475875876638304</v>
      </c>
      <c r="E184">
        <v>0.16666666666666699</v>
      </c>
      <c r="F184" t="s">
        <v>195</v>
      </c>
    </row>
    <row r="185" spans="1:6" x14ac:dyDescent="0.2">
      <c r="A185" t="s">
        <v>124</v>
      </c>
      <c r="B185" t="s">
        <v>55</v>
      </c>
      <c r="C185">
        <v>12</v>
      </c>
      <c r="D185">
        <v>4.3475875876638304</v>
      </c>
      <c r="E185">
        <v>0.16666666666666699</v>
      </c>
      <c r="F185" t="s">
        <v>195</v>
      </c>
    </row>
    <row r="186" spans="1:6" x14ac:dyDescent="0.2">
      <c r="A186" t="s">
        <v>119</v>
      </c>
      <c r="B186" t="s">
        <v>175</v>
      </c>
      <c r="C186">
        <v>12</v>
      </c>
      <c r="D186">
        <v>4.3475875876638304</v>
      </c>
      <c r="E186">
        <v>0.16666666666666699</v>
      </c>
      <c r="F186" t="s">
        <v>195</v>
      </c>
    </row>
    <row r="187" spans="1:6" x14ac:dyDescent="0.2">
      <c r="A187" t="s">
        <v>178</v>
      </c>
      <c r="B187" t="s">
        <v>36</v>
      </c>
      <c r="C187">
        <v>12</v>
      </c>
      <c r="D187">
        <v>4.3475875876638304</v>
      </c>
      <c r="E187">
        <v>0.16666666666666699</v>
      </c>
      <c r="F187" t="s">
        <v>196</v>
      </c>
    </row>
    <row r="188" spans="1:6" x14ac:dyDescent="0.2">
      <c r="A188" t="s">
        <v>38</v>
      </c>
      <c r="B188" t="s">
        <v>36</v>
      </c>
      <c r="C188">
        <v>12</v>
      </c>
      <c r="D188">
        <v>4.3475875876638304</v>
      </c>
      <c r="E188">
        <v>0.16666666666666699</v>
      </c>
      <c r="F188" t="s">
        <v>196</v>
      </c>
    </row>
    <row r="189" spans="1:6" x14ac:dyDescent="0.2">
      <c r="A189" t="s">
        <v>186</v>
      </c>
      <c r="B189" t="s">
        <v>163</v>
      </c>
      <c r="C189">
        <v>12</v>
      </c>
      <c r="D189">
        <v>4.3475875876638304</v>
      </c>
      <c r="E189">
        <v>0.16666666666666699</v>
      </c>
      <c r="F189" t="s">
        <v>195</v>
      </c>
    </row>
    <row r="190" spans="1:6" x14ac:dyDescent="0.2">
      <c r="A190" t="s">
        <v>175</v>
      </c>
      <c r="B190" t="s">
        <v>55</v>
      </c>
      <c r="C190">
        <v>12</v>
      </c>
      <c r="D190">
        <v>4.3475875876638304</v>
      </c>
      <c r="E190">
        <v>0.16666666666666699</v>
      </c>
      <c r="F190" t="s">
        <v>195</v>
      </c>
    </row>
    <row r="191" spans="1:6" x14ac:dyDescent="0.2">
      <c r="A191" t="s">
        <v>119</v>
      </c>
      <c r="B191" t="s">
        <v>124</v>
      </c>
      <c r="C191">
        <v>12</v>
      </c>
      <c r="D191">
        <v>4.3475875876638304</v>
      </c>
      <c r="E191">
        <v>0.16666666666666699</v>
      </c>
      <c r="F191" t="s">
        <v>195</v>
      </c>
    </row>
    <row r="192" spans="1:6" x14ac:dyDescent="0.2">
      <c r="A192" t="s">
        <v>186</v>
      </c>
      <c r="B192" t="s">
        <v>124</v>
      </c>
      <c r="C192">
        <v>12</v>
      </c>
      <c r="D192">
        <v>4.3475875876638304</v>
      </c>
      <c r="E192">
        <v>0.16666666666666699</v>
      </c>
      <c r="F192" t="s">
        <v>195</v>
      </c>
    </row>
    <row r="193" spans="1:6" x14ac:dyDescent="0.2">
      <c r="A193" t="s">
        <v>175</v>
      </c>
      <c r="B193" t="s">
        <v>186</v>
      </c>
      <c r="C193">
        <v>12</v>
      </c>
      <c r="D193">
        <v>4.3475875876638304</v>
      </c>
      <c r="E193">
        <v>0.16666666666666699</v>
      </c>
      <c r="F193" t="s">
        <v>195</v>
      </c>
    </row>
    <row r="194" spans="1:6" x14ac:dyDescent="0.2">
      <c r="A194" t="s">
        <v>163</v>
      </c>
      <c r="B194" t="s">
        <v>55</v>
      </c>
      <c r="C194">
        <v>12</v>
      </c>
      <c r="D194">
        <v>4.3475875876638304</v>
      </c>
      <c r="E194">
        <v>0.16666666666666699</v>
      </c>
      <c r="F194" t="s">
        <v>195</v>
      </c>
    </row>
    <row r="195" spans="1:6" x14ac:dyDescent="0.2">
      <c r="A195" t="s">
        <v>186</v>
      </c>
      <c r="B195" t="s">
        <v>189</v>
      </c>
      <c r="C195">
        <v>12</v>
      </c>
      <c r="D195">
        <v>4.3475875876638304</v>
      </c>
      <c r="E195">
        <v>0.16666666666666699</v>
      </c>
      <c r="F195" t="s">
        <v>195</v>
      </c>
    </row>
    <row r="196" spans="1:6" x14ac:dyDescent="0.2">
      <c r="A196" t="s">
        <v>175</v>
      </c>
      <c r="B196" t="s">
        <v>189</v>
      </c>
      <c r="C196">
        <v>12</v>
      </c>
      <c r="D196">
        <v>4.3475875876638304</v>
      </c>
      <c r="E196">
        <v>0.16666666666666699</v>
      </c>
      <c r="F196" t="s">
        <v>195</v>
      </c>
    </row>
    <row r="197" spans="1:6" x14ac:dyDescent="0.2">
      <c r="A197" t="s">
        <v>186</v>
      </c>
      <c r="B197" t="s">
        <v>55</v>
      </c>
      <c r="C197">
        <v>12</v>
      </c>
      <c r="D197">
        <v>4.3475875876638304</v>
      </c>
      <c r="E197">
        <v>0.16666666666666699</v>
      </c>
      <c r="F197" t="s">
        <v>195</v>
      </c>
    </row>
    <row r="198" spans="1:6" x14ac:dyDescent="0.2">
      <c r="A198" t="s">
        <v>94</v>
      </c>
      <c r="B198" t="s">
        <v>116</v>
      </c>
      <c r="C198">
        <v>12</v>
      </c>
      <c r="D198">
        <v>4.3475875876638304</v>
      </c>
      <c r="E198">
        <v>0.16666666666666699</v>
      </c>
      <c r="F198" t="s">
        <v>197</v>
      </c>
    </row>
    <row r="199" spans="1:6" x14ac:dyDescent="0.2">
      <c r="A199" t="s">
        <v>119</v>
      </c>
      <c r="B199" t="s">
        <v>186</v>
      </c>
      <c r="C199">
        <v>12</v>
      </c>
      <c r="D199">
        <v>4.3475875876638304</v>
      </c>
      <c r="E199">
        <v>0.16666666666666699</v>
      </c>
      <c r="F199" t="s">
        <v>195</v>
      </c>
    </row>
    <row r="200" spans="1:6" x14ac:dyDescent="0.2">
      <c r="A200" t="s">
        <v>175</v>
      </c>
      <c r="B200" t="s">
        <v>124</v>
      </c>
      <c r="C200">
        <v>12</v>
      </c>
      <c r="D200">
        <v>4.3475875876638304</v>
      </c>
      <c r="E200">
        <v>0.16666666666666699</v>
      </c>
      <c r="F200" t="s">
        <v>195</v>
      </c>
    </row>
    <row r="201" spans="1:6" x14ac:dyDescent="0.2">
      <c r="A201" t="s">
        <v>175</v>
      </c>
      <c r="B201" t="s">
        <v>163</v>
      </c>
      <c r="C201">
        <v>12</v>
      </c>
      <c r="D201">
        <v>4.3475875876638304</v>
      </c>
      <c r="E201">
        <v>0.16666666666666699</v>
      </c>
      <c r="F201" t="s">
        <v>195</v>
      </c>
    </row>
    <row r="202" spans="1:6" x14ac:dyDescent="0.2">
      <c r="A202" t="s">
        <v>189</v>
      </c>
      <c r="B202" t="s">
        <v>124</v>
      </c>
      <c r="C202">
        <v>12</v>
      </c>
      <c r="D202">
        <v>4.3475875876638304</v>
      </c>
      <c r="E202">
        <v>0.16666666666666699</v>
      </c>
      <c r="F202" t="s">
        <v>195</v>
      </c>
    </row>
    <row r="203" spans="1:6" x14ac:dyDescent="0.2">
      <c r="A203" t="s">
        <v>119</v>
      </c>
      <c r="B203" t="s">
        <v>163</v>
      </c>
      <c r="C203">
        <v>12</v>
      </c>
      <c r="D203">
        <v>4.3475875876638304</v>
      </c>
      <c r="E203">
        <v>0.16666666666666699</v>
      </c>
      <c r="F203" t="s">
        <v>195</v>
      </c>
    </row>
    <row r="204" spans="1:6" x14ac:dyDescent="0.2">
      <c r="A204" t="s">
        <v>70</v>
      </c>
      <c r="B204" t="s">
        <v>116</v>
      </c>
      <c r="C204">
        <v>13</v>
      </c>
      <c r="D204">
        <v>4.2724783548391496</v>
      </c>
      <c r="E204">
        <v>0.15384615384615399</v>
      </c>
      <c r="F204" t="s">
        <v>198</v>
      </c>
    </row>
    <row r="205" spans="1:6" x14ac:dyDescent="0.2">
      <c r="A205" t="s">
        <v>65</v>
      </c>
      <c r="B205" t="s">
        <v>47</v>
      </c>
      <c r="C205">
        <v>13</v>
      </c>
      <c r="D205">
        <v>4.2724783548391496</v>
      </c>
      <c r="E205">
        <v>0.15384615384615399</v>
      </c>
      <c r="F205" t="s">
        <v>198</v>
      </c>
    </row>
    <row r="206" spans="1:6" x14ac:dyDescent="0.2">
      <c r="A206" t="s">
        <v>70</v>
      </c>
      <c r="B206" t="s">
        <v>65</v>
      </c>
      <c r="C206">
        <v>13</v>
      </c>
      <c r="D206">
        <v>4.2724783548391496</v>
      </c>
      <c r="E206">
        <v>0.15384615384615399</v>
      </c>
      <c r="F206" t="s">
        <v>198</v>
      </c>
    </row>
    <row r="207" spans="1:6" x14ac:dyDescent="0.2">
      <c r="A207" t="s">
        <v>60</v>
      </c>
      <c r="B207" t="s">
        <v>65</v>
      </c>
      <c r="C207">
        <v>13</v>
      </c>
      <c r="D207">
        <v>4.2724783548391496</v>
      </c>
      <c r="E207">
        <v>0.15384615384615399</v>
      </c>
      <c r="F207" t="s">
        <v>198</v>
      </c>
    </row>
    <row r="208" spans="1:6" x14ac:dyDescent="0.2">
      <c r="A208" t="s">
        <v>65</v>
      </c>
      <c r="B208" t="s">
        <v>116</v>
      </c>
      <c r="C208">
        <v>13</v>
      </c>
      <c r="D208">
        <v>4.2724783548391496</v>
      </c>
      <c r="E208">
        <v>0.15384615384615399</v>
      </c>
      <c r="F208" t="s">
        <v>198</v>
      </c>
    </row>
    <row r="209" spans="1:6" x14ac:dyDescent="0.2">
      <c r="A209" t="s">
        <v>70</v>
      </c>
      <c r="B209" t="s">
        <v>47</v>
      </c>
      <c r="C209">
        <v>13</v>
      </c>
      <c r="D209">
        <v>4.2724783548391496</v>
      </c>
      <c r="E209">
        <v>0.15384615384615399</v>
      </c>
      <c r="F209" t="s">
        <v>198</v>
      </c>
    </row>
    <row r="210" spans="1:6" x14ac:dyDescent="0.2">
      <c r="A210" t="s">
        <v>57</v>
      </c>
      <c r="B210" t="s">
        <v>65</v>
      </c>
      <c r="C210">
        <v>13</v>
      </c>
      <c r="D210">
        <v>4.2724783548391496</v>
      </c>
      <c r="E210">
        <v>0.15384615384615399</v>
      </c>
      <c r="F210" t="s">
        <v>199</v>
      </c>
    </row>
    <row r="211" spans="1:6" x14ac:dyDescent="0.2">
      <c r="A211" t="s">
        <v>60</v>
      </c>
      <c r="B211" t="s">
        <v>116</v>
      </c>
      <c r="C211">
        <v>13</v>
      </c>
      <c r="D211">
        <v>4.2724783548391496</v>
      </c>
      <c r="E211">
        <v>0.15384615384615399</v>
      </c>
      <c r="F211" t="s">
        <v>198</v>
      </c>
    </row>
    <row r="212" spans="1:6" x14ac:dyDescent="0.2">
      <c r="A212" t="s">
        <v>129</v>
      </c>
      <c r="B212" t="s">
        <v>178</v>
      </c>
      <c r="C212">
        <v>13</v>
      </c>
      <c r="D212">
        <v>4.2724783548391496</v>
      </c>
      <c r="E212">
        <v>0.15384615384615399</v>
      </c>
      <c r="F212" t="s">
        <v>200</v>
      </c>
    </row>
    <row r="213" spans="1:6" x14ac:dyDescent="0.2">
      <c r="A213" t="s">
        <v>47</v>
      </c>
      <c r="B213" t="s">
        <v>116</v>
      </c>
      <c r="C213">
        <v>13</v>
      </c>
      <c r="D213">
        <v>4.2724783548391496</v>
      </c>
      <c r="E213">
        <v>0.15384615384615399</v>
      </c>
      <c r="F213" t="s">
        <v>198</v>
      </c>
    </row>
    <row r="214" spans="1:6" x14ac:dyDescent="0.2">
      <c r="A214" t="s">
        <v>60</v>
      </c>
      <c r="B214" t="s">
        <v>70</v>
      </c>
      <c r="C214">
        <v>13</v>
      </c>
      <c r="D214">
        <v>4.2724783548391496</v>
      </c>
      <c r="E214">
        <v>0.15384615384615399</v>
      </c>
      <c r="F214" t="s">
        <v>198</v>
      </c>
    </row>
    <row r="215" spans="1:6" x14ac:dyDescent="0.2">
      <c r="A215" t="s">
        <v>127</v>
      </c>
      <c r="B215" t="s">
        <v>118</v>
      </c>
      <c r="C215">
        <v>13</v>
      </c>
      <c r="D215">
        <v>4.2724783548391496</v>
      </c>
      <c r="E215">
        <v>0.15384615384615399</v>
      </c>
      <c r="F215" t="s">
        <v>201</v>
      </c>
    </row>
    <row r="216" spans="1:6" x14ac:dyDescent="0.2">
      <c r="A216" t="s">
        <v>117</v>
      </c>
      <c r="B216" t="s">
        <v>65</v>
      </c>
      <c r="C216">
        <v>15</v>
      </c>
      <c r="D216">
        <v>4.1381976077878004</v>
      </c>
      <c r="E216">
        <v>0.133333333333333</v>
      </c>
      <c r="F216" t="s">
        <v>202</v>
      </c>
    </row>
    <row r="217" spans="1:6" x14ac:dyDescent="0.2">
      <c r="A217" t="s">
        <v>38</v>
      </c>
      <c r="B217" t="s">
        <v>83</v>
      </c>
      <c r="C217">
        <v>15</v>
      </c>
      <c r="D217">
        <v>4.1381976077878004</v>
      </c>
      <c r="E217">
        <v>0.133333333333333</v>
      </c>
      <c r="F217" t="s">
        <v>203</v>
      </c>
    </row>
    <row r="218" spans="1:6" x14ac:dyDescent="0.2">
      <c r="A218" t="s">
        <v>186</v>
      </c>
      <c r="B218" t="s">
        <v>47</v>
      </c>
      <c r="C218">
        <v>15</v>
      </c>
      <c r="D218">
        <v>4.1381976077878004</v>
      </c>
      <c r="E218">
        <v>0.133333333333333</v>
      </c>
      <c r="F218" t="s">
        <v>202</v>
      </c>
    </row>
    <row r="219" spans="1:6" x14ac:dyDescent="0.2">
      <c r="A219" t="s">
        <v>117</v>
      </c>
      <c r="B219" t="s">
        <v>47</v>
      </c>
      <c r="C219">
        <v>15</v>
      </c>
      <c r="D219">
        <v>4.1381976077878004</v>
      </c>
      <c r="E219">
        <v>0.133333333333333</v>
      </c>
      <c r="F219" t="s">
        <v>202</v>
      </c>
    </row>
    <row r="220" spans="1:6" x14ac:dyDescent="0.2">
      <c r="A220" t="s">
        <v>83</v>
      </c>
      <c r="B220" t="s">
        <v>178</v>
      </c>
      <c r="C220">
        <v>15</v>
      </c>
      <c r="D220">
        <v>4.1381976077878004</v>
      </c>
      <c r="E220">
        <v>0.133333333333333</v>
      </c>
      <c r="F220" t="s">
        <v>203</v>
      </c>
    </row>
    <row r="221" spans="1:6" x14ac:dyDescent="0.2">
      <c r="A221" t="s">
        <v>186</v>
      </c>
      <c r="B221" t="s">
        <v>117</v>
      </c>
      <c r="C221">
        <v>15</v>
      </c>
      <c r="D221">
        <v>4.1381976077878004</v>
      </c>
      <c r="E221">
        <v>0.133333333333333</v>
      </c>
      <c r="F221" t="s">
        <v>202</v>
      </c>
    </row>
    <row r="222" spans="1:6" x14ac:dyDescent="0.2">
      <c r="A222" t="s">
        <v>186</v>
      </c>
      <c r="B222" t="s">
        <v>116</v>
      </c>
      <c r="C222">
        <v>15</v>
      </c>
      <c r="D222">
        <v>4.1381976077878004</v>
      </c>
      <c r="E222">
        <v>0.133333333333333</v>
      </c>
      <c r="F222" t="s">
        <v>202</v>
      </c>
    </row>
    <row r="223" spans="1:6" x14ac:dyDescent="0.2">
      <c r="A223" t="s">
        <v>117</v>
      </c>
      <c r="B223" t="s">
        <v>116</v>
      </c>
      <c r="C223">
        <v>15</v>
      </c>
      <c r="D223">
        <v>4.1381976077878004</v>
      </c>
      <c r="E223">
        <v>0.133333333333333</v>
      </c>
      <c r="F223" t="s">
        <v>202</v>
      </c>
    </row>
    <row r="224" spans="1:6" x14ac:dyDescent="0.2">
      <c r="A224" t="s">
        <v>66</v>
      </c>
      <c r="B224" t="s">
        <v>35</v>
      </c>
      <c r="C224">
        <v>17</v>
      </c>
      <c r="D224">
        <v>4.0207489617032204</v>
      </c>
      <c r="E224">
        <v>0.11764705882352899</v>
      </c>
      <c r="F224" t="s">
        <v>204</v>
      </c>
    </row>
    <row r="225" spans="1:6" x14ac:dyDescent="0.2">
      <c r="A225" t="s">
        <v>187</v>
      </c>
      <c r="B225" t="s">
        <v>124</v>
      </c>
      <c r="C225">
        <v>17</v>
      </c>
      <c r="D225">
        <v>4.0207489617032204</v>
      </c>
      <c r="E225">
        <v>0.11764705882352899</v>
      </c>
      <c r="F225" t="s">
        <v>204</v>
      </c>
    </row>
    <row r="226" spans="1:6" x14ac:dyDescent="0.2">
      <c r="A226" t="s">
        <v>66</v>
      </c>
      <c r="B226" t="s">
        <v>47</v>
      </c>
      <c r="C226">
        <v>17</v>
      </c>
      <c r="D226">
        <v>4.0207489617032204</v>
      </c>
      <c r="E226">
        <v>0.11764705882352899</v>
      </c>
      <c r="F226" t="s">
        <v>204</v>
      </c>
    </row>
    <row r="227" spans="1:6" x14ac:dyDescent="0.2">
      <c r="A227" t="s">
        <v>75</v>
      </c>
      <c r="B227" t="s">
        <v>124</v>
      </c>
      <c r="C227">
        <v>17</v>
      </c>
      <c r="D227">
        <v>4.0207489617032204</v>
      </c>
      <c r="E227">
        <v>0.11764705882352899</v>
      </c>
      <c r="F227" t="s">
        <v>204</v>
      </c>
    </row>
    <row r="228" spans="1:6" x14ac:dyDescent="0.2">
      <c r="A228" t="s">
        <v>66</v>
      </c>
      <c r="B228" t="s">
        <v>124</v>
      </c>
      <c r="C228">
        <v>17</v>
      </c>
      <c r="D228">
        <v>4.0207489617032204</v>
      </c>
      <c r="E228">
        <v>0.11764705882352899</v>
      </c>
      <c r="F228" t="s">
        <v>204</v>
      </c>
    </row>
    <row r="229" spans="1:6" x14ac:dyDescent="0.2">
      <c r="A229" t="s">
        <v>75</v>
      </c>
      <c r="B229" t="s">
        <v>66</v>
      </c>
      <c r="C229">
        <v>17</v>
      </c>
      <c r="D229">
        <v>4.0207489617032204</v>
      </c>
      <c r="E229">
        <v>0.11764705882352899</v>
      </c>
      <c r="F229" t="s">
        <v>204</v>
      </c>
    </row>
    <row r="230" spans="1:6" x14ac:dyDescent="0.2">
      <c r="A230" t="s">
        <v>53</v>
      </c>
      <c r="B230" t="s">
        <v>47</v>
      </c>
      <c r="C230">
        <v>17</v>
      </c>
      <c r="D230">
        <v>4.0207489617032204</v>
      </c>
      <c r="E230">
        <v>0.11764705882352899</v>
      </c>
      <c r="F230" t="s">
        <v>204</v>
      </c>
    </row>
    <row r="231" spans="1:6" x14ac:dyDescent="0.2">
      <c r="A231" t="s">
        <v>75</v>
      </c>
      <c r="B231" t="s">
        <v>47</v>
      </c>
      <c r="C231">
        <v>17</v>
      </c>
      <c r="D231">
        <v>4.0207489617032204</v>
      </c>
      <c r="E231">
        <v>0.11764705882352899</v>
      </c>
      <c r="F231" t="s">
        <v>204</v>
      </c>
    </row>
    <row r="232" spans="1:6" x14ac:dyDescent="0.2">
      <c r="A232" t="s">
        <v>119</v>
      </c>
      <c r="B232" t="s">
        <v>66</v>
      </c>
      <c r="C232">
        <v>17</v>
      </c>
      <c r="D232">
        <v>4.0207489617032204</v>
      </c>
      <c r="E232">
        <v>0.11764705882352899</v>
      </c>
      <c r="F232" t="s">
        <v>204</v>
      </c>
    </row>
    <row r="233" spans="1:6" x14ac:dyDescent="0.2">
      <c r="A233" t="s">
        <v>47</v>
      </c>
      <c r="B233" t="s">
        <v>124</v>
      </c>
      <c r="C233">
        <v>17</v>
      </c>
      <c r="D233">
        <v>4.0207489617032204</v>
      </c>
      <c r="E233">
        <v>0.11764705882352899</v>
      </c>
      <c r="F233" t="s">
        <v>204</v>
      </c>
    </row>
    <row r="234" spans="1:6" x14ac:dyDescent="0.2">
      <c r="A234" t="s">
        <v>35</v>
      </c>
      <c r="B234" t="s">
        <v>47</v>
      </c>
      <c r="C234">
        <v>17</v>
      </c>
      <c r="D234">
        <v>4.0207489617032204</v>
      </c>
      <c r="E234">
        <v>0.11764705882352899</v>
      </c>
      <c r="F234" t="s">
        <v>204</v>
      </c>
    </row>
    <row r="235" spans="1:6" x14ac:dyDescent="0.2">
      <c r="A235" t="s">
        <v>187</v>
      </c>
      <c r="B235" t="s">
        <v>47</v>
      </c>
      <c r="C235">
        <v>17</v>
      </c>
      <c r="D235">
        <v>4.0207489617032204</v>
      </c>
      <c r="E235">
        <v>0.11764705882352899</v>
      </c>
      <c r="F235" t="s">
        <v>204</v>
      </c>
    </row>
    <row r="236" spans="1:6" x14ac:dyDescent="0.2">
      <c r="A236" t="s">
        <v>35</v>
      </c>
      <c r="B236" t="s">
        <v>124</v>
      </c>
      <c r="C236">
        <v>17</v>
      </c>
      <c r="D236">
        <v>4.0207489617032204</v>
      </c>
      <c r="E236">
        <v>0.11764705882352899</v>
      </c>
      <c r="F236" t="s">
        <v>204</v>
      </c>
    </row>
    <row r="237" spans="1:6" x14ac:dyDescent="0.2">
      <c r="A237" t="s">
        <v>53</v>
      </c>
      <c r="B237" t="s">
        <v>124</v>
      </c>
      <c r="C237">
        <v>17</v>
      </c>
      <c r="D237">
        <v>4.0207489617032204</v>
      </c>
      <c r="E237">
        <v>0.11764705882352899</v>
      </c>
      <c r="F237" t="s">
        <v>204</v>
      </c>
    </row>
    <row r="238" spans="1:6" x14ac:dyDescent="0.2">
      <c r="A238" t="s">
        <v>119</v>
      </c>
      <c r="B238" t="s">
        <v>47</v>
      </c>
      <c r="C238">
        <v>17</v>
      </c>
      <c r="D238">
        <v>4.0207489617032204</v>
      </c>
      <c r="E238">
        <v>0.11764705882352899</v>
      </c>
      <c r="F238" t="s">
        <v>204</v>
      </c>
    </row>
    <row r="239" spans="1:6" x14ac:dyDescent="0.2">
      <c r="A239" t="s">
        <v>187</v>
      </c>
      <c r="B239" t="s">
        <v>66</v>
      </c>
      <c r="C239">
        <v>17</v>
      </c>
      <c r="D239">
        <v>4.0207489617032204</v>
      </c>
      <c r="E239">
        <v>0.11764705882352899</v>
      </c>
      <c r="F239" t="s">
        <v>204</v>
      </c>
    </row>
    <row r="240" spans="1:6" x14ac:dyDescent="0.2">
      <c r="A240" t="s">
        <v>163</v>
      </c>
      <c r="B240" t="s">
        <v>96</v>
      </c>
      <c r="C240">
        <v>20</v>
      </c>
      <c r="D240">
        <v>3.8682469728418098</v>
      </c>
      <c r="E240">
        <v>0.1</v>
      </c>
      <c r="F240" t="s">
        <v>205</v>
      </c>
    </row>
    <row r="241" spans="1:6" x14ac:dyDescent="0.2">
      <c r="A241" t="s">
        <v>58</v>
      </c>
      <c r="B241" t="s">
        <v>177</v>
      </c>
      <c r="C241">
        <v>20</v>
      </c>
      <c r="D241">
        <v>3.8682469728418098</v>
      </c>
      <c r="E241">
        <v>0.1</v>
      </c>
      <c r="F241" t="s">
        <v>205</v>
      </c>
    </row>
    <row r="242" spans="1:6" x14ac:dyDescent="0.2">
      <c r="A242" t="s">
        <v>107</v>
      </c>
      <c r="B242" t="s">
        <v>102</v>
      </c>
      <c r="C242">
        <v>20</v>
      </c>
      <c r="D242">
        <v>3.8682469728418098</v>
      </c>
      <c r="E242">
        <v>0.1</v>
      </c>
      <c r="F242" t="s">
        <v>205</v>
      </c>
    </row>
    <row r="243" spans="1:6" x14ac:dyDescent="0.2">
      <c r="A243" t="s">
        <v>125</v>
      </c>
      <c r="B243" t="s">
        <v>104</v>
      </c>
      <c r="C243">
        <v>20</v>
      </c>
      <c r="D243">
        <v>3.8682469728418098</v>
      </c>
      <c r="E243">
        <v>0.1</v>
      </c>
      <c r="F243" t="s">
        <v>205</v>
      </c>
    </row>
    <row r="244" spans="1:6" x14ac:dyDescent="0.2">
      <c r="A244" t="s">
        <v>177</v>
      </c>
      <c r="B244" t="s">
        <v>114</v>
      </c>
      <c r="C244">
        <v>20</v>
      </c>
      <c r="D244">
        <v>3.8682469728418098</v>
      </c>
      <c r="E244">
        <v>0.1</v>
      </c>
      <c r="F244" t="s">
        <v>205</v>
      </c>
    </row>
    <row r="245" spans="1:6" x14ac:dyDescent="0.2">
      <c r="A245" t="s">
        <v>58</v>
      </c>
      <c r="B245" t="s">
        <v>124</v>
      </c>
      <c r="C245">
        <v>20</v>
      </c>
      <c r="D245">
        <v>3.8682469728418098</v>
      </c>
      <c r="E245">
        <v>0.1</v>
      </c>
      <c r="F245" t="s">
        <v>205</v>
      </c>
    </row>
    <row r="246" spans="1:6" x14ac:dyDescent="0.2">
      <c r="A246" t="s">
        <v>193</v>
      </c>
      <c r="B246" t="s">
        <v>125</v>
      </c>
      <c r="C246">
        <v>20</v>
      </c>
      <c r="D246">
        <v>3.8682469728418098</v>
      </c>
      <c r="E246">
        <v>0.1</v>
      </c>
      <c r="F246" t="s">
        <v>205</v>
      </c>
    </row>
    <row r="247" spans="1:6" x14ac:dyDescent="0.2">
      <c r="A247" t="s">
        <v>58</v>
      </c>
      <c r="B247" t="s">
        <v>93</v>
      </c>
      <c r="C247">
        <v>20</v>
      </c>
      <c r="D247">
        <v>3.8682469728418098</v>
      </c>
      <c r="E247">
        <v>0.1</v>
      </c>
      <c r="F247" t="s">
        <v>205</v>
      </c>
    </row>
    <row r="248" spans="1:6" x14ac:dyDescent="0.2">
      <c r="A248" t="s">
        <v>187</v>
      </c>
      <c r="B248" t="s">
        <v>163</v>
      </c>
      <c r="C248">
        <v>20</v>
      </c>
      <c r="D248">
        <v>3.8682469728418098</v>
      </c>
      <c r="E248">
        <v>0.1</v>
      </c>
      <c r="F248" t="s">
        <v>205</v>
      </c>
    </row>
    <row r="249" spans="1:6" x14ac:dyDescent="0.2">
      <c r="A249" t="s">
        <v>106</v>
      </c>
      <c r="B249" t="s">
        <v>177</v>
      </c>
      <c r="C249">
        <v>20</v>
      </c>
      <c r="D249">
        <v>3.8682469728418098</v>
      </c>
      <c r="E249">
        <v>0.1</v>
      </c>
      <c r="F249" t="s">
        <v>205</v>
      </c>
    </row>
    <row r="250" spans="1:6" x14ac:dyDescent="0.2">
      <c r="A250" t="s">
        <v>177</v>
      </c>
      <c r="B250" t="s">
        <v>79</v>
      </c>
      <c r="C250">
        <v>20</v>
      </c>
      <c r="D250">
        <v>3.8682469728418098</v>
      </c>
      <c r="E250">
        <v>0.1</v>
      </c>
      <c r="F250" t="s">
        <v>205</v>
      </c>
    </row>
    <row r="251" spans="1:6" x14ac:dyDescent="0.2">
      <c r="A251" t="s">
        <v>17</v>
      </c>
      <c r="B251" t="s">
        <v>93</v>
      </c>
      <c r="C251">
        <v>20</v>
      </c>
      <c r="D251">
        <v>3.8682469728418098</v>
      </c>
      <c r="E251">
        <v>0.1</v>
      </c>
      <c r="F251" t="s">
        <v>205</v>
      </c>
    </row>
    <row r="252" spans="1:6" x14ac:dyDescent="0.2">
      <c r="A252" t="s">
        <v>107</v>
      </c>
      <c r="B252" t="s">
        <v>193</v>
      </c>
      <c r="C252">
        <v>20</v>
      </c>
      <c r="D252">
        <v>3.8682469728418098</v>
      </c>
      <c r="E252">
        <v>0.1</v>
      </c>
      <c r="F252" t="s">
        <v>205</v>
      </c>
    </row>
    <row r="253" spans="1:6" x14ac:dyDescent="0.2">
      <c r="A253" t="s">
        <v>125</v>
      </c>
      <c r="B253" t="s">
        <v>79</v>
      </c>
      <c r="C253">
        <v>20</v>
      </c>
      <c r="D253">
        <v>3.8682469728418098</v>
      </c>
      <c r="E253">
        <v>0.1</v>
      </c>
      <c r="F253" t="s">
        <v>205</v>
      </c>
    </row>
    <row r="254" spans="1:6" x14ac:dyDescent="0.2">
      <c r="A254" t="s">
        <v>107</v>
      </c>
      <c r="B254" t="s">
        <v>90</v>
      </c>
      <c r="C254">
        <v>20</v>
      </c>
      <c r="D254">
        <v>3.8682469728418098</v>
      </c>
      <c r="E254">
        <v>0.1</v>
      </c>
      <c r="F254" t="s">
        <v>205</v>
      </c>
    </row>
    <row r="255" spans="1:6" x14ac:dyDescent="0.2">
      <c r="A255" t="s">
        <v>17</v>
      </c>
      <c r="B255" t="s">
        <v>96</v>
      </c>
      <c r="C255">
        <v>20</v>
      </c>
      <c r="D255">
        <v>3.8682469728418098</v>
      </c>
      <c r="E255">
        <v>0.1</v>
      </c>
      <c r="F255" t="s">
        <v>205</v>
      </c>
    </row>
    <row r="256" spans="1:6" x14ac:dyDescent="0.2">
      <c r="A256" t="s">
        <v>96</v>
      </c>
      <c r="B256" t="s">
        <v>114</v>
      </c>
      <c r="C256">
        <v>20</v>
      </c>
      <c r="D256">
        <v>3.8682469728418098</v>
      </c>
      <c r="E256">
        <v>0.1</v>
      </c>
      <c r="F256" t="s">
        <v>205</v>
      </c>
    </row>
    <row r="257" spans="1:6" x14ac:dyDescent="0.2">
      <c r="A257" t="s">
        <v>124</v>
      </c>
      <c r="B257" t="s">
        <v>79</v>
      </c>
      <c r="C257">
        <v>20</v>
      </c>
      <c r="D257">
        <v>3.8682469728418098</v>
      </c>
      <c r="E257">
        <v>0.1</v>
      </c>
      <c r="F257" t="s">
        <v>205</v>
      </c>
    </row>
    <row r="258" spans="1:6" x14ac:dyDescent="0.2">
      <c r="A258" t="s">
        <v>177</v>
      </c>
      <c r="B258" t="s">
        <v>193</v>
      </c>
      <c r="C258">
        <v>20</v>
      </c>
      <c r="D258">
        <v>3.8682469728418098</v>
      </c>
      <c r="E258">
        <v>0.1</v>
      </c>
      <c r="F258" t="s">
        <v>205</v>
      </c>
    </row>
    <row r="259" spans="1:6" x14ac:dyDescent="0.2">
      <c r="A259" t="s">
        <v>17</v>
      </c>
      <c r="B259" t="s">
        <v>124</v>
      </c>
      <c r="C259">
        <v>20</v>
      </c>
      <c r="D259">
        <v>3.8682469728418098</v>
      </c>
      <c r="E259">
        <v>0.1</v>
      </c>
      <c r="F259" t="s">
        <v>205</v>
      </c>
    </row>
    <row r="260" spans="1:6" x14ac:dyDescent="0.2">
      <c r="A260" t="s">
        <v>187</v>
      </c>
      <c r="B260" t="s">
        <v>125</v>
      </c>
      <c r="C260">
        <v>20</v>
      </c>
      <c r="D260">
        <v>3.8682469728418098</v>
      </c>
      <c r="E260">
        <v>0.1</v>
      </c>
      <c r="F260" t="s">
        <v>205</v>
      </c>
    </row>
    <row r="261" spans="1:6" x14ac:dyDescent="0.2">
      <c r="A261" t="s">
        <v>187</v>
      </c>
      <c r="B261" t="s">
        <v>79</v>
      </c>
      <c r="C261">
        <v>20</v>
      </c>
      <c r="D261">
        <v>3.8682469728418098</v>
      </c>
      <c r="E261">
        <v>0.1</v>
      </c>
      <c r="F261" t="s">
        <v>205</v>
      </c>
    </row>
    <row r="262" spans="1:6" x14ac:dyDescent="0.2">
      <c r="A262" t="s">
        <v>187</v>
      </c>
      <c r="B262" t="s">
        <v>93</v>
      </c>
      <c r="C262">
        <v>20</v>
      </c>
      <c r="D262">
        <v>3.8682469728418098</v>
      </c>
      <c r="E262">
        <v>0.1</v>
      </c>
      <c r="F262" t="s">
        <v>205</v>
      </c>
    </row>
    <row r="263" spans="1:6" x14ac:dyDescent="0.2">
      <c r="A263" t="s">
        <v>106</v>
      </c>
      <c r="B263" t="s">
        <v>17</v>
      </c>
      <c r="C263">
        <v>20</v>
      </c>
      <c r="D263">
        <v>3.8682469728418098</v>
      </c>
      <c r="E263">
        <v>0.1</v>
      </c>
      <c r="F263" t="s">
        <v>205</v>
      </c>
    </row>
    <row r="264" spans="1:6" x14ac:dyDescent="0.2">
      <c r="A264" t="s">
        <v>187</v>
      </c>
      <c r="B264" t="s">
        <v>90</v>
      </c>
      <c r="C264">
        <v>20</v>
      </c>
      <c r="D264">
        <v>3.8682469728418098</v>
      </c>
      <c r="E264">
        <v>0.1</v>
      </c>
      <c r="F264" t="s">
        <v>205</v>
      </c>
    </row>
    <row r="265" spans="1:6" x14ac:dyDescent="0.2">
      <c r="A265" t="s">
        <v>177</v>
      </c>
      <c r="B265" t="s">
        <v>93</v>
      </c>
      <c r="C265">
        <v>20</v>
      </c>
      <c r="D265">
        <v>3.8682469728418098</v>
      </c>
      <c r="E265">
        <v>0.1</v>
      </c>
      <c r="F265" t="s">
        <v>205</v>
      </c>
    </row>
    <row r="266" spans="1:6" x14ac:dyDescent="0.2">
      <c r="A266" t="s">
        <v>107</v>
      </c>
      <c r="B266" t="s">
        <v>187</v>
      </c>
      <c r="C266">
        <v>20</v>
      </c>
      <c r="D266">
        <v>3.8682469728418098</v>
      </c>
      <c r="E266">
        <v>0.1</v>
      </c>
      <c r="F266" t="s">
        <v>205</v>
      </c>
    </row>
    <row r="267" spans="1:6" x14ac:dyDescent="0.2">
      <c r="A267" t="s">
        <v>187</v>
      </c>
      <c r="B267" t="s">
        <v>177</v>
      </c>
      <c r="C267">
        <v>20</v>
      </c>
      <c r="D267">
        <v>3.8682469728418098</v>
      </c>
      <c r="E267">
        <v>0.1</v>
      </c>
      <c r="F267" t="s">
        <v>205</v>
      </c>
    </row>
    <row r="268" spans="1:6" x14ac:dyDescent="0.2">
      <c r="A268" t="s">
        <v>106</v>
      </c>
      <c r="B268" t="s">
        <v>124</v>
      </c>
      <c r="C268">
        <v>20</v>
      </c>
      <c r="D268">
        <v>3.8682469728418098</v>
      </c>
      <c r="E268">
        <v>0.1</v>
      </c>
      <c r="F268" t="s">
        <v>205</v>
      </c>
    </row>
    <row r="269" spans="1:6" x14ac:dyDescent="0.2">
      <c r="A269" t="s">
        <v>107</v>
      </c>
      <c r="B269" t="s">
        <v>163</v>
      </c>
      <c r="C269">
        <v>20</v>
      </c>
      <c r="D269">
        <v>3.8682469728418098</v>
      </c>
      <c r="E269">
        <v>0.1</v>
      </c>
      <c r="F269" t="s">
        <v>205</v>
      </c>
    </row>
    <row r="270" spans="1:6" x14ac:dyDescent="0.2">
      <c r="A270" t="s">
        <v>125</v>
      </c>
      <c r="B270" t="s">
        <v>124</v>
      </c>
      <c r="C270">
        <v>20</v>
      </c>
      <c r="D270">
        <v>3.8682469728418098</v>
      </c>
      <c r="E270">
        <v>0.1</v>
      </c>
      <c r="F270" t="s">
        <v>205</v>
      </c>
    </row>
    <row r="271" spans="1:6" x14ac:dyDescent="0.2">
      <c r="A271" t="s">
        <v>187</v>
      </c>
      <c r="B271" t="s">
        <v>104</v>
      </c>
      <c r="C271">
        <v>20</v>
      </c>
      <c r="D271">
        <v>3.8682469728418098</v>
      </c>
      <c r="E271">
        <v>0.1</v>
      </c>
      <c r="F271" t="s">
        <v>205</v>
      </c>
    </row>
    <row r="272" spans="1:6" x14ac:dyDescent="0.2">
      <c r="A272" t="s">
        <v>106</v>
      </c>
      <c r="B272" t="s">
        <v>79</v>
      </c>
      <c r="C272">
        <v>20</v>
      </c>
      <c r="D272">
        <v>3.8682469728418098</v>
      </c>
      <c r="E272">
        <v>0.1</v>
      </c>
      <c r="F272" t="s">
        <v>205</v>
      </c>
    </row>
    <row r="273" spans="1:6" x14ac:dyDescent="0.2">
      <c r="A273" t="s">
        <v>107</v>
      </c>
      <c r="B273" t="s">
        <v>125</v>
      </c>
      <c r="C273">
        <v>20</v>
      </c>
      <c r="D273">
        <v>3.8682469728418098</v>
      </c>
      <c r="E273">
        <v>0.1</v>
      </c>
      <c r="F273" t="s">
        <v>205</v>
      </c>
    </row>
    <row r="274" spans="1:6" x14ac:dyDescent="0.2">
      <c r="A274" t="s">
        <v>107</v>
      </c>
      <c r="B274" t="s">
        <v>114</v>
      </c>
      <c r="C274">
        <v>20</v>
      </c>
      <c r="D274">
        <v>3.8682469728418098</v>
      </c>
      <c r="E274">
        <v>0.1</v>
      </c>
      <c r="F274" t="s">
        <v>205</v>
      </c>
    </row>
    <row r="275" spans="1:6" x14ac:dyDescent="0.2">
      <c r="A275" t="s">
        <v>106</v>
      </c>
      <c r="B275" t="s">
        <v>93</v>
      </c>
      <c r="C275">
        <v>20</v>
      </c>
      <c r="D275">
        <v>3.8682469728418098</v>
      </c>
      <c r="E275">
        <v>0.1</v>
      </c>
      <c r="F275" t="s">
        <v>205</v>
      </c>
    </row>
    <row r="276" spans="1:6" x14ac:dyDescent="0.2">
      <c r="A276" t="s">
        <v>177</v>
      </c>
      <c r="B276" t="s">
        <v>96</v>
      </c>
      <c r="C276">
        <v>20</v>
      </c>
      <c r="D276">
        <v>3.8682469728418098</v>
      </c>
      <c r="E276">
        <v>0.1</v>
      </c>
      <c r="F276" t="s">
        <v>205</v>
      </c>
    </row>
    <row r="277" spans="1:6" x14ac:dyDescent="0.2">
      <c r="A277" t="s">
        <v>102</v>
      </c>
      <c r="B277" t="s">
        <v>125</v>
      </c>
      <c r="C277">
        <v>20</v>
      </c>
      <c r="D277">
        <v>3.8682469728418098</v>
      </c>
      <c r="E277">
        <v>0.1</v>
      </c>
      <c r="F277" t="s">
        <v>205</v>
      </c>
    </row>
    <row r="278" spans="1:6" x14ac:dyDescent="0.2">
      <c r="A278" t="s">
        <v>114</v>
      </c>
      <c r="B278" t="s">
        <v>125</v>
      </c>
      <c r="C278">
        <v>20</v>
      </c>
      <c r="D278">
        <v>3.8682469728418098</v>
      </c>
      <c r="E278">
        <v>0.1</v>
      </c>
      <c r="F278" t="s">
        <v>205</v>
      </c>
    </row>
    <row r="279" spans="1:6" x14ac:dyDescent="0.2">
      <c r="A279" t="s">
        <v>58</v>
      </c>
      <c r="B279" t="s">
        <v>187</v>
      </c>
      <c r="C279">
        <v>20</v>
      </c>
      <c r="D279">
        <v>3.8682469728418098</v>
      </c>
      <c r="E279">
        <v>0.1</v>
      </c>
      <c r="F279" t="s">
        <v>205</v>
      </c>
    </row>
    <row r="280" spans="1:6" x14ac:dyDescent="0.2">
      <c r="A280" t="s">
        <v>102</v>
      </c>
      <c r="B280" t="s">
        <v>17</v>
      </c>
      <c r="C280">
        <v>20</v>
      </c>
      <c r="D280">
        <v>3.8682469728418098</v>
      </c>
      <c r="E280">
        <v>0.1</v>
      </c>
      <c r="F280" t="s">
        <v>205</v>
      </c>
    </row>
    <row r="281" spans="1:6" x14ac:dyDescent="0.2">
      <c r="A281" t="s">
        <v>96</v>
      </c>
      <c r="B281" t="s">
        <v>79</v>
      </c>
      <c r="C281">
        <v>20</v>
      </c>
      <c r="D281">
        <v>3.8682469728418098</v>
      </c>
      <c r="E281">
        <v>0.1</v>
      </c>
      <c r="F281" t="s">
        <v>205</v>
      </c>
    </row>
    <row r="282" spans="1:6" x14ac:dyDescent="0.2">
      <c r="A282" t="s">
        <v>96</v>
      </c>
      <c r="B282" t="s">
        <v>104</v>
      </c>
      <c r="C282">
        <v>20</v>
      </c>
      <c r="D282">
        <v>3.8682469728418098</v>
      </c>
      <c r="E282">
        <v>0.1</v>
      </c>
      <c r="F282" t="s">
        <v>205</v>
      </c>
    </row>
    <row r="283" spans="1:6" x14ac:dyDescent="0.2">
      <c r="A283" t="s">
        <v>107</v>
      </c>
      <c r="B283" t="s">
        <v>17</v>
      </c>
      <c r="C283">
        <v>20</v>
      </c>
      <c r="D283">
        <v>3.8682469728418098</v>
      </c>
      <c r="E283">
        <v>0.1</v>
      </c>
      <c r="F283" t="s">
        <v>205</v>
      </c>
    </row>
    <row r="284" spans="1:6" x14ac:dyDescent="0.2">
      <c r="A284" t="s">
        <v>106</v>
      </c>
      <c r="B284" t="s">
        <v>96</v>
      </c>
      <c r="C284">
        <v>20</v>
      </c>
      <c r="D284">
        <v>3.8682469728418098</v>
      </c>
      <c r="E284">
        <v>0.1</v>
      </c>
      <c r="F284" t="s">
        <v>205</v>
      </c>
    </row>
    <row r="285" spans="1:6" x14ac:dyDescent="0.2">
      <c r="A285" t="s">
        <v>107</v>
      </c>
      <c r="B285" t="s">
        <v>104</v>
      </c>
      <c r="C285">
        <v>20</v>
      </c>
      <c r="D285">
        <v>3.8682469728418098</v>
      </c>
      <c r="E285">
        <v>0.1</v>
      </c>
      <c r="F285" t="s">
        <v>205</v>
      </c>
    </row>
    <row r="286" spans="1:6" x14ac:dyDescent="0.2">
      <c r="A286" t="s">
        <v>93</v>
      </c>
      <c r="B286" t="s">
        <v>125</v>
      </c>
      <c r="C286">
        <v>20</v>
      </c>
      <c r="D286">
        <v>3.8682469728418098</v>
      </c>
      <c r="E286">
        <v>0.1</v>
      </c>
      <c r="F286" t="s">
        <v>205</v>
      </c>
    </row>
    <row r="287" spans="1:6" x14ac:dyDescent="0.2">
      <c r="A287" t="s">
        <v>107</v>
      </c>
      <c r="B287" t="s">
        <v>124</v>
      </c>
      <c r="C287">
        <v>20</v>
      </c>
      <c r="D287">
        <v>3.8682469728418098</v>
      </c>
      <c r="E287">
        <v>0.1</v>
      </c>
      <c r="F287" t="s">
        <v>205</v>
      </c>
    </row>
    <row r="288" spans="1:6" x14ac:dyDescent="0.2">
      <c r="A288" t="s">
        <v>17</v>
      </c>
      <c r="B288" t="s">
        <v>79</v>
      </c>
      <c r="C288">
        <v>20</v>
      </c>
      <c r="D288">
        <v>3.8682469728418098</v>
      </c>
      <c r="E288">
        <v>0.1</v>
      </c>
      <c r="F288" t="s">
        <v>205</v>
      </c>
    </row>
    <row r="289" spans="1:6" x14ac:dyDescent="0.2">
      <c r="A289" t="s">
        <v>193</v>
      </c>
      <c r="B289" t="s">
        <v>79</v>
      </c>
      <c r="C289">
        <v>20</v>
      </c>
      <c r="D289">
        <v>3.8682469728418098</v>
      </c>
      <c r="E289">
        <v>0.1</v>
      </c>
      <c r="F289" t="s">
        <v>205</v>
      </c>
    </row>
    <row r="290" spans="1:6" x14ac:dyDescent="0.2">
      <c r="A290" t="s">
        <v>106</v>
      </c>
      <c r="B290" t="s">
        <v>163</v>
      </c>
      <c r="C290">
        <v>20</v>
      </c>
      <c r="D290">
        <v>3.8682469728418098</v>
      </c>
      <c r="E290">
        <v>0.1</v>
      </c>
      <c r="F290" t="s">
        <v>205</v>
      </c>
    </row>
    <row r="291" spans="1:6" x14ac:dyDescent="0.2">
      <c r="A291" t="s">
        <v>17</v>
      </c>
      <c r="B291" t="s">
        <v>193</v>
      </c>
      <c r="C291">
        <v>20</v>
      </c>
      <c r="D291">
        <v>3.8682469728418098</v>
      </c>
      <c r="E291">
        <v>0.1</v>
      </c>
      <c r="F291" t="s">
        <v>205</v>
      </c>
    </row>
    <row r="292" spans="1:6" x14ac:dyDescent="0.2">
      <c r="A292" t="s">
        <v>102</v>
      </c>
      <c r="B292" t="s">
        <v>177</v>
      </c>
      <c r="C292">
        <v>20</v>
      </c>
      <c r="D292">
        <v>3.8682469728418098</v>
      </c>
      <c r="E292">
        <v>0.1</v>
      </c>
      <c r="F292" t="s">
        <v>205</v>
      </c>
    </row>
    <row r="293" spans="1:6" x14ac:dyDescent="0.2">
      <c r="A293" t="s">
        <v>107</v>
      </c>
      <c r="B293" t="s">
        <v>79</v>
      </c>
      <c r="C293">
        <v>20</v>
      </c>
      <c r="D293">
        <v>3.8682469728418098</v>
      </c>
      <c r="E293">
        <v>0.1</v>
      </c>
      <c r="F293" t="s">
        <v>205</v>
      </c>
    </row>
    <row r="294" spans="1:6" x14ac:dyDescent="0.2">
      <c r="A294" t="s">
        <v>187</v>
      </c>
      <c r="B294" t="s">
        <v>193</v>
      </c>
      <c r="C294">
        <v>20</v>
      </c>
      <c r="D294">
        <v>3.8682469728418098</v>
      </c>
      <c r="E294">
        <v>0.1</v>
      </c>
      <c r="F294" t="s">
        <v>205</v>
      </c>
    </row>
    <row r="295" spans="1:6" x14ac:dyDescent="0.2">
      <c r="A295" t="s">
        <v>106</v>
      </c>
      <c r="B295" t="s">
        <v>104</v>
      </c>
      <c r="C295">
        <v>20</v>
      </c>
      <c r="D295">
        <v>3.8682469728418098</v>
      </c>
      <c r="E295">
        <v>0.1</v>
      </c>
      <c r="F295" t="s">
        <v>205</v>
      </c>
    </row>
    <row r="296" spans="1:6" x14ac:dyDescent="0.2">
      <c r="A296" t="s">
        <v>107</v>
      </c>
      <c r="B296" t="s">
        <v>96</v>
      </c>
      <c r="C296">
        <v>20</v>
      </c>
      <c r="D296">
        <v>3.8682469728418098</v>
      </c>
      <c r="E296">
        <v>0.1</v>
      </c>
      <c r="F296" t="s">
        <v>205</v>
      </c>
    </row>
    <row r="297" spans="1:6" x14ac:dyDescent="0.2">
      <c r="A297" t="s">
        <v>58</v>
      </c>
      <c r="B297" t="s">
        <v>193</v>
      </c>
      <c r="C297">
        <v>20</v>
      </c>
      <c r="D297">
        <v>3.8682469728418098</v>
      </c>
      <c r="E297">
        <v>0.1</v>
      </c>
      <c r="F297" t="s">
        <v>205</v>
      </c>
    </row>
    <row r="298" spans="1:6" x14ac:dyDescent="0.2">
      <c r="A298" t="s">
        <v>187</v>
      </c>
      <c r="B298" t="s">
        <v>114</v>
      </c>
      <c r="C298">
        <v>20</v>
      </c>
      <c r="D298">
        <v>3.8682469728418098</v>
      </c>
      <c r="E298">
        <v>0.1</v>
      </c>
      <c r="F298" t="s">
        <v>205</v>
      </c>
    </row>
    <row r="299" spans="1:6" x14ac:dyDescent="0.2">
      <c r="A299" t="s">
        <v>58</v>
      </c>
      <c r="B299" t="s">
        <v>17</v>
      </c>
      <c r="C299">
        <v>20</v>
      </c>
      <c r="D299">
        <v>3.8682469728418098</v>
      </c>
      <c r="E299">
        <v>0.1</v>
      </c>
      <c r="F299" t="s">
        <v>205</v>
      </c>
    </row>
    <row r="300" spans="1:6" x14ac:dyDescent="0.2">
      <c r="A300" t="s">
        <v>96</v>
      </c>
      <c r="B300" t="s">
        <v>90</v>
      </c>
      <c r="C300">
        <v>20</v>
      </c>
      <c r="D300">
        <v>3.8682469728418098</v>
      </c>
      <c r="E300">
        <v>0.1</v>
      </c>
      <c r="F300" t="s">
        <v>205</v>
      </c>
    </row>
    <row r="301" spans="1:6" x14ac:dyDescent="0.2">
      <c r="A301" t="s">
        <v>177</v>
      </c>
      <c r="B301" t="s">
        <v>104</v>
      </c>
      <c r="C301">
        <v>20</v>
      </c>
      <c r="D301">
        <v>3.8682469728418098</v>
      </c>
      <c r="E301">
        <v>0.1</v>
      </c>
      <c r="F301" t="s">
        <v>205</v>
      </c>
    </row>
    <row r="302" spans="1:6" x14ac:dyDescent="0.2">
      <c r="A302" t="s">
        <v>96</v>
      </c>
      <c r="B302" t="s">
        <v>124</v>
      </c>
      <c r="C302">
        <v>20</v>
      </c>
      <c r="D302">
        <v>3.8682469728418098</v>
      </c>
      <c r="E302">
        <v>0.1</v>
      </c>
      <c r="F302" t="s">
        <v>205</v>
      </c>
    </row>
    <row r="303" spans="1:6" x14ac:dyDescent="0.2">
      <c r="A303" t="s">
        <v>106</v>
      </c>
      <c r="B303" t="s">
        <v>187</v>
      </c>
      <c r="C303">
        <v>20</v>
      </c>
      <c r="D303">
        <v>3.8682469728418098</v>
      </c>
      <c r="E303">
        <v>0.1</v>
      </c>
      <c r="F303" t="s">
        <v>205</v>
      </c>
    </row>
    <row r="304" spans="1:6" x14ac:dyDescent="0.2">
      <c r="A304" t="s">
        <v>17</v>
      </c>
      <c r="B304" t="s">
        <v>125</v>
      </c>
      <c r="C304">
        <v>20</v>
      </c>
      <c r="D304">
        <v>3.8682469728418098</v>
      </c>
      <c r="E304">
        <v>0.1</v>
      </c>
      <c r="F304" t="s">
        <v>205</v>
      </c>
    </row>
    <row r="305" spans="1:6" x14ac:dyDescent="0.2">
      <c r="A305" t="s">
        <v>58</v>
      </c>
      <c r="B305" t="s">
        <v>96</v>
      </c>
      <c r="C305">
        <v>20</v>
      </c>
      <c r="D305">
        <v>3.8682469728418098</v>
      </c>
      <c r="E305">
        <v>0.1</v>
      </c>
      <c r="F305" t="s">
        <v>205</v>
      </c>
    </row>
    <row r="306" spans="1:6" x14ac:dyDescent="0.2">
      <c r="A306" t="s">
        <v>96</v>
      </c>
      <c r="B306" t="s">
        <v>193</v>
      </c>
      <c r="C306">
        <v>20</v>
      </c>
      <c r="D306">
        <v>3.8682469728418098</v>
      </c>
      <c r="E306">
        <v>0.1</v>
      </c>
      <c r="F306" t="s">
        <v>205</v>
      </c>
    </row>
    <row r="307" spans="1:6" x14ac:dyDescent="0.2">
      <c r="A307" t="s">
        <v>107</v>
      </c>
      <c r="B307" t="s">
        <v>177</v>
      </c>
      <c r="C307">
        <v>20</v>
      </c>
      <c r="D307">
        <v>3.8682469728418098</v>
      </c>
      <c r="E307">
        <v>0.1</v>
      </c>
      <c r="F307" t="s">
        <v>205</v>
      </c>
    </row>
    <row r="308" spans="1:6" x14ac:dyDescent="0.2">
      <c r="A308" t="s">
        <v>17</v>
      </c>
      <c r="B308" t="s">
        <v>90</v>
      </c>
      <c r="C308">
        <v>20</v>
      </c>
      <c r="D308">
        <v>3.8682469728418098</v>
      </c>
      <c r="E308">
        <v>0.1</v>
      </c>
      <c r="F308" t="s">
        <v>205</v>
      </c>
    </row>
    <row r="309" spans="1:6" x14ac:dyDescent="0.2">
      <c r="A309" t="s">
        <v>17</v>
      </c>
      <c r="B309" t="s">
        <v>104</v>
      </c>
      <c r="C309">
        <v>20</v>
      </c>
      <c r="D309">
        <v>3.8682469728418098</v>
      </c>
      <c r="E309">
        <v>0.1</v>
      </c>
      <c r="F309" t="s">
        <v>205</v>
      </c>
    </row>
    <row r="310" spans="1:6" x14ac:dyDescent="0.2">
      <c r="A310" t="s">
        <v>106</v>
      </c>
      <c r="B310" t="s">
        <v>102</v>
      </c>
      <c r="C310">
        <v>20</v>
      </c>
      <c r="D310">
        <v>3.8682469728418098</v>
      </c>
      <c r="E310">
        <v>0.1</v>
      </c>
      <c r="F310" t="s">
        <v>205</v>
      </c>
    </row>
    <row r="311" spans="1:6" x14ac:dyDescent="0.2">
      <c r="A311" t="s">
        <v>107</v>
      </c>
      <c r="B311" t="s">
        <v>93</v>
      </c>
      <c r="C311">
        <v>20</v>
      </c>
      <c r="D311">
        <v>3.8682469728418098</v>
      </c>
      <c r="E311">
        <v>0.1</v>
      </c>
      <c r="F311" t="s">
        <v>205</v>
      </c>
    </row>
    <row r="312" spans="1:6" x14ac:dyDescent="0.2">
      <c r="A312" t="s">
        <v>177</v>
      </c>
      <c r="B312" t="s">
        <v>124</v>
      </c>
      <c r="C312">
        <v>20</v>
      </c>
      <c r="D312">
        <v>3.8682469728418098</v>
      </c>
      <c r="E312">
        <v>0.1</v>
      </c>
      <c r="F312" t="s">
        <v>205</v>
      </c>
    </row>
    <row r="313" spans="1:6" x14ac:dyDescent="0.2">
      <c r="A313" t="s">
        <v>177</v>
      </c>
      <c r="B313" t="s">
        <v>125</v>
      </c>
      <c r="C313">
        <v>20</v>
      </c>
      <c r="D313">
        <v>3.8682469728418098</v>
      </c>
      <c r="E313">
        <v>0.1</v>
      </c>
      <c r="F313" t="s">
        <v>205</v>
      </c>
    </row>
    <row r="314" spans="1:6" x14ac:dyDescent="0.2">
      <c r="A314" t="s">
        <v>106</v>
      </c>
      <c r="B314" t="s">
        <v>193</v>
      </c>
      <c r="C314">
        <v>20</v>
      </c>
      <c r="D314">
        <v>3.8682469728418098</v>
      </c>
      <c r="E314">
        <v>0.1</v>
      </c>
      <c r="F314" t="s">
        <v>205</v>
      </c>
    </row>
    <row r="315" spans="1:6" x14ac:dyDescent="0.2">
      <c r="A315" t="s">
        <v>177</v>
      </c>
      <c r="B315" t="s">
        <v>163</v>
      </c>
      <c r="C315">
        <v>20</v>
      </c>
      <c r="D315">
        <v>3.8682469728418098</v>
      </c>
      <c r="E315">
        <v>0.1</v>
      </c>
      <c r="F315" t="s">
        <v>205</v>
      </c>
    </row>
    <row r="316" spans="1:6" x14ac:dyDescent="0.2">
      <c r="A316" t="s">
        <v>17</v>
      </c>
      <c r="B316" t="s">
        <v>114</v>
      </c>
      <c r="C316">
        <v>20</v>
      </c>
      <c r="D316">
        <v>3.8682469728418098</v>
      </c>
      <c r="E316">
        <v>0.1</v>
      </c>
      <c r="F316" t="s">
        <v>205</v>
      </c>
    </row>
    <row r="317" spans="1:6" x14ac:dyDescent="0.2">
      <c r="A317" t="s">
        <v>96</v>
      </c>
      <c r="B317" t="s">
        <v>125</v>
      </c>
      <c r="C317">
        <v>20</v>
      </c>
      <c r="D317">
        <v>3.8682469728418098</v>
      </c>
      <c r="E317">
        <v>0.1</v>
      </c>
      <c r="F317" t="s">
        <v>205</v>
      </c>
    </row>
    <row r="318" spans="1:6" x14ac:dyDescent="0.2">
      <c r="A318" t="s">
        <v>106</v>
      </c>
      <c r="B318" t="s">
        <v>114</v>
      </c>
      <c r="C318">
        <v>20</v>
      </c>
      <c r="D318">
        <v>3.8682469728418098</v>
      </c>
      <c r="E318">
        <v>0.1</v>
      </c>
      <c r="F318" t="s">
        <v>205</v>
      </c>
    </row>
    <row r="319" spans="1:6" x14ac:dyDescent="0.2">
      <c r="A319" t="s">
        <v>102</v>
      </c>
      <c r="B319" t="s">
        <v>187</v>
      </c>
      <c r="C319">
        <v>20</v>
      </c>
      <c r="D319">
        <v>3.8682469728418098</v>
      </c>
      <c r="E319">
        <v>0.1</v>
      </c>
      <c r="F319" t="s">
        <v>205</v>
      </c>
    </row>
    <row r="320" spans="1:6" x14ac:dyDescent="0.2">
      <c r="A320" t="s">
        <v>93</v>
      </c>
      <c r="B320" t="s">
        <v>96</v>
      </c>
      <c r="C320">
        <v>20</v>
      </c>
      <c r="D320">
        <v>3.8682469728418098</v>
      </c>
      <c r="E320">
        <v>0.1</v>
      </c>
      <c r="F320" t="s">
        <v>205</v>
      </c>
    </row>
    <row r="321" spans="1:6" x14ac:dyDescent="0.2">
      <c r="A321" t="s">
        <v>93</v>
      </c>
      <c r="B321" t="s">
        <v>79</v>
      </c>
      <c r="C321">
        <v>20</v>
      </c>
      <c r="D321">
        <v>3.8682469728418098</v>
      </c>
      <c r="E321">
        <v>0.1</v>
      </c>
      <c r="F321" t="s">
        <v>205</v>
      </c>
    </row>
    <row r="322" spans="1:6" x14ac:dyDescent="0.2">
      <c r="A322" t="s">
        <v>177</v>
      </c>
      <c r="B322" t="s">
        <v>90</v>
      </c>
      <c r="C322">
        <v>20</v>
      </c>
      <c r="D322">
        <v>3.8682469728418098</v>
      </c>
      <c r="E322">
        <v>0.1</v>
      </c>
      <c r="F322" t="s">
        <v>205</v>
      </c>
    </row>
    <row r="323" spans="1:6" x14ac:dyDescent="0.2">
      <c r="A323" t="s">
        <v>58</v>
      </c>
      <c r="B323" t="s">
        <v>114</v>
      </c>
      <c r="C323">
        <v>20</v>
      </c>
      <c r="D323">
        <v>3.8682469728418098</v>
      </c>
      <c r="E323">
        <v>0.1</v>
      </c>
      <c r="F323" t="s">
        <v>205</v>
      </c>
    </row>
    <row r="324" spans="1:6" x14ac:dyDescent="0.2">
      <c r="A324" t="s">
        <v>187</v>
      </c>
      <c r="B324" t="s">
        <v>96</v>
      </c>
      <c r="C324">
        <v>20</v>
      </c>
      <c r="D324">
        <v>3.8682469728418098</v>
      </c>
      <c r="E324">
        <v>0.1</v>
      </c>
      <c r="F324" t="s">
        <v>205</v>
      </c>
    </row>
    <row r="325" spans="1:6" x14ac:dyDescent="0.2">
      <c r="A325" t="s">
        <v>102</v>
      </c>
      <c r="B325" t="s">
        <v>96</v>
      </c>
      <c r="C325">
        <v>20</v>
      </c>
      <c r="D325">
        <v>3.8682469728418098</v>
      </c>
      <c r="E325">
        <v>0.1</v>
      </c>
      <c r="F325" t="s">
        <v>205</v>
      </c>
    </row>
    <row r="326" spans="1:6" x14ac:dyDescent="0.2">
      <c r="A326" t="s">
        <v>17</v>
      </c>
      <c r="B326" t="s">
        <v>163</v>
      </c>
      <c r="C326">
        <v>20</v>
      </c>
      <c r="D326">
        <v>3.8682469728418098</v>
      </c>
      <c r="E326">
        <v>0.1</v>
      </c>
      <c r="F326" t="s">
        <v>205</v>
      </c>
    </row>
    <row r="327" spans="1:6" x14ac:dyDescent="0.2">
      <c r="A327" t="s">
        <v>129</v>
      </c>
      <c r="B327" t="s">
        <v>36</v>
      </c>
      <c r="C327">
        <v>21</v>
      </c>
      <c r="D327">
        <v>3.82246401638433</v>
      </c>
      <c r="E327">
        <v>9.5238095238095205E-2</v>
      </c>
      <c r="F327" t="s">
        <v>206</v>
      </c>
    </row>
    <row r="328" spans="1:6" x14ac:dyDescent="0.2">
      <c r="A328" t="s">
        <v>36</v>
      </c>
      <c r="B328" t="s">
        <v>97</v>
      </c>
      <c r="C328">
        <v>21</v>
      </c>
      <c r="D328">
        <v>3.82246401638433</v>
      </c>
      <c r="E328">
        <v>9.5238095238095205E-2</v>
      </c>
      <c r="F328" t="s">
        <v>206</v>
      </c>
    </row>
    <row r="329" spans="1:6" x14ac:dyDescent="0.2">
      <c r="A329" t="s">
        <v>129</v>
      </c>
      <c r="B329" t="s">
        <v>97</v>
      </c>
      <c r="C329">
        <v>21</v>
      </c>
      <c r="D329">
        <v>3.82246401638433</v>
      </c>
      <c r="E329">
        <v>9.5238095238095205E-2</v>
      </c>
      <c r="F329" t="s">
        <v>206</v>
      </c>
    </row>
    <row r="330" spans="1:6" x14ac:dyDescent="0.2">
      <c r="A330" t="s">
        <v>178</v>
      </c>
      <c r="B330" t="s">
        <v>73</v>
      </c>
      <c r="C330">
        <v>24</v>
      </c>
      <c r="D330">
        <v>3.6971629021473502</v>
      </c>
      <c r="E330">
        <v>8.3333333333333301E-2</v>
      </c>
      <c r="F330" t="s">
        <v>207</v>
      </c>
    </row>
    <row r="331" spans="1:6" x14ac:dyDescent="0.2">
      <c r="A331" t="s">
        <v>178</v>
      </c>
      <c r="B331" t="s">
        <v>32</v>
      </c>
      <c r="C331">
        <v>24</v>
      </c>
      <c r="D331">
        <v>3.6971629021473502</v>
      </c>
      <c r="E331">
        <v>8.3333333333333301E-2</v>
      </c>
      <c r="F331" t="s">
        <v>207</v>
      </c>
    </row>
    <row r="332" spans="1:6" x14ac:dyDescent="0.2">
      <c r="A332" t="s">
        <v>163</v>
      </c>
      <c r="B332" t="s">
        <v>118</v>
      </c>
      <c r="C332">
        <v>25</v>
      </c>
      <c r="D332">
        <v>3.6588569929657799</v>
      </c>
      <c r="E332">
        <v>0.08</v>
      </c>
      <c r="F332" t="s">
        <v>208</v>
      </c>
    </row>
    <row r="333" spans="1:6" x14ac:dyDescent="0.2">
      <c r="A333" t="s">
        <v>129</v>
      </c>
      <c r="B333" t="s">
        <v>163</v>
      </c>
      <c r="C333">
        <v>25</v>
      </c>
      <c r="D333">
        <v>3.6588569929657799</v>
      </c>
      <c r="E333">
        <v>0.08</v>
      </c>
      <c r="F333" t="s">
        <v>208</v>
      </c>
    </row>
    <row r="334" spans="1:6" x14ac:dyDescent="0.2">
      <c r="A334" t="s">
        <v>178</v>
      </c>
      <c r="B334" t="s">
        <v>124</v>
      </c>
      <c r="C334">
        <v>26</v>
      </c>
      <c r="D334">
        <v>3.6220536693226699</v>
      </c>
      <c r="E334">
        <v>7.69230769230769E-2</v>
      </c>
      <c r="F334" t="s">
        <v>209</v>
      </c>
    </row>
    <row r="335" spans="1:6" x14ac:dyDescent="0.2">
      <c r="A335" t="s">
        <v>83</v>
      </c>
      <c r="B335" t="s">
        <v>76</v>
      </c>
      <c r="C335">
        <v>27</v>
      </c>
      <c r="D335">
        <v>3.5866394865228499</v>
      </c>
      <c r="E335">
        <v>7.4074074074074098E-2</v>
      </c>
      <c r="F335" t="s">
        <v>210</v>
      </c>
    </row>
    <row r="336" spans="1:6" x14ac:dyDescent="0.2">
      <c r="A336" t="s">
        <v>189</v>
      </c>
      <c r="B336" t="s">
        <v>66</v>
      </c>
      <c r="C336">
        <v>28</v>
      </c>
      <c r="D336">
        <v>3.5525133814383398</v>
      </c>
      <c r="E336">
        <v>7.1428571428571397E-2</v>
      </c>
      <c r="F336" t="s">
        <v>211</v>
      </c>
    </row>
    <row r="337" spans="1:6" x14ac:dyDescent="0.2">
      <c r="A337" t="s">
        <v>189</v>
      </c>
      <c r="B337" t="s">
        <v>47</v>
      </c>
      <c r="C337">
        <v>28</v>
      </c>
      <c r="D337">
        <v>3.5525133814383398</v>
      </c>
      <c r="E337">
        <v>7.1428571428571397E-2</v>
      </c>
      <c r="F337" t="s">
        <v>211</v>
      </c>
    </row>
    <row r="338" spans="1:6" x14ac:dyDescent="0.2">
      <c r="A338" t="s">
        <v>57</v>
      </c>
      <c r="B338" t="s">
        <v>212</v>
      </c>
      <c r="C338">
        <v>30</v>
      </c>
      <c r="D338">
        <v>3.4877729222713199</v>
      </c>
      <c r="E338">
        <v>6.6666666666666693E-2</v>
      </c>
      <c r="F338" t="s">
        <v>213</v>
      </c>
    </row>
    <row r="339" spans="1:6" x14ac:dyDescent="0.2">
      <c r="A339" t="s">
        <v>57</v>
      </c>
      <c r="B339" t="s">
        <v>38</v>
      </c>
      <c r="C339">
        <v>30</v>
      </c>
      <c r="D339">
        <v>3.4877729222713199</v>
      </c>
      <c r="E339">
        <v>6.6666666666666693E-2</v>
      </c>
      <c r="F339" t="s">
        <v>213</v>
      </c>
    </row>
    <row r="340" spans="1:6" x14ac:dyDescent="0.2">
      <c r="A340" t="s">
        <v>38</v>
      </c>
      <c r="B340" t="s">
        <v>212</v>
      </c>
      <c r="C340">
        <v>30</v>
      </c>
      <c r="D340">
        <v>3.4877729222713199</v>
      </c>
      <c r="E340">
        <v>6.6666666666666693E-2</v>
      </c>
      <c r="F340" t="s">
        <v>213</v>
      </c>
    </row>
    <row r="341" spans="1:6" x14ac:dyDescent="0.2">
      <c r="A341" t="s">
        <v>178</v>
      </c>
      <c r="B341" t="s">
        <v>212</v>
      </c>
      <c r="C341">
        <v>30</v>
      </c>
      <c r="D341">
        <v>3.4877729222713199</v>
      </c>
      <c r="E341">
        <v>6.6666666666666693E-2</v>
      </c>
      <c r="F341" t="s">
        <v>213</v>
      </c>
    </row>
    <row r="342" spans="1:6" x14ac:dyDescent="0.2">
      <c r="A342" t="s">
        <v>57</v>
      </c>
      <c r="B342" t="s">
        <v>178</v>
      </c>
      <c r="C342">
        <v>30</v>
      </c>
      <c r="D342">
        <v>3.4877729222713199</v>
      </c>
      <c r="E342">
        <v>6.6666666666666693E-2</v>
      </c>
      <c r="F342" t="s">
        <v>213</v>
      </c>
    </row>
    <row r="343" spans="1:6" x14ac:dyDescent="0.2">
      <c r="A343" t="s">
        <v>38</v>
      </c>
      <c r="B343" t="s">
        <v>76</v>
      </c>
      <c r="C343">
        <v>32</v>
      </c>
      <c r="D343">
        <v>3.4272122672013601</v>
      </c>
      <c r="E343">
        <v>6.25E-2</v>
      </c>
      <c r="F343" t="s">
        <v>214</v>
      </c>
    </row>
    <row r="344" spans="1:6" x14ac:dyDescent="0.2">
      <c r="A344" t="s">
        <v>178</v>
      </c>
      <c r="B344" t="s">
        <v>65</v>
      </c>
      <c r="C344">
        <v>32</v>
      </c>
      <c r="D344">
        <v>3.4272122672013601</v>
      </c>
      <c r="E344">
        <v>6.25E-2</v>
      </c>
      <c r="F344" t="s">
        <v>215</v>
      </c>
    </row>
    <row r="345" spans="1:6" x14ac:dyDescent="0.2">
      <c r="A345" t="s">
        <v>38</v>
      </c>
      <c r="B345" t="s">
        <v>129</v>
      </c>
      <c r="C345">
        <v>33</v>
      </c>
      <c r="D345">
        <v>3.3983372360788602</v>
      </c>
      <c r="E345">
        <v>6.0606060606060601E-2</v>
      </c>
      <c r="F345" t="s">
        <v>216</v>
      </c>
    </row>
    <row r="346" spans="1:6" x14ac:dyDescent="0.2">
      <c r="A346" t="s">
        <v>178</v>
      </c>
      <c r="B346" t="s">
        <v>97</v>
      </c>
      <c r="C346">
        <v>33</v>
      </c>
      <c r="D346">
        <v>3.3983372360788602</v>
      </c>
      <c r="E346">
        <v>6.0606060606060601E-2</v>
      </c>
      <c r="F346" t="s">
        <v>216</v>
      </c>
    </row>
    <row r="347" spans="1:6" x14ac:dyDescent="0.2">
      <c r="A347" t="s">
        <v>38</v>
      </c>
      <c r="B347" t="s">
        <v>97</v>
      </c>
      <c r="C347">
        <v>33</v>
      </c>
      <c r="D347">
        <v>3.3983372360788602</v>
      </c>
      <c r="E347">
        <v>6.0606060606060601E-2</v>
      </c>
      <c r="F347" t="s">
        <v>216</v>
      </c>
    </row>
    <row r="348" spans="1:6" x14ac:dyDescent="0.2">
      <c r="A348" t="s">
        <v>99</v>
      </c>
      <c r="B348" t="s">
        <v>41</v>
      </c>
      <c r="C348">
        <v>34</v>
      </c>
      <c r="D348">
        <v>3.37032427618673</v>
      </c>
      <c r="E348">
        <v>5.8823529411764698E-2</v>
      </c>
      <c r="F348" t="s">
        <v>217</v>
      </c>
    </row>
    <row r="349" spans="1:6" x14ac:dyDescent="0.2">
      <c r="A349" t="s">
        <v>41</v>
      </c>
      <c r="B349" t="s">
        <v>121</v>
      </c>
      <c r="C349">
        <v>34</v>
      </c>
      <c r="D349">
        <v>3.37032427618673</v>
      </c>
      <c r="E349">
        <v>5.8823529411764698E-2</v>
      </c>
      <c r="F349" t="s">
        <v>217</v>
      </c>
    </row>
    <row r="350" spans="1:6" x14ac:dyDescent="0.2">
      <c r="A350" t="s">
        <v>25</v>
      </c>
      <c r="B350" t="s">
        <v>47</v>
      </c>
      <c r="C350">
        <v>37</v>
      </c>
      <c r="D350">
        <v>3.2909786277317901</v>
      </c>
      <c r="E350">
        <v>5.4054054054054099E-2</v>
      </c>
      <c r="F350" t="s">
        <v>218</v>
      </c>
    </row>
    <row r="351" spans="1:6" x14ac:dyDescent="0.2">
      <c r="A351" t="s">
        <v>93</v>
      </c>
      <c r="B351" t="s">
        <v>35</v>
      </c>
      <c r="C351">
        <v>37</v>
      </c>
      <c r="D351">
        <v>3.2909786277317901</v>
      </c>
      <c r="E351">
        <v>5.4054054054054099E-2</v>
      </c>
      <c r="F351" t="s">
        <v>218</v>
      </c>
    </row>
    <row r="352" spans="1:6" x14ac:dyDescent="0.2">
      <c r="A352" t="s">
        <v>177</v>
      </c>
      <c r="B352" t="s">
        <v>35</v>
      </c>
      <c r="C352">
        <v>37</v>
      </c>
      <c r="D352">
        <v>3.2909786277317901</v>
      </c>
      <c r="E352">
        <v>5.4054054054054099E-2</v>
      </c>
      <c r="F352" t="s">
        <v>218</v>
      </c>
    </row>
    <row r="353" spans="1:6" x14ac:dyDescent="0.2">
      <c r="A353" t="s">
        <v>25</v>
      </c>
      <c r="B353" t="s">
        <v>74</v>
      </c>
      <c r="C353">
        <v>37</v>
      </c>
      <c r="D353">
        <v>3.2909786277317901</v>
      </c>
      <c r="E353">
        <v>5.4054054054054099E-2</v>
      </c>
      <c r="F353" t="s">
        <v>218</v>
      </c>
    </row>
    <row r="354" spans="1:6" x14ac:dyDescent="0.2">
      <c r="A354" t="s">
        <v>177</v>
      </c>
      <c r="B354" t="s">
        <v>70</v>
      </c>
      <c r="C354">
        <v>37</v>
      </c>
      <c r="D354">
        <v>3.2909786277317901</v>
      </c>
      <c r="E354">
        <v>5.4054054054054099E-2</v>
      </c>
      <c r="F354" t="s">
        <v>218</v>
      </c>
    </row>
    <row r="355" spans="1:6" x14ac:dyDescent="0.2">
      <c r="A355" t="s">
        <v>25</v>
      </c>
      <c r="B355" t="s">
        <v>189</v>
      </c>
      <c r="C355">
        <v>37</v>
      </c>
      <c r="D355">
        <v>3.2909786277317901</v>
      </c>
      <c r="E355">
        <v>5.4054054054054099E-2</v>
      </c>
      <c r="F355" t="s">
        <v>218</v>
      </c>
    </row>
    <row r="356" spans="1:6" x14ac:dyDescent="0.2">
      <c r="A356" t="s">
        <v>119</v>
      </c>
      <c r="B356" t="s">
        <v>177</v>
      </c>
      <c r="C356">
        <v>37</v>
      </c>
      <c r="D356">
        <v>3.2909786277317901</v>
      </c>
      <c r="E356">
        <v>5.4054054054054099E-2</v>
      </c>
      <c r="F356" t="s">
        <v>218</v>
      </c>
    </row>
    <row r="357" spans="1:6" x14ac:dyDescent="0.2">
      <c r="A357" t="s">
        <v>60</v>
      </c>
      <c r="B357" t="s">
        <v>163</v>
      </c>
      <c r="C357">
        <v>37</v>
      </c>
      <c r="D357">
        <v>3.2909786277317901</v>
      </c>
      <c r="E357">
        <v>5.4054054054054099E-2</v>
      </c>
      <c r="F357" t="s">
        <v>218</v>
      </c>
    </row>
    <row r="358" spans="1:6" x14ac:dyDescent="0.2">
      <c r="A358" t="s">
        <v>60</v>
      </c>
      <c r="B358" t="s">
        <v>35</v>
      </c>
      <c r="C358">
        <v>37</v>
      </c>
      <c r="D358">
        <v>3.2909786277317901</v>
      </c>
      <c r="E358">
        <v>5.4054054054054099E-2</v>
      </c>
      <c r="F358" t="s">
        <v>218</v>
      </c>
    </row>
    <row r="359" spans="1:6" x14ac:dyDescent="0.2">
      <c r="A359" t="s">
        <v>74</v>
      </c>
      <c r="B359" t="s">
        <v>35</v>
      </c>
      <c r="C359">
        <v>37</v>
      </c>
      <c r="D359">
        <v>3.2909786277317901</v>
      </c>
      <c r="E359">
        <v>5.4054054054054099E-2</v>
      </c>
      <c r="F359" t="s">
        <v>218</v>
      </c>
    </row>
    <row r="360" spans="1:6" x14ac:dyDescent="0.2">
      <c r="A360" t="s">
        <v>163</v>
      </c>
      <c r="B360" t="s">
        <v>47</v>
      </c>
      <c r="C360">
        <v>37</v>
      </c>
      <c r="D360">
        <v>3.2909786277317901</v>
      </c>
      <c r="E360">
        <v>5.4054054054054099E-2</v>
      </c>
      <c r="F360" t="s">
        <v>218</v>
      </c>
    </row>
    <row r="361" spans="1:6" x14ac:dyDescent="0.2">
      <c r="A361" t="s">
        <v>189</v>
      </c>
      <c r="B361" t="s">
        <v>74</v>
      </c>
      <c r="C361">
        <v>37</v>
      </c>
      <c r="D361">
        <v>3.2909786277317901</v>
      </c>
      <c r="E361">
        <v>5.4054054054054099E-2</v>
      </c>
      <c r="F361" t="s">
        <v>218</v>
      </c>
    </row>
    <row r="362" spans="1:6" x14ac:dyDescent="0.2">
      <c r="A362" t="s">
        <v>93</v>
      </c>
      <c r="B362" t="s">
        <v>70</v>
      </c>
      <c r="C362">
        <v>37</v>
      </c>
      <c r="D362">
        <v>3.2909786277317901</v>
      </c>
      <c r="E362">
        <v>5.4054054054054099E-2</v>
      </c>
      <c r="F362" t="s">
        <v>218</v>
      </c>
    </row>
    <row r="363" spans="1:6" x14ac:dyDescent="0.2">
      <c r="A363" t="s">
        <v>93</v>
      </c>
      <c r="B363" t="s">
        <v>189</v>
      </c>
      <c r="C363">
        <v>37</v>
      </c>
      <c r="D363">
        <v>3.2909786277317901</v>
      </c>
      <c r="E363">
        <v>5.4054054054054099E-2</v>
      </c>
      <c r="F363" t="s">
        <v>218</v>
      </c>
    </row>
    <row r="364" spans="1:6" x14ac:dyDescent="0.2">
      <c r="A364" t="s">
        <v>60</v>
      </c>
      <c r="B364" t="s">
        <v>189</v>
      </c>
      <c r="C364">
        <v>37</v>
      </c>
      <c r="D364">
        <v>3.2909786277317901</v>
      </c>
      <c r="E364">
        <v>5.4054054054054099E-2</v>
      </c>
      <c r="F364" t="s">
        <v>218</v>
      </c>
    </row>
    <row r="365" spans="1:6" x14ac:dyDescent="0.2">
      <c r="A365" t="s">
        <v>177</v>
      </c>
      <c r="B365" t="s">
        <v>189</v>
      </c>
      <c r="C365">
        <v>37</v>
      </c>
      <c r="D365">
        <v>3.2909786277317901</v>
      </c>
      <c r="E365">
        <v>5.4054054054054099E-2</v>
      </c>
      <c r="F365" t="s">
        <v>218</v>
      </c>
    </row>
    <row r="366" spans="1:6" x14ac:dyDescent="0.2">
      <c r="A366" t="s">
        <v>60</v>
      </c>
      <c r="B366" t="s">
        <v>93</v>
      </c>
      <c r="C366">
        <v>37</v>
      </c>
      <c r="D366">
        <v>3.2909786277317901</v>
      </c>
      <c r="E366">
        <v>5.4054054054054099E-2</v>
      </c>
      <c r="F366" t="s">
        <v>218</v>
      </c>
    </row>
    <row r="367" spans="1:6" x14ac:dyDescent="0.2">
      <c r="A367" t="s">
        <v>175</v>
      </c>
      <c r="B367" t="s">
        <v>35</v>
      </c>
      <c r="C367">
        <v>37</v>
      </c>
      <c r="D367">
        <v>3.2909786277317901</v>
      </c>
      <c r="E367">
        <v>5.4054054054054099E-2</v>
      </c>
      <c r="F367" t="s">
        <v>218</v>
      </c>
    </row>
    <row r="368" spans="1:6" x14ac:dyDescent="0.2">
      <c r="A368" t="s">
        <v>177</v>
      </c>
      <c r="B368" t="s">
        <v>55</v>
      </c>
      <c r="C368">
        <v>37</v>
      </c>
      <c r="D368">
        <v>3.2909786277317901</v>
      </c>
      <c r="E368">
        <v>5.4054054054054099E-2</v>
      </c>
      <c r="F368" t="s">
        <v>218</v>
      </c>
    </row>
    <row r="369" spans="1:6" x14ac:dyDescent="0.2">
      <c r="A369" t="s">
        <v>74</v>
      </c>
      <c r="B369" t="s">
        <v>124</v>
      </c>
      <c r="C369">
        <v>37</v>
      </c>
      <c r="D369">
        <v>3.2909786277317901</v>
      </c>
      <c r="E369">
        <v>5.4054054054054099E-2</v>
      </c>
      <c r="F369" t="s">
        <v>218</v>
      </c>
    </row>
    <row r="370" spans="1:6" x14ac:dyDescent="0.2">
      <c r="A370" t="s">
        <v>163</v>
      </c>
      <c r="B370" t="s">
        <v>74</v>
      </c>
      <c r="C370">
        <v>37</v>
      </c>
      <c r="D370">
        <v>3.2909786277317901</v>
      </c>
      <c r="E370">
        <v>5.4054054054054099E-2</v>
      </c>
      <c r="F370" t="s">
        <v>218</v>
      </c>
    </row>
    <row r="371" spans="1:6" x14ac:dyDescent="0.2">
      <c r="A371" t="s">
        <v>60</v>
      </c>
      <c r="B371" t="s">
        <v>17</v>
      </c>
      <c r="C371">
        <v>37</v>
      </c>
      <c r="D371">
        <v>3.2909786277317901</v>
      </c>
      <c r="E371">
        <v>5.4054054054054099E-2</v>
      </c>
      <c r="F371" t="s">
        <v>218</v>
      </c>
    </row>
    <row r="372" spans="1:6" x14ac:dyDescent="0.2">
      <c r="A372" t="s">
        <v>47</v>
      </c>
      <c r="B372" t="s">
        <v>55</v>
      </c>
      <c r="C372">
        <v>37</v>
      </c>
      <c r="D372">
        <v>3.2909786277317901</v>
      </c>
      <c r="E372">
        <v>5.4054054054054099E-2</v>
      </c>
      <c r="F372" t="s">
        <v>218</v>
      </c>
    </row>
    <row r="373" spans="1:6" x14ac:dyDescent="0.2">
      <c r="A373" t="s">
        <v>163</v>
      </c>
      <c r="B373" t="s">
        <v>25</v>
      </c>
      <c r="C373">
        <v>37</v>
      </c>
      <c r="D373">
        <v>3.2909786277317901</v>
      </c>
      <c r="E373">
        <v>5.4054054054054099E-2</v>
      </c>
      <c r="F373" t="s">
        <v>218</v>
      </c>
    </row>
    <row r="374" spans="1:6" x14ac:dyDescent="0.2">
      <c r="A374" t="s">
        <v>119</v>
      </c>
      <c r="B374" t="s">
        <v>25</v>
      </c>
      <c r="C374">
        <v>37</v>
      </c>
      <c r="D374">
        <v>3.2909786277317901</v>
      </c>
      <c r="E374">
        <v>5.4054054054054099E-2</v>
      </c>
      <c r="F374" t="s">
        <v>218</v>
      </c>
    </row>
    <row r="375" spans="1:6" x14ac:dyDescent="0.2">
      <c r="A375" t="s">
        <v>163</v>
      </c>
      <c r="B375" t="s">
        <v>70</v>
      </c>
      <c r="C375">
        <v>37</v>
      </c>
      <c r="D375">
        <v>3.2909786277317901</v>
      </c>
      <c r="E375">
        <v>5.4054054054054099E-2</v>
      </c>
      <c r="F375" t="s">
        <v>218</v>
      </c>
    </row>
    <row r="376" spans="1:6" x14ac:dyDescent="0.2">
      <c r="A376" t="s">
        <v>163</v>
      </c>
      <c r="B376" t="s">
        <v>35</v>
      </c>
      <c r="C376">
        <v>37</v>
      </c>
      <c r="D376">
        <v>3.2909786277317901</v>
      </c>
      <c r="E376">
        <v>5.4054054054054099E-2</v>
      </c>
      <c r="F376" t="s">
        <v>218</v>
      </c>
    </row>
    <row r="377" spans="1:6" x14ac:dyDescent="0.2">
      <c r="A377" t="s">
        <v>25</v>
      </c>
      <c r="B377" t="s">
        <v>55</v>
      </c>
      <c r="C377">
        <v>37</v>
      </c>
      <c r="D377">
        <v>3.2909786277317901</v>
      </c>
      <c r="E377">
        <v>5.4054054054054099E-2</v>
      </c>
      <c r="F377" t="s">
        <v>218</v>
      </c>
    </row>
    <row r="378" spans="1:6" x14ac:dyDescent="0.2">
      <c r="A378" t="s">
        <v>60</v>
      </c>
      <c r="B378" t="s">
        <v>25</v>
      </c>
      <c r="C378">
        <v>37</v>
      </c>
      <c r="D378">
        <v>3.2909786277317901</v>
      </c>
      <c r="E378">
        <v>5.4054054054054099E-2</v>
      </c>
      <c r="F378" t="s">
        <v>218</v>
      </c>
    </row>
    <row r="379" spans="1:6" x14ac:dyDescent="0.2">
      <c r="A379" t="s">
        <v>175</v>
      </c>
      <c r="B379" t="s">
        <v>74</v>
      </c>
      <c r="C379">
        <v>37</v>
      </c>
      <c r="D379">
        <v>3.2909786277317901</v>
      </c>
      <c r="E379">
        <v>5.4054054054054099E-2</v>
      </c>
      <c r="F379" t="s">
        <v>218</v>
      </c>
    </row>
    <row r="380" spans="1:6" x14ac:dyDescent="0.2">
      <c r="A380" t="s">
        <v>17</v>
      </c>
      <c r="B380" t="s">
        <v>25</v>
      </c>
      <c r="C380">
        <v>37</v>
      </c>
      <c r="D380">
        <v>3.2909786277317901</v>
      </c>
      <c r="E380">
        <v>5.4054054054054099E-2</v>
      </c>
      <c r="F380" t="s">
        <v>218</v>
      </c>
    </row>
    <row r="381" spans="1:6" x14ac:dyDescent="0.2">
      <c r="A381" t="s">
        <v>119</v>
      </c>
      <c r="B381" t="s">
        <v>74</v>
      </c>
      <c r="C381">
        <v>37</v>
      </c>
      <c r="D381">
        <v>3.2909786277317901</v>
      </c>
      <c r="E381">
        <v>5.4054054054054099E-2</v>
      </c>
      <c r="F381" t="s">
        <v>218</v>
      </c>
    </row>
    <row r="382" spans="1:6" x14ac:dyDescent="0.2">
      <c r="A382" t="s">
        <v>60</v>
      </c>
      <c r="B382" t="s">
        <v>55</v>
      </c>
      <c r="C382">
        <v>37</v>
      </c>
      <c r="D382">
        <v>3.2909786277317901</v>
      </c>
      <c r="E382">
        <v>5.4054054054054099E-2</v>
      </c>
      <c r="F382" t="s">
        <v>218</v>
      </c>
    </row>
    <row r="383" spans="1:6" x14ac:dyDescent="0.2">
      <c r="A383" t="s">
        <v>175</v>
      </c>
      <c r="B383" t="s">
        <v>25</v>
      </c>
      <c r="C383">
        <v>37</v>
      </c>
      <c r="D383">
        <v>3.2909786277317901</v>
      </c>
      <c r="E383">
        <v>5.4054054054054099E-2</v>
      </c>
      <c r="F383" t="s">
        <v>218</v>
      </c>
    </row>
    <row r="384" spans="1:6" x14ac:dyDescent="0.2">
      <c r="A384" t="s">
        <v>25</v>
      </c>
      <c r="B384" t="s">
        <v>124</v>
      </c>
      <c r="C384">
        <v>37</v>
      </c>
      <c r="D384">
        <v>3.2909786277317901</v>
      </c>
      <c r="E384">
        <v>5.4054054054054099E-2</v>
      </c>
      <c r="F384" t="s">
        <v>218</v>
      </c>
    </row>
    <row r="385" spans="1:6" x14ac:dyDescent="0.2">
      <c r="A385" t="s">
        <v>93</v>
      </c>
      <c r="B385" t="s">
        <v>74</v>
      </c>
      <c r="C385">
        <v>37</v>
      </c>
      <c r="D385">
        <v>3.2909786277317901</v>
      </c>
      <c r="E385">
        <v>5.4054054054054099E-2</v>
      </c>
      <c r="F385" t="s">
        <v>218</v>
      </c>
    </row>
    <row r="386" spans="1:6" x14ac:dyDescent="0.2">
      <c r="A386" t="s">
        <v>70</v>
      </c>
      <c r="B386" t="s">
        <v>124</v>
      </c>
      <c r="C386">
        <v>37</v>
      </c>
      <c r="D386">
        <v>3.2909786277317901</v>
      </c>
      <c r="E386">
        <v>5.4054054054054099E-2</v>
      </c>
      <c r="F386" t="s">
        <v>218</v>
      </c>
    </row>
    <row r="387" spans="1:6" x14ac:dyDescent="0.2">
      <c r="A387" t="s">
        <v>119</v>
      </c>
      <c r="B387" t="s">
        <v>93</v>
      </c>
      <c r="C387">
        <v>37</v>
      </c>
      <c r="D387">
        <v>3.2909786277317901</v>
      </c>
      <c r="E387">
        <v>5.4054054054054099E-2</v>
      </c>
      <c r="F387" t="s">
        <v>218</v>
      </c>
    </row>
    <row r="388" spans="1:6" x14ac:dyDescent="0.2">
      <c r="A388" t="s">
        <v>93</v>
      </c>
      <c r="B388" t="s">
        <v>25</v>
      </c>
      <c r="C388">
        <v>37</v>
      </c>
      <c r="D388">
        <v>3.2909786277317901</v>
      </c>
      <c r="E388">
        <v>5.4054054054054099E-2</v>
      </c>
      <c r="F388" t="s">
        <v>218</v>
      </c>
    </row>
    <row r="389" spans="1:6" x14ac:dyDescent="0.2">
      <c r="A389" t="s">
        <v>25</v>
      </c>
      <c r="B389" t="s">
        <v>35</v>
      </c>
      <c r="C389">
        <v>37</v>
      </c>
      <c r="D389">
        <v>3.2909786277317901</v>
      </c>
      <c r="E389">
        <v>5.4054054054054099E-2</v>
      </c>
      <c r="F389" t="s">
        <v>218</v>
      </c>
    </row>
    <row r="390" spans="1:6" x14ac:dyDescent="0.2">
      <c r="A390" t="s">
        <v>25</v>
      </c>
      <c r="B390" t="s">
        <v>70</v>
      </c>
      <c r="C390">
        <v>37</v>
      </c>
      <c r="D390">
        <v>3.2909786277317901</v>
      </c>
      <c r="E390">
        <v>5.4054054054054099E-2</v>
      </c>
      <c r="F390" t="s">
        <v>218</v>
      </c>
    </row>
    <row r="391" spans="1:6" x14ac:dyDescent="0.2">
      <c r="A391" t="s">
        <v>60</v>
      </c>
      <c r="B391" t="s">
        <v>177</v>
      </c>
      <c r="C391">
        <v>37</v>
      </c>
      <c r="D391">
        <v>3.2909786277317901</v>
      </c>
      <c r="E391">
        <v>5.4054054054054099E-2</v>
      </c>
      <c r="F391" t="s">
        <v>218</v>
      </c>
    </row>
    <row r="392" spans="1:6" x14ac:dyDescent="0.2">
      <c r="A392" t="s">
        <v>74</v>
      </c>
      <c r="B392" t="s">
        <v>55</v>
      </c>
      <c r="C392">
        <v>37</v>
      </c>
      <c r="D392">
        <v>3.2909786277317901</v>
      </c>
      <c r="E392">
        <v>5.4054054054054099E-2</v>
      </c>
      <c r="F392" t="s">
        <v>218</v>
      </c>
    </row>
    <row r="393" spans="1:6" x14ac:dyDescent="0.2">
      <c r="A393" t="s">
        <v>177</v>
      </c>
      <c r="B393" t="s">
        <v>25</v>
      </c>
      <c r="C393">
        <v>37</v>
      </c>
      <c r="D393">
        <v>3.2909786277317901</v>
      </c>
      <c r="E393">
        <v>5.4054054054054099E-2</v>
      </c>
      <c r="F393" t="s">
        <v>218</v>
      </c>
    </row>
    <row r="394" spans="1:6" x14ac:dyDescent="0.2">
      <c r="A394" t="s">
        <v>70</v>
      </c>
      <c r="B394" t="s">
        <v>74</v>
      </c>
      <c r="C394">
        <v>37</v>
      </c>
      <c r="D394">
        <v>3.2909786277317901</v>
      </c>
      <c r="E394">
        <v>5.4054054054054099E-2</v>
      </c>
      <c r="F394" t="s">
        <v>218</v>
      </c>
    </row>
    <row r="395" spans="1:6" x14ac:dyDescent="0.2">
      <c r="A395" t="s">
        <v>60</v>
      </c>
      <c r="B395" t="s">
        <v>74</v>
      </c>
      <c r="C395">
        <v>37</v>
      </c>
      <c r="D395">
        <v>3.2909786277317901</v>
      </c>
      <c r="E395">
        <v>5.4054054054054099E-2</v>
      </c>
      <c r="F395" t="s">
        <v>218</v>
      </c>
    </row>
    <row r="396" spans="1:6" x14ac:dyDescent="0.2">
      <c r="A396" t="s">
        <v>175</v>
      </c>
      <c r="B396" t="s">
        <v>93</v>
      </c>
      <c r="C396">
        <v>37</v>
      </c>
      <c r="D396">
        <v>3.2909786277317901</v>
      </c>
      <c r="E396">
        <v>5.4054054054054099E-2</v>
      </c>
      <c r="F396" t="s">
        <v>218</v>
      </c>
    </row>
    <row r="397" spans="1:6" x14ac:dyDescent="0.2">
      <c r="A397" t="s">
        <v>119</v>
      </c>
      <c r="B397" t="s">
        <v>60</v>
      </c>
      <c r="C397">
        <v>37</v>
      </c>
      <c r="D397">
        <v>3.2909786277317901</v>
      </c>
      <c r="E397">
        <v>5.4054054054054099E-2</v>
      </c>
      <c r="F397" t="s">
        <v>218</v>
      </c>
    </row>
    <row r="398" spans="1:6" x14ac:dyDescent="0.2">
      <c r="A398" t="s">
        <v>74</v>
      </c>
      <c r="B398" t="s">
        <v>47</v>
      </c>
      <c r="C398">
        <v>37</v>
      </c>
      <c r="D398">
        <v>3.2909786277317901</v>
      </c>
      <c r="E398">
        <v>5.4054054054054099E-2</v>
      </c>
      <c r="F398" t="s">
        <v>218</v>
      </c>
    </row>
    <row r="399" spans="1:6" x14ac:dyDescent="0.2">
      <c r="A399" t="s">
        <v>177</v>
      </c>
      <c r="B399" t="s">
        <v>74</v>
      </c>
      <c r="C399">
        <v>37</v>
      </c>
      <c r="D399">
        <v>3.2909786277317901</v>
      </c>
      <c r="E399">
        <v>5.4054054054054099E-2</v>
      </c>
      <c r="F399" t="s">
        <v>218</v>
      </c>
    </row>
    <row r="400" spans="1:6" x14ac:dyDescent="0.2">
      <c r="A400" t="s">
        <v>93</v>
      </c>
      <c r="B400" t="s">
        <v>55</v>
      </c>
      <c r="C400">
        <v>37</v>
      </c>
      <c r="D400">
        <v>3.2909786277317901</v>
      </c>
      <c r="E400">
        <v>5.4054054054054099E-2</v>
      </c>
      <c r="F400" t="s">
        <v>218</v>
      </c>
    </row>
    <row r="401" spans="1:6" x14ac:dyDescent="0.2">
      <c r="A401" t="s">
        <v>93</v>
      </c>
      <c r="B401" t="s">
        <v>47</v>
      </c>
      <c r="C401">
        <v>37</v>
      </c>
      <c r="D401">
        <v>3.2909786277317901</v>
      </c>
      <c r="E401">
        <v>5.4054054054054099E-2</v>
      </c>
      <c r="F401" t="s">
        <v>218</v>
      </c>
    </row>
    <row r="402" spans="1:6" x14ac:dyDescent="0.2">
      <c r="A402" t="s">
        <v>175</v>
      </c>
      <c r="B402" t="s">
        <v>60</v>
      </c>
      <c r="C402">
        <v>37</v>
      </c>
      <c r="D402">
        <v>3.2909786277317901</v>
      </c>
      <c r="E402">
        <v>5.4054054054054099E-2</v>
      </c>
      <c r="F402" t="s">
        <v>218</v>
      </c>
    </row>
    <row r="403" spans="1:6" x14ac:dyDescent="0.2">
      <c r="A403" t="s">
        <v>17</v>
      </c>
      <c r="B403" t="s">
        <v>74</v>
      </c>
      <c r="C403">
        <v>37</v>
      </c>
      <c r="D403">
        <v>3.2909786277317901</v>
      </c>
      <c r="E403">
        <v>5.4054054054054099E-2</v>
      </c>
      <c r="F403" t="s">
        <v>218</v>
      </c>
    </row>
    <row r="404" spans="1:6" x14ac:dyDescent="0.2">
      <c r="A404" t="s">
        <v>60</v>
      </c>
      <c r="B404" t="s">
        <v>124</v>
      </c>
      <c r="C404">
        <v>37</v>
      </c>
      <c r="D404">
        <v>3.2909786277317901</v>
      </c>
      <c r="E404">
        <v>5.4054054054054099E-2</v>
      </c>
      <c r="F404" t="s">
        <v>218</v>
      </c>
    </row>
    <row r="405" spans="1:6" x14ac:dyDescent="0.2">
      <c r="A405" t="s">
        <v>175</v>
      </c>
      <c r="B405" t="s">
        <v>70</v>
      </c>
      <c r="C405">
        <v>37</v>
      </c>
      <c r="D405">
        <v>3.2909786277317901</v>
      </c>
      <c r="E405">
        <v>5.4054054054054099E-2</v>
      </c>
      <c r="F405" t="s">
        <v>218</v>
      </c>
    </row>
    <row r="406" spans="1:6" x14ac:dyDescent="0.2">
      <c r="A406" t="s">
        <v>177</v>
      </c>
      <c r="B406" t="s">
        <v>87</v>
      </c>
      <c r="C406">
        <v>39</v>
      </c>
      <c r="D406">
        <v>3.2415796187521799</v>
      </c>
      <c r="E406">
        <v>5.1282051282051301E-2</v>
      </c>
      <c r="F406" t="s">
        <v>219</v>
      </c>
    </row>
    <row r="407" spans="1:6" x14ac:dyDescent="0.2">
      <c r="A407" t="s">
        <v>177</v>
      </c>
      <c r="B407" t="s">
        <v>85</v>
      </c>
      <c r="C407">
        <v>39</v>
      </c>
      <c r="D407">
        <v>3.2415796187521799</v>
      </c>
      <c r="E407">
        <v>5.1282051282051301E-2</v>
      </c>
      <c r="F407" t="s">
        <v>219</v>
      </c>
    </row>
    <row r="408" spans="1:6" x14ac:dyDescent="0.2">
      <c r="A408" t="s">
        <v>87</v>
      </c>
      <c r="B408" t="s">
        <v>85</v>
      </c>
      <c r="C408">
        <v>39</v>
      </c>
      <c r="D408">
        <v>3.2415796187521799</v>
      </c>
      <c r="E408">
        <v>5.1282051282051301E-2</v>
      </c>
      <c r="F408" t="s">
        <v>219</v>
      </c>
    </row>
    <row r="409" spans="1:6" x14ac:dyDescent="0.2">
      <c r="A409" t="s">
        <v>70</v>
      </c>
      <c r="B409" t="s">
        <v>66</v>
      </c>
      <c r="C409">
        <v>42</v>
      </c>
      <c r="D409">
        <v>3.1720393308678498</v>
      </c>
      <c r="E409">
        <v>4.7619047619047603E-2</v>
      </c>
      <c r="F409" t="s">
        <v>220</v>
      </c>
    </row>
    <row r="410" spans="1:6" x14ac:dyDescent="0.2">
      <c r="A410" t="s">
        <v>62</v>
      </c>
      <c r="B410" t="s">
        <v>129</v>
      </c>
      <c r="C410">
        <v>53</v>
      </c>
      <c r="D410">
        <v>2.9537548344610798</v>
      </c>
      <c r="E410">
        <v>3.77358490566038E-2</v>
      </c>
      <c r="F410" t="s">
        <v>221</v>
      </c>
    </row>
    <row r="411" spans="1:6" x14ac:dyDescent="0.2">
      <c r="A411" t="s">
        <v>62</v>
      </c>
      <c r="B411" t="s">
        <v>178</v>
      </c>
      <c r="C411">
        <v>53</v>
      </c>
      <c r="D411">
        <v>2.9537548344610798</v>
      </c>
      <c r="E411">
        <v>3.77358490566038E-2</v>
      </c>
      <c r="F411" t="s">
        <v>221</v>
      </c>
    </row>
    <row r="412" spans="1:6" x14ac:dyDescent="0.2">
      <c r="A412" t="s">
        <v>62</v>
      </c>
      <c r="B412" t="s">
        <v>73</v>
      </c>
      <c r="C412">
        <v>53</v>
      </c>
      <c r="D412">
        <v>2.9537548344610798</v>
      </c>
      <c r="E412">
        <v>3.77358490566038E-2</v>
      </c>
      <c r="F412" t="s">
        <v>221</v>
      </c>
    </row>
    <row r="413" spans="1:6" x14ac:dyDescent="0.2">
      <c r="A413" t="s">
        <v>129</v>
      </c>
      <c r="B413" t="s">
        <v>73</v>
      </c>
      <c r="C413">
        <v>53</v>
      </c>
      <c r="D413">
        <v>2.9537548344610798</v>
      </c>
      <c r="E413">
        <v>3.77358490566038E-2</v>
      </c>
      <c r="F413" t="s">
        <v>221</v>
      </c>
    </row>
    <row r="414" spans="1:6" x14ac:dyDescent="0.2">
      <c r="A414" t="s">
        <v>59</v>
      </c>
      <c r="B414" t="s">
        <v>187</v>
      </c>
      <c r="C414">
        <v>55</v>
      </c>
      <c r="D414">
        <v>2.9189966212568401</v>
      </c>
      <c r="E414">
        <v>3.6363636363636397E-2</v>
      </c>
      <c r="F414" t="s">
        <v>222</v>
      </c>
    </row>
    <row r="415" spans="1:6" x14ac:dyDescent="0.2">
      <c r="A415" t="s">
        <v>124</v>
      </c>
      <c r="B415" t="s">
        <v>76</v>
      </c>
      <c r="C415">
        <v>57</v>
      </c>
      <c r="D415">
        <v>2.8854800416684401</v>
      </c>
      <c r="E415">
        <v>3.5087719298245598E-2</v>
      </c>
      <c r="F415" t="s">
        <v>223</v>
      </c>
    </row>
    <row r="416" spans="1:6" x14ac:dyDescent="0.2">
      <c r="A416" t="s">
        <v>178</v>
      </c>
      <c r="B416" t="s">
        <v>76</v>
      </c>
      <c r="C416">
        <v>57</v>
      </c>
      <c r="D416">
        <v>2.8854800416684401</v>
      </c>
      <c r="E416">
        <v>3.5087719298245598E-2</v>
      </c>
      <c r="F416" t="s">
        <v>224</v>
      </c>
    </row>
    <row r="417" spans="1:6" x14ac:dyDescent="0.2">
      <c r="A417" t="s">
        <v>126</v>
      </c>
      <c r="B417" t="s">
        <v>129</v>
      </c>
      <c r="C417">
        <v>61</v>
      </c>
      <c r="D417">
        <v>2.8218377271185799</v>
      </c>
      <c r="E417">
        <v>3.2786885245901599E-2</v>
      </c>
      <c r="F417" t="s">
        <v>225</v>
      </c>
    </row>
    <row r="418" spans="1:6" x14ac:dyDescent="0.2">
      <c r="A418" t="s">
        <v>129</v>
      </c>
      <c r="B418" t="s">
        <v>76</v>
      </c>
      <c r="C418">
        <v>70</v>
      </c>
      <c r="D418">
        <v>2.6926987160458302</v>
      </c>
      <c r="E418">
        <v>2.8571428571428598E-2</v>
      </c>
      <c r="F418" t="s">
        <v>226</v>
      </c>
    </row>
    <row r="419" spans="1:6" x14ac:dyDescent="0.2">
      <c r="A419" t="s">
        <v>38</v>
      </c>
      <c r="B419" t="s">
        <v>28</v>
      </c>
      <c r="C419">
        <v>71</v>
      </c>
      <c r="D419">
        <v>2.6793883585740499</v>
      </c>
      <c r="E419">
        <v>2.8169014084507001E-2</v>
      </c>
      <c r="F419" t="s">
        <v>227</v>
      </c>
    </row>
    <row r="420" spans="1:6" x14ac:dyDescent="0.2">
      <c r="A420" t="s">
        <v>178</v>
      </c>
      <c r="B420" t="s">
        <v>28</v>
      </c>
      <c r="C420">
        <v>71</v>
      </c>
      <c r="D420">
        <v>2.6793883585740499</v>
      </c>
      <c r="E420">
        <v>2.8169014084507001E-2</v>
      </c>
      <c r="F420" t="s">
        <v>227</v>
      </c>
    </row>
    <row r="421" spans="1:6" x14ac:dyDescent="0.2">
      <c r="A421" t="s">
        <v>116</v>
      </c>
      <c r="B421" t="s">
        <v>118</v>
      </c>
      <c r="C421">
        <v>75</v>
      </c>
      <c r="D421">
        <v>2.6279582568788098</v>
      </c>
      <c r="E421">
        <v>2.66666666666667E-2</v>
      </c>
      <c r="F421" t="s">
        <v>228</v>
      </c>
    </row>
    <row r="422" spans="1:6" x14ac:dyDescent="0.2">
      <c r="A422" t="s">
        <v>127</v>
      </c>
      <c r="B422" t="s">
        <v>116</v>
      </c>
      <c r="C422">
        <v>75</v>
      </c>
      <c r="D422">
        <v>2.6279582568788098</v>
      </c>
      <c r="E422">
        <v>2.66666666666667E-2</v>
      </c>
      <c r="F422" t="s">
        <v>228</v>
      </c>
    </row>
    <row r="423" spans="1:6" x14ac:dyDescent="0.2">
      <c r="A423" t="s">
        <v>127</v>
      </c>
      <c r="B423" t="s">
        <v>65</v>
      </c>
      <c r="C423">
        <v>75</v>
      </c>
      <c r="D423">
        <v>2.6279582568788098</v>
      </c>
      <c r="E423">
        <v>2.66666666666667E-2</v>
      </c>
      <c r="F423" t="s">
        <v>228</v>
      </c>
    </row>
    <row r="424" spans="1:6" x14ac:dyDescent="0.2">
      <c r="A424" t="s">
        <v>178</v>
      </c>
      <c r="B424" t="s">
        <v>118</v>
      </c>
      <c r="C424">
        <v>82</v>
      </c>
      <c r="D424">
        <v>2.54422693152538</v>
      </c>
      <c r="E424">
        <v>2.4390243902439001E-2</v>
      </c>
      <c r="F424" t="s">
        <v>229</v>
      </c>
    </row>
    <row r="425" spans="1:6" x14ac:dyDescent="0.2">
      <c r="A425" t="s">
        <v>178</v>
      </c>
      <c r="B425" t="s">
        <v>66</v>
      </c>
      <c r="C425">
        <v>82</v>
      </c>
      <c r="D425">
        <v>2.54422693152538</v>
      </c>
      <c r="E425">
        <v>2.4390243902439001E-2</v>
      </c>
      <c r="F425" t="s">
        <v>229</v>
      </c>
    </row>
    <row r="426" spans="1:6" x14ac:dyDescent="0.2">
      <c r="A426" t="s">
        <v>119</v>
      </c>
      <c r="B426" t="s">
        <v>129</v>
      </c>
      <c r="C426">
        <v>98</v>
      </c>
      <c r="D426">
        <v>2.3769651246423602</v>
      </c>
      <c r="E426">
        <v>2.04081632653061E-2</v>
      </c>
      <c r="F426" t="s">
        <v>230</v>
      </c>
    </row>
    <row r="427" spans="1:6" x14ac:dyDescent="0.2">
      <c r="A427" t="s">
        <v>125</v>
      </c>
      <c r="B427" t="s">
        <v>28</v>
      </c>
      <c r="C427">
        <v>98</v>
      </c>
      <c r="D427">
        <v>2.3769651246423602</v>
      </c>
      <c r="E427">
        <v>2.04081632653061E-2</v>
      </c>
      <c r="F427" t="s">
        <v>231</v>
      </c>
    </row>
    <row r="428" spans="1:6" x14ac:dyDescent="0.2">
      <c r="A428" t="s">
        <v>124</v>
      </c>
      <c r="B428" t="s">
        <v>28</v>
      </c>
      <c r="C428">
        <v>101</v>
      </c>
      <c r="D428">
        <v>2.3486705850127101</v>
      </c>
      <c r="E428">
        <v>1.9801980198019799E-2</v>
      </c>
      <c r="F428" t="s">
        <v>232</v>
      </c>
    </row>
    <row r="429" spans="1:6" x14ac:dyDescent="0.2">
      <c r="A429" t="s">
        <v>93</v>
      </c>
      <c r="B429" t="s">
        <v>28</v>
      </c>
      <c r="C429">
        <v>101</v>
      </c>
      <c r="D429">
        <v>2.3486705850127101</v>
      </c>
      <c r="E429">
        <v>1.9801980198019799E-2</v>
      </c>
      <c r="F429" t="s">
        <v>232</v>
      </c>
    </row>
    <row r="430" spans="1:6" x14ac:dyDescent="0.2">
      <c r="A430" t="s">
        <v>57</v>
      </c>
      <c r="B430" t="s">
        <v>97</v>
      </c>
      <c r="C430">
        <v>102</v>
      </c>
      <c r="D430">
        <v>2.3394255400997599</v>
      </c>
      <c r="E430">
        <v>1.9607843137254902E-2</v>
      </c>
      <c r="F430" t="s">
        <v>233</v>
      </c>
    </row>
    <row r="431" spans="1:6" x14ac:dyDescent="0.2">
      <c r="A431" t="s">
        <v>116</v>
      </c>
      <c r="B431" t="s">
        <v>55</v>
      </c>
      <c r="C431">
        <v>110</v>
      </c>
      <c r="D431">
        <v>2.26857193574036</v>
      </c>
      <c r="E431">
        <v>1.8181818181818198E-2</v>
      </c>
      <c r="F431" t="s">
        <v>234</v>
      </c>
    </row>
    <row r="432" spans="1:6" x14ac:dyDescent="0.2">
      <c r="A432" t="s">
        <v>119</v>
      </c>
      <c r="B432" t="s">
        <v>127</v>
      </c>
      <c r="C432">
        <v>124</v>
      </c>
      <c r="D432">
        <v>2.1561547465805102</v>
      </c>
      <c r="E432">
        <v>1.6129032258064498E-2</v>
      </c>
      <c r="F432" t="s">
        <v>235</v>
      </c>
    </row>
    <row r="433" spans="1:6" x14ac:dyDescent="0.2">
      <c r="A433" t="s">
        <v>106</v>
      </c>
      <c r="B433" t="s">
        <v>127</v>
      </c>
      <c r="C433">
        <v>124</v>
      </c>
      <c r="D433">
        <v>2.1561547465805102</v>
      </c>
      <c r="E433">
        <v>1.6129032258064498E-2</v>
      </c>
      <c r="F433" t="s">
        <v>235</v>
      </c>
    </row>
    <row r="434" spans="1:6" x14ac:dyDescent="0.2">
      <c r="A434" t="s">
        <v>94</v>
      </c>
      <c r="B434" t="s">
        <v>75</v>
      </c>
      <c r="C434">
        <v>124</v>
      </c>
      <c r="D434">
        <v>2.1561547465805102</v>
      </c>
      <c r="E434">
        <v>1.6129032258064498E-2</v>
      </c>
      <c r="F434" t="s">
        <v>235</v>
      </c>
    </row>
    <row r="435" spans="1:6" x14ac:dyDescent="0.2">
      <c r="A435" t="s">
        <v>187</v>
      </c>
      <c r="B435" t="s">
        <v>118</v>
      </c>
      <c r="C435">
        <v>124</v>
      </c>
      <c r="D435">
        <v>2.1561547465805102</v>
      </c>
      <c r="E435">
        <v>1.6129032258064498E-2</v>
      </c>
      <c r="F435" t="s">
        <v>235</v>
      </c>
    </row>
    <row r="436" spans="1:6" x14ac:dyDescent="0.2">
      <c r="A436" t="s">
        <v>106</v>
      </c>
      <c r="B436" t="s">
        <v>87</v>
      </c>
      <c r="C436">
        <v>124</v>
      </c>
      <c r="D436">
        <v>2.1561547465805102</v>
      </c>
      <c r="E436">
        <v>1.6129032258064498E-2</v>
      </c>
      <c r="F436" t="s">
        <v>235</v>
      </c>
    </row>
    <row r="437" spans="1:6" x14ac:dyDescent="0.2">
      <c r="A437" t="s">
        <v>94</v>
      </c>
      <c r="B437" t="s">
        <v>189</v>
      </c>
      <c r="C437">
        <v>124</v>
      </c>
      <c r="D437">
        <v>2.1561547465805102</v>
      </c>
      <c r="E437">
        <v>1.6129032258064498E-2</v>
      </c>
      <c r="F437" t="s">
        <v>235</v>
      </c>
    </row>
    <row r="438" spans="1:6" x14ac:dyDescent="0.2">
      <c r="A438" t="s">
        <v>87</v>
      </c>
      <c r="B438" t="s">
        <v>55</v>
      </c>
      <c r="C438">
        <v>124</v>
      </c>
      <c r="D438">
        <v>2.1561547465805102</v>
      </c>
      <c r="E438">
        <v>1.6129032258064498E-2</v>
      </c>
      <c r="F438" t="s">
        <v>235</v>
      </c>
    </row>
    <row r="439" spans="1:6" x14ac:dyDescent="0.2">
      <c r="A439" t="s">
        <v>189</v>
      </c>
      <c r="B439" t="s">
        <v>65</v>
      </c>
      <c r="C439">
        <v>124</v>
      </c>
      <c r="D439">
        <v>2.1561547465805102</v>
      </c>
      <c r="E439">
        <v>1.6129032258064498E-2</v>
      </c>
      <c r="F439" t="s">
        <v>235</v>
      </c>
    </row>
    <row r="440" spans="1:6" x14ac:dyDescent="0.2">
      <c r="A440" t="s">
        <v>53</v>
      </c>
      <c r="B440" t="s">
        <v>117</v>
      </c>
      <c r="C440">
        <v>124</v>
      </c>
      <c r="D440">
        <v>2.1561547465805102</v>
      </c>
      <c r="E440">
        <v>1.6129032258064498E-2</v>
      </c>
      <c r="F440" t="s">
        <v>235</v>
      </c>
    </row>
    <row r="441" spans="1:6" x14ac:dyDescent="0.2">
      <c r="A441" t="s">
        <v>119</v>
      </c>
      <c r="B441" t="s">
        <v>106</v>
      </c>
      <c r="C441">
        <v>124</v>
      </c>
      <c r="D441">
        <v>2.1561547465805102</v>
      </c>
      <c r="E441">
        <v>1.6129032258064498E-2</v>
      </c>
      <c r="F441" t="s">
        <v>235</v>
      </c>
    </row>
    <row r="442" spans="1:6" x14ac:dyDescent="0.2">
      <c r="A442" t="s">
        <v>65</v>
      </c>
      <c r="B442" t="s">
        <v>35</v>
      </c>
      <c r="C442">
        <v>124</v>
      </c>
      <c r="D442">
        <v>2.1561547465805102</v>
      </c>
      <c r="E442">
        <v>1.6129032258064498E-2</v>
      </c>
      <c r="F442" t="s">
        <v>235</v>
      </c>
    </row>
    <row r="443" spans="1:6" x14ac:dyDescent="0.2">
      <c r="A443" t="s">
        <v>95</v>
      </c>
      <c r="B443" t="s">
        <v>17</v>
      </c>
      <c r="C443">
        <v>124</v>
      </c>
      <c r="D443">
        <v>2.1561547465805102</v>
      </c>
      <c r="E443">
        <v>1.6129032258064498E-2</v>
      </c>
      <c r="F443" t="s">
        <v>235</v>
      </c>
    </row>
    <row r="444" spans="1:6" x14ac:dyDescent="0.2">
      <c r="A444" t="s">
        <v>117</v>
      </c>
      <c r="B444" t="s">
        <v>70</v>
      </c>
      <c r="C444">
        <v>124</v>
      </c>
      <c r="D444">
        <v>2.1561547465805102</v>
      </c>
      <c r="E444">
        <v>1.6129032258064498E-2</v>
      </c>
      <c r="F444" t="s">
        <v>235</v>
      </c>
    </row>
    <row r="445" spans="1:6" x14ac:dyDescent="0.2">
      <c r="A445" t="s">
        <v>120</v>
      </c>
      <c r="B445" t="s">
        <v>35</v>
      </c>
      <c r="C445">
        <v>124</v>
      </c>
      <c r="D445">
        <v>2.1561547465805102</v>
      </c>
      <c r="E445">
        <v>1.6129032258064498E-2</v>
      </c>
      <c r="F445" t="s">
        <v>235</v>
      </c>
    </row>
    <row r="446" spans="1:6" x14ac:dyDescent="0.2">
      <c r="A446" t="s">
        <v>57</v>
      </c>
      <c r="B446" t="s">
        <v>117</v>
      </c>
      <c r="C446">
        <v>124</v>
      </c>
      <c r="D446">
        <v>2.1561547465805102</v>
      </c>
      <c r="E446">
        <v>1.6129032258064498E-2</v>
      </c>
      <c r="F446" t="s">
        <v>235</v>
      </c>
    </row>
    <row r="447" spans="1:6" x14ac:dyDescent="0.2">
      <c r="A447" t="s">
        <v>127</v>
      </c>
      <c r="B447" t="s">
        <v>53</v>
      </c>
      <c r="C447">
        <v>124</v>
      </c>
      <c r="D447">
        <v>2.1561547465805102</v>
      </c>
      <c r="E447">
        <v>1.6129032258064498E-2</v>
      </c>
      <c r="F447" t="s">
        <v>235</v>
      </c>
    </row>
    <row r="448" spans="1:6" x14ac:dyDescent="0.2">
      <c r="A448" t="s">
        <v>27</v>
      </c>
      <c r="B448" t="s">
        <v>65</v>
      </c>
      <c r="C448">
        <v>124</v>
      </c>
      <c r="D448">
        <v>2.1561547465805102</v>
      </c>
      <c r="E448">
        <v>1.6129032258064498E-2</v>
      </c>
      <c r="F448" t="s">
        <v>235</v>
      </c>
    </row>
    <row r="449" spans="1:6" x14ac:dyDescent="0.2">
      <c r="A449" t="s">
        <v>106</v>
      </c>
      <c r="B449" t="s">
        <v>47</v>
      </c>
      <c r="C449">
        <v>124</v>
      </c>
      <c r="D449">
        <v>2.1561547465805102</v>
      </c>
      <c r="E449">
        <v>1.6129032258064498E-2</v>
      </c>
      <c r="F449" t="s">
        <v>235</v>
      </c>
    </row>
    <row r="450" spans="1:6" x14ac:dyDescent="0.2">
      <c r="A450" t="s">
        <v>127</v>
      </c>
      <c r="B450" t="s">
        <v>87</v>
      </c>
      <c r="C450">
        <v>124</v>
      </c>
      <c r="D450">
        <v>2.1561547465805102</v>
      </c>
      <c r="E450">
        <v>1.6129032258064498E-2</v>
      </c>
      <c r="F450" t="s">
        <v>235</v>
      </c>
    </row>
    <row r="451" spans="1:6" x14ac:dyDescent="0.2">
      <c r="A451" t="s">
        <v>94</v>
      </c>
      <c r="B451" t="s">
        <v>120</v>
      </c>
      <c r="C451">
        <v>124</v>
      </c>
      <c r="D451">
        <v>2.1561547465805102</v>
      </c>
      <c r="E451">
        <v>1.6129032258064498E-2</v>
      </c>
      <c r="F451" t="s">
        <v>235</v>
      </c>
    </row>
    <row r="452" spans="1:6" x14ac:dyDescent="0.2">
      <c r="A452" t="s">
        <v>127</v>
      </c>
      <c r="B452" t="s">
        <v>55</v>
      </c>
      <c r="C452">
        <v>124</v>
      </c>
      <c r="D452">
        <v>2.1561547465805102</v>
      </c>
      <c r="E452">
        <v>1.6129032258064498E-2</v>
      </c>
      <c r="F452" t="s">
        <v>235</v>
      </c>
    </row>
    <row r="453" spans="1:6" x14ac:dyDescent="0.2">
      <c r="A453" t="s">
        <v>60</v>
      </c>
      <c r="B453" t="s">
        <v>117</v>
      </c>
      <c r="C453">
        <v>124</v>
      </c>
      <c r="D453">
        <v>2.1561547465805102</v>
      </c>
      <c r="E453">
        <v>1.6129032258064498E-2</v>
      </c>
      <c r="F453" t="s">
        <v>235</v>
      </c>
    </row>
    <row r="454" spans="1:6" x14ac:dyDescent="0.2">
      <c r="A454" t="s">
        <v>119</v>
      </c>
      <c r="B454" t="s">
        <v>95</v>
      </c>
      <c r="C454">
        <v>124</v>
      </c>
      <c r="D454">
        <v>2.1561547465805102</v>
      </c>
      <c r="E454">
        <v>1.6129032258064498E-2</v>
      </c>
      <c r="F454" t="s">
        <v>235</v>
      </c>
    </row>
    <row r="455" spans="1:6" x14ac:dyDescent="0.2">
      <c r="A455" t="s">
        <v>35</v>
      </c>
      <c r="B455" t="s">
        <v>118</v>
      </c>
      <c r="C455">
        <v>124</v>
      </c>
      <c r="D455">
        <v>2.1561547465805102</v>
      </c>
      <c r="E455">
        <v>1.6129032258064498E-2</v>
      </c>
      <c r="F455" t="s">
        <v>235</v>
      </c>
    </row>
    <row r="456" spans="1:6" x14ac:dyDescent="0.2">
      <c r="A456" t="s">
        <v>187</v>
      </c>
      <c r="B456" t="s">
        <v>94</v>
      </c>
      <c r="C456">
        <v>124</v>
      </c>
      <c r="D456">
        <v>2.1561547465805102</v>
      </c>
      <c r="E456">
        <v>1.6129032258064498E-2</v>
      </c>
      <c r="F456" t="s">
        <v>235</v>
      </c>
    </row>
    <row r="457" spans="1:6" x14ac:dyDescent="0.2">
      <c r="A457" t="s">
        <v>127</v>
      </c>
      <c r="B457" t="s">
        <v>47</v>
      </c>
      <c r="C457">
        <v>124</v>
      </c>
      <c r="D457">
        <v>2.1561547465805102</v>
      </c>
      <c r="E457">
        <v>1.6129032258064498E-2</v>
      </c>
      <c r="F457" t="s">
        <v>235</v>
      </c>
    </row>
    <row r="458" spans="1:6" x14ac:dyDescent="0.2">
      <c r="A458" t="s">
        <v>120</v>
      </c>
      <c r="B458" t="s">
        <v>110</v>
      </c>
      <c r="C458">
        <v>124</v>
      </c>
      <c r="D458">
        <v>2.1561547465805102</v>
      </c>
      <c r="E458">
        <v>1.6129032258064498E-2</v>
      </c>
      <c r="F458" t="s">
        <v>235</v>
      </c>
    </row>
    <row r="459" spans="1:6" x14ac:dyDescent="0.2">
      <c r="A459" t="s">
        <v>95</v>
      </c>
      <c r="B459" t="s">
        <v>110</v>
      </c>
      <c r="C459">
        <v>124</v>
      </c>
      <c r="D459">
        <v>2.1561547465805102</v>
      </c>
      <c r="E459">
        <v>1.6129032258064498E-2</v>
      </c>
      <c r="F459" t="s">
        <v>235</v>
      </c>
    </row>
    <row r="460" spans="1:6" x14ac:dyDescent="0.2">
      <c r="A460" t="s">
        <v>68</v>
      </c>
      <c r="B460" t="s">
        <v>117</v>
      </c>
      <c r="C460">
        <v>124</v>
      </c>
      <c r="D460">
        <v>2.1561547465805102</v>
      </c>
      <c r="E460">
        <v>1.6129032258064498E-2</v>
      </c>
      <c r="F460" t="s">
        <v>235</v>
      </c>
    </row>
    <row r="461" spans="1:6" x14ac:dyDescent="0.2">
      <c r="A461" t="s">
        <v>57</v>
      </c>
      <c r="B461" t="s">
        <v>68</v>
      </c>
      <c r="C461">
        <v>124</v>
      </c>
      <c r="D461">
        <v>2.1561547465805102</v>
      </c>
      <c r="E461">
        <v>1.6129032258064498E-2</v>
      </c>
      <c r="F461" t="s">
        <v>235</v>
      </c>
    </row>
    <row r="462" spans="1:6" x14ac:dyDescent="0.2">
      <c r="A462" t="s">
        <v>94</v>
      </c>
      <c r="B462" t="s">
        <v>35</v>
      </c>
      <c r="C462">
        <v>124</v>
      </c>
      <c r="D462">
        <v>2.1561547465805102</v>
      </c>
      <c r="E462">
        <v>1.6129032258064498E-2</v>
      </c>
      <c r="F462" t="s">
        <v>235</v>
      </c>
    </row>
    <row r="463" spans="1:6" x14ac:dyDescent="0.2">
      <c r="A463" t="s">
        <v>95</v>
      </c>
      <c r="B463" t="s">
        <v>116</v>
      </c>
      <c r="C463">
        <v>124</v>
      </c>
      <c r="D463">
        <v>2.1561547465805102</v>
      </c>
      <c r="E463">
        <v>1.6129032258064498E-2</v>
      </c>
      <c r="F463" t="s">
        <v>235</v>
      </c>
    </row>
    <row r="464" spans="1:6" x14ac:dyDescent="0.2">
      <c r="A464" t="s">
        <v>95</v>
      </c>
      <c r="B464" t="s">
        <v>117</v>
      </c>
      <c r="C464">
        <v>124</v>
      </c>
      <c r="D464">
        <v>2.1561547465805102</v>
      </c>
      <c r="E464">
        <v>1.6129032258064498E-2</v>
      </c>
      <c r="F464" t="s">
        <v>235</v>
      </c>
    </row>
    <row r="465" spans="1:6" x14ac:dyDescent="0.2">
      <c r="A465" t="s">
        <v>95</v>
      </c>
      <c r="B465" t="s">
        <v>187</v>
      </c>
      <c r="C465">
        <v>124</v>
      </c>
      <c r="D465">
        <v>2.1561547465805102</v>
      </c>
      <c r="E465">
        <v>1.6129032258064498E-2</v>
      </c>
      <c r="F465" t="s">
        <v>235</v>
      </c>
    </row>
    <row r="466" spans="1:6" x14ac:dyDescent="0.2">
      <c r="A466" t="s">
        <v>57</v>
      </c>
      <c r="B466" t="s">
        <v>119</v>
      </c>
      <c r="C466">
        <v>124</v>
      </c>
      <c r="D466">
        <v>2.1561547465805102</v>
      </c>
      <c r="E466">
        <v>1.6129032258064498E-2</v>
      </c>
      <c r="F466" t="s">
        <v>235</v>
      </c>
    </row>
    <row r="467" spans="1:6" x14ac:dyDescent="0.2">
      <c r="A467" t="s">
        <v>75</v>
      </c>
      <c r="B467" t="s">
        <v>116</v>
      </c>
      <c r="C467">
        <v>124</v>
      </c>
      <c r="D467">
        <v>2.1561547465805102</v>
      </c>
      <c r="E467">
        <v>1.6129032258064498E-2</v>
      </c>
      <c r="F467" t="s">
        <v>235</v>
      </c>
    </row>
    <row r="468" spans="1:6" x14ac:dyDescent="0.2">
      <c r="A468" t="s">
        <v>57</v>
      </c>
      <c r="B468" t="s">
        <v>60</v>
      </c>
      <c r="C468">
        <v>124</v>
      </c>
      <c r="D468">
        <v>2.1561547465805102</v>
      </c>
      <c r="E468">
        <v>1.6129032258064498E-2</v>
      </c>
      <c r="F468" t="s">
        <v>235</v>
      </c>
    </row>
    <row r="469" spans="1:6" x14ac:dyDescent="0.2">
      <c r="A469" t="s">
        <v>119</v>
      </c>
      <c r="B469" t="s">
        <v>117</v>
      </c>
      <c r="C469">
        <v>124</v>
      </c>
      <c r="D469">
        <v>2.1561547465805102</v>
      </c>
      <c r="E469">
        <v>1.6129032258064498E-2</v>
      </c>
      <c r="F469" t="s">
        <v>235</v>
      </c>
    </row>
    <row r="470" spans="1:6" x14ac:dyDescent="0.2">
      <c r="A470" t="s">
        <v>27</v>
      </c>
      <c r="B470" t="s">
        <v>118</v>
      </c>
      <c r="C470">
        <v>124</v>
      </c>
      <c r="D470">
        <v>2.1561547465805102</v>
      </c>
      <c r="E470">
        <v>1.6129032258064498E-2</v>
      </c>
      <c r="F470" t="s">
        <v>235</v>
      </c>
    </row>
    <row r="471" spans="1:6" x14ac:dyDescent="0.2">
      <c r="A471" t="s">
        <v>116</v>
      </c>
      <c r="B471" t="s">
        <v>110</v>
      </c>
      <c r="C471">
        <v>124</v>
      </c>
      <c r="D471">
        <v>2.1561547465805102</v>
      </c>
      <c r="E471">
        <v>1.6129032258064498E-2</v>
      </c>
      <c r="F471" t="s">
        <v>235</v>
      </c>
    </row>
    <row r="472" spans="1:6" x14ac:dyDescent="0.2">
      <c r="A472" t="s">
        <v>57</v>
      </c>
      <c r="B472" t="s">
        <v>120</v>
      </c>
      <c r="C472">
        <v>124</v>
      </c>
      <c r="D472">
        <v>2.1561547465805102</v>
      </c>
      <c r="E472">
        <v>1.6129032258064498E-2</v>
      </c>
      <c r="F472" t="s">
        <v>235</v>
      </c>
    </row>
    <row r="473" spans="1:6" x14ac:dyDescent="0.2">
      <c r="A473" t="s">
        <v>87</v>
      </c>
      <c r="B473" t="s">
        <v>189</v>
      </c>
      <c r="C473">
        <v>124</v>
      </c>
      <c r="D473">
        <v>2.1561547465805102</v>
      </c>
      <c r="E473">
        <v>1.6129032258064498E-2</v>
      </c>
      <c r="F473" t="s">
        <v>235</v>
      </c>
    </row>
    <row r="474" spans="1:6" x14ac:dyDescent="0.2">
      <c r="A474" t="s">
        <v>60</v>
      </c>
      <c r="B474" t="s">
        <v>53</v>
      </c>
      <c r="C474">
        <v>124</v>
      </c>
      <c r="D474">
        <v>2.1561547465805102</v>
      </c>
      <c r="E474">
        <v>1.6129032258064498E-2</v>
      </c>
      <c r="F474" t="s">
        <v>235</v>
      </c>
    </row>
    <row r="475" spans="1:6" x14ac:dyDescent="0.2">
      <c r="A475" t="s">
        <v>57</v>
      </c>
      <c r="B475" t="s">
        <v>35</v>
      </c>
      <c r="C475">
        <v>124</v>
      </c>
      <c r="D475">
        <v>2.1561547465805102</v>
      </c>
      <c r="E475">
        <v>1.6129032258064498E-2</v>
      </c>
      <c r="F475" t="s">
        <v>235</v>
      </c>
    </row>
    <row r="476" spans="1:6" x14ac:dyDescent="0.2">
      <c r="A476" t="s">
        <v>60</v>
      </c>
      <c r="B476" t="s">
        <v>68</v>
      </c>
      <c r="C476">
        <v>124</v>
      </c>
      <c r="D476">
        <v>2.1561547465805102</v>
      </c>
      <c r="E476">
        <v>1.6129032258064498E-2</v>
      </c>
      <c r="F476" t="s">
        <v>235</v>
      </c>
    </row>
    <row r="477" spans="1:6" x14ac:dyDescent="0.2">
      <c r="A477" t="s">
        <v>17</v>
      </c>
      <c r="B477" t="s">
        <v>117</v>
      </c>
      <c r="C477">
        <v>124</v>
      </c>
      <c r="D477">
        <v>2.1561547465805102</v>
      </c>
      <c r="E477">
        <v>1.6129032258064498E-2</v>
      </c>
      <c r="F477" t="s">
        <v>235</v>
      </c>
    </row>
    <row r="478" spans="1:6" x14ac:dyDescent="0.2">
      <c r="A478" t="s">
        <v>117</v>
      </c>
      <c r="B478" t="s">
        <v>120</v>
      </c>
      <c r="C478">
        <v>124</v>
      </c>
      <c r="D478">
        <v>2.1561547465805102</v>
      </c>
      <c r="E478">
        <v>1.6129032258064498E-2</v>
      </c>
      <c r="F478" t="s">
        <v>235</v>
      </c>
    </row>
    <row r="479" spans="1:6" x14ac:dyDescent="0.2">
      <c r="A479" t="s">
        <v>87</v>
      </c>
      <c r="B479" t="s">
        <v>70</v>
      </c>
      <c r="C479">
        <v>124</v>
      </c>
      <c r="D479">
        <v>2.1561547465805102</v>
      </c>
      <c r="E479">
        <v>1.6129032258064498E-2</v>
      </c>
      <c r="F479" t="s">
        <v>235</v>
      </c>
    </row>
    <row r="480" spans="1:6" x14ac:dyDescent="0.2">
      <c r="A480" t="s">
        <v>60</v>
      </c>
      <c r="B480" t="s">
        <v>187</v>
      </c>
      <c r="C480">
        <v>124</v>
      </c>
      <c r="D480">
        <v>2.1561547465805102</v>
      </c>
      <c r="E480">
        <v>1.6129032258064498E-2</v>
      </c>
      <c r="F480" t="s">
        <v>235</v>
      </c>
    </row>
    <row r="481" spans="1:6" x14ac:dyDescent="0.2">
      <c r="A481" t="s">
        <v>87</v>
      </c>
      <c r="B481" t="s">
        <v>35</v>
      </c>
      <c r="C481">
        <v>124</v>
      </c>
      <c r="D481">
        <v>2.1561547465805102</v>
      </c>
      <c r="E481">
        <v>1.6129032258064498E-2</v>
      </c>
      <c r="F481" t="s">
        <v>235</v>
      </c>
    </row>
    <row r="482" spans="1:6" x14ac:dyDescent="0.2">
      <c r="A482" t="s">
        <v>68</v>
      </c>
      <c r="B482" t="s">
        <v>27</v>
      </c>
      <c r="C482">
        <v>124</v>
      </c>
      <c r="D482">
        <v>2.1561547465805102</v>
      </c>
      <c r="E482">
        <v>1.6129032258064498E-2</v>
      </c>
      <c r="F482" t="s">
        <v>235</v>
      </c>
    </row>
    <row r="483" spans="1:6" x14ac:dyDescent="0.2">
      <c r="A483" t="s">
        <v>106</v>
      </c>
      <c r="B483" t="s">
        <v>65</v>
      </c>
      <c r="C483">
        <v>124</v>
      </c>
      <c r="D483">
        <v>2.1561547465805102</v>
      </c>
      <c r="E483">
        <v>1.6129032258064498E-2</v>
      </c>
      <c r="F483" t="s">
        <v>235</v>
      </c>
    </row>
    <row r="484" spans="1:6" x14ac:dyDescent="0.2">
      <c r="A484" t="s">
        <v>87</v>
      </c>
      <c r="B484" t="s">
        <v>47</v>
      </c>
      <c r="C484">
        <v>124</v>
      </c>
      <c r="D484">
        <v>2.1561547465805102</v>
      </c>
      <c r="E484">
        <v>1.6129032258064498E-2</v>
      </c>
      <c r="F484" t="s">
        <v>235</v>
      </c>
    </row>
    <row r="485" spans="1:6" x14ac:dyDescent="0.2">
      <c r="A485" t="s">
        <v>106</v>
      </c>
      <c r="B485" t="s">
        <v>35</v>
      </c>
      <c r="C485">
        <v>124</v>
      </c>
      <c r="D485">
        <v>2.1561547465805102</v>
      </c>
      <c r="E485">
        <v>1.6129032258064498E-2</v>
      </c>
      <c r="F485" t="s">
        <v>235</v>
      </c>
    </row>
    <row r="486" spans="1:6" x14ac:dyDescent="0.2">
      <c r="A486" t="s">
        <v>95</v>
      </c>
      <c r="B486" t="s">
        <v>118</v>
      </c>
      <c r="C486">
        <v>124</v>
      </c>
      <c r="D486">
        <v>2.1561547465805102</v>
      </c>
      <c r="E486">
        <v>1.6129032258064498E-2</v>
      </c>
      <c r="F486" t="s">
        <v>235</v>
      </c>
    </row>
    <row r="487" spans="1:6" x14ac:dyDescent="0.2">
      <c r="A487" t="s">
        <v>127</v>
      </c>
      <c r="B487" t="s">
        <v>187</v>
      </c>
      <c r="C487">
        <v>124</v>
      </c>
      <c r="D487">
        <v>2.1561547465805102</v>
      </c>
      <c r="E487">
        <v>1.6129032258064498E-2</v>
      </c>
      <c r="F487" t="s">
        <v>235</v>
      </c>
    </row>
    <row r="488" spans="1:6" x14ac:dyDescent="0.2">
      <c r="A488" t="s">
        <v>57</v>
      </c>
      <c r="B488" t="s">
        <v>189</v>
      </c>
      <c r="C488">
        <v>124</v>
      </c>
      <c r="D488">
        <v>2.1561547465805102</v>
      </c>
      <c r="E488">
        <v>1.6129032258064498E-2</v>
      </c>
      <c r="F488" t="s">
        <v>235</v>
      </c>
    </row>
    <row r="489" spans="1:6" x14ac:dyDescent="0.2">
      <c r="A489" t="s">
        <v>65</v>
      </c>
      <c r="B489" t="s">
        <v>55</v>
      </c>
      <c r="C489">
        <v>124</v>
      </c>
      <c r="D489">
        <v>2.1561547465805102</v>
      </c>
      <c r="E489">
        <v>1.6129032258064498E-2</v>
      </c>
      <c r="F489" t="s">
        <v>235</v>
      </c>
    </row>
    <row r="490" spans="1:6" x14ac:dyDescent="0.2">
      <c r="A490" t="s">
        <v>87</v>
      </c>
      <c r="B490" t="s">
        <v>120</v>
      </c>
      <c r="C490">
        <v>124</v>
      </c>
      <c r="D490">
        <v>2.1561547465805102</v>
      </c>
      <c r="E490">
        <v>1.6129032258064498E-2</v>
      </c>
      <c r="F490" t="s">
        <v>235</v>
      </c>
    </row>
    <row r="491" spans="1:6" x14ac:dyDescent="0.2">
      <c r="A491" t="s">
        <v>127</v>
      </c>
      <c r="B491" t="s">
        <v>75</v>
      </c>
      <c r="C491">
        <v>124</v>
      </c>
      <c r="D491">
        <v>2.1561547465805102</v>
      </c>
      <c r="E491">
        <v>1.6129032258064498E-2</v>
      </c>
      <c r="F491" t="s">
        <v>235</v>
      </c>
    </row>
    <row r="492" spans="1:6" x14ac:dyDescent="0.2">
      <c r="A492" t="s">
        <v>95</v>
      </c>
      <c r="B492" t="s">
        <v>106</v>
      </c>
      <c r="C492">
        <v>124</v>
      </c>
      <c r="D492">
        <v>2.1561547465805102</v>
      </c>
      <c r="E492">
        <v>1.6129032258064498E-2</v>
      </c>
      <c r="F492" t="s">
        <v>235</v>
      </c>
    </row>
    <row r="493" spans="1:6" x14ac:dyDescent="0.2">
      <c r="A493" t="s">
        <v>95</v>
      </c>
      <c r="B493" t="s">
        <v>53</v>
      </c>
      <c r="C493">
        <v>124</v>
      </c>
      <c r="D493">
        <v>2.1561547465805102</v>
      </c>
      <c r="E493">
        <v>1.6129032258064498E-2</v>
      </c>
      <c r="F493" t="s">
        <v>235</v>
      </c>
    </row>
    <row r="494" spans="1:6" x14ac:dyDescent="0.2">
      <c r="A494" t="s">
        <v>17</v>
      </c>
      <c r="B494" t="s">
        <v>118</v>
      </c>
      <c r="C494">
        <v>124</v>
      </c>
      <c r="D494">
        <v>2.1561547465805102</v>
      </c>
      <c r="E494">
        <v>1.6129032258064498E-2</v>
      </c>
      <c r="F494" t="s">
        <v>235</v>
      </c>
    </row>
    <row r="495" spans="1:6" x14ac:dyDescent="0.2">
      <c r="A495" t="s">
        <v>87</v>
      </c>
      <c r="B495" t="s">
        <v>110</v>
      </c>
      <c r="C495">
        <v>124</v>
      </c>
      <c r="D495">
        <v>2.1561547465805102</v>
      </c>
      <c r="E495">
        <v>1.6129032258064498E-2</v>
      </c>
      <c r="F495" t="s">
        <v>235</v>
      </c>
    </row>
    <row r="496" spans="1:6" x14ac:dyDescent="0.2">
      <c r="A496" t="s">
        <v>60</v>
      </c>
      <c r="B496" t="s">
        <v>110</v>
      </c>
      <c r="C496">
        <v>124</v>
      </c>
      <c r="D496">
        <v>2.1561547465805102</v>
      </c>
      <c r="E496">
        <v>1.6129032258064498E-2</v>
      </c>
      <c r="F496" t="s">
        <v>235</v>
      </c>
    </row>
    <row r="497" spans="1:6" x14ac:dyDescent="0.2">
      <c r="A497" t="s">
        <v>75</v>
      </c>
      <c r="B497" t="s">
        <v>65</v>
      </c>
      <c r="C497">
        <v>124</v>
      </c>
      <c r="D497">
        <v>2.1561547465805102</v>
      </c>
      <c r="E497">
        <v>1.6129032258064498E-2</v>
      </c>
      <c r="F497" t="s">
        <v>235</v>
      </c>
    </row>
    <row r="498" spans="1:6" x14ac:dyDescent="0.2">
      <c r="A498" t="s">
        <v>57</v>
      </c>
      <c r="B498" t="s">
        <v>55</v>
      </c>
      <c r="C498">
        <v>124</v>
      </c>
      <c r="D498">
        <v>2.1561547465805102</v>
      </c>
      <c r="E498">
        <v>1.6129032258064498E-2</v>
      </c>
      <c r="F498" t="s">
        <v>235</v>
      </c>
    </row>
    <row r="499" spans="1:6" x14ac:dyDescent="0.2">
      <c r="A499" t="s">
        <v>187</v>
      </c>
      <c r="B499" t="s">
        <v>116</v>
      </c>
      <c r="C499">
        <v>124</v>
      </c>
      <c r="D499">
        <v>2.1561547465805102</v>
      </c>
      <c r="E499">
        <v>1.6129032258064498E-2</v>
      </c>
      <c r="F499" t="s">
        <v>235</v>
      </c>
    </row>
    <row r="500" spans="1:6" x14ac:dyDescent="0.2">
      <c r="A500" t="s">
        <v>27</v>
      </c>
      <c r="B500" t="s">
        <v>55</v>
      </c>
      <c r="C500">
        <v>124</v>
      </c>
      <c r="D500">
        <v>2.1561547465805102</v>
      </c>
      <c r="E500">
        <v>1.6129032258064498E-2</v>
      </c>
      <c r="F500" t="s">
        <v>235</v>
      </c>
    </row>
    <row r="501" spans="1:6" x14ac:dyDescent="0.2">
      <c r="A501" t="s">
        <v>187</v>
      </c>
      <c r="B501" t="s">
        <v>65</v>
      </c>
      <c r="C501">
        <v>124</v>
      </c>
      <c r="D501">
        <v>2.1561547465805102</v>
      </c>
      <c r="E501">
        <v>1.6129032258064498E-2</v>
      </c>
      <c r="F501" t="s">
        <v>235</v>
      </c>
    </row>
    <row r="502" spans="1:6" x14ac:dyDescent="0.2">
      <c r="A502" t="s">
        <v>53</v>
      </c>
      <c r="B502" t="s">
        <v>120</v>
      </c>
      <c r="C502">
        <v>124</v>
      </c>
      <c r="D502">
        <v>2.1561547465805102</v>
      </c>
      <c r="E502">
        <v>1.6129032258064498E-2</v>
      </c>
      <c r="F502" t="s">
        <v>235</v>
      </c>
    </row>
    <row r="503" spans="1:6" x14ac:dyDescent="0.2">
      <c r="A503" t="s">
        <v>87</v>
      </c>
      <c r="B503" t="s">
        <v>117</v>
      </c>
      <c r="C503">
        <v>124</v>
      </c>
      <c r="D503">
        <v>2.1561547465805102</v>
      </c>
      <c r="E503">
        <v>1.6129032258064498E-2</v>
      </c>
      <c r="F503" t="s">
        <v>235</v>
      </c>
    </row>
    <row r="504" spans="1:6" x14ac:dyDescent="0.2">
      <c r="A504" t="s">
        <v>106</v>
      </c>
      <c r="B504" t="s">
        <v>117</v>
      </c>
      <c r="C504">
        <v>124</v>
      </c>
      <c r="D504">
        <v>2.1561547465805102</v>
      </c>
      <c r="E504">
        <v>1.6129032258064498E-2</v>
      </c>
      <c r="F504" t="s">
        <v>235</v>
      </c>
    </row>
    <row r="505" spans="1:6" x14ac:dyDescent="0.2">
      <c r="A505" t="s">
        <v>120</v>
      </c>
      <c r="B505" t="s">
        <v>189</v>
      </c>
      <c r="C505">
        <v>124</v>
      </c>
      <c r="D505">
        <v>2.1561547465805102</v>
      </c>
      <c r="E505">
        <v>1.6129032258064498E-2</v>
      </c>
      <c r="F505" t="s">
        <v>235</v>
      </c>
    </row>
    <row r="506" spans="1:6" x14ac:dyDescent="0.2">
      <c r="A506" t="s">
        <v>27</v>
      </c>
      <c r="B506" t="s">
        <v>75</v>
      </c>
      <c r="C506">
        <v>124</v>
      </c>
      <c r="D506">
        <v>2.1561547465805102</v>
      </c>
      <c r="E506">
        <v>1.6129032258064498E-2</v>
      </c>
      <c r="F506" t="s">
        <v>235</v>
      </c>
    </row>
    <row r="507" spans="1:6" x14ac:dyDescent="0.2">
      <c r="A507" t="s">
        <v>117</v>
      </c>
      <c r="B507" t="s">
        <v>35</v>
      </c>
      <c r="C507">
        <v>124</v>
      </c>
      <c r="D507">
        <v>2.1561547465805102</v>
      </c>
      <c r="E507">
        <v>1.6129032258064498E-2</v>
      </c>
      <c r="F507" t="s">
        <v>235</v>
      </c>
    </row>
    <row r="508" spans="1:6" x14ac:dyDescent="0.2">
      <c r="A508" t="s">
        <v>120</v>
      </c>
      <c r="B508" t="s">
        <v>70</v>
      </c>
      <c r="C508">
        <v>124</v>
      </c>
      <c r="D508">
        <v>2.1561547465805102</v>
      </c>
      <c r="E508">
        <v>1.6129032258064498E-2</v>
      </c>
      <c r="F508" t="s">
        <v>235</v>
      </c>
    </row>
    <row r="509" spans="1:6" x14ac:dyDescent="0.2">
      <c r="A509" t="s">
        <v>94</v>
      </c>
      <c r="B509" t="s">
        <v>110</v>
      </c>
      <c r="C509">
        <v>124</v>
      </c>
      <c r="D509">
        <v>2.1561547465805102</v>
      </c>
      <c r="E509">
        <v>1.6129032258064498E-2</v>
      </c>
      <c r="F509" t="s">
        <v>235</v>
      </c>
    </row>
    <row r="510" spans="1:6" x14ac:dyDescent="0.2">
      <c r="A510" t="s">
        <v>95</v>
      </c>
      <c r="B510" t="s">
        <v>75</v>
      </c>
      <c r="C510">
        <v>124</v>
      </c>
      <c r="D510">
        <v>2.1561547465805102</v>
      </c>
      <c r="E510">
        <v>1.6129032258064498E-2</v>
      </c>
      <c r="F510" t="s">
        <v>235</v>
      </c>
    </row>
    <row r="511" spans="1:6" x14ac:dyDescent="0.2">
      <c r="A511" t="s">
        <v>27</v>
      </c>
      <c r="B511" t="s">
        <v>47</v>
      </c>
      <c r="C511">
        <v>124</v>
      </c>
      <c r="D511">
        <v>2.1561547465805102</v>
      </c>
      <c r="E511">
        <v>1.6129032258064498E-2</v>
      </c>
      <c r="F511" t="s">
        <v>235</v>
      </c>
    </row>
    <row r="512" spans="1:6" x14ac:dyDescent="0.2">
      <c r="A512" t="s">
        <v>94</v>
      </c>
      <c r="B512" t="s">
        <v>118</v>
      </c>
      <c r="C512">
        <v>124</v>
      </c>
      <c r="D512">
        <v>2.1561547465805102</v>
      </c>
      <c r="E512">
        <v>1.6129032258064498E-2</v>
      </c>
      <c r="F512" t="s">
        <v>235</v>
      </c>
    </row>
    <row r="513" spans="1:6" x14ac:dyDescent="0.2">
      <c r="A513" t="s">
        <v>60</v>
      </c>
      <c r="B513" t="s">
        <v>87</v>
      </c>
      <c r="C513">
        <v>124</v>
      </c>
      <c r="D513">
        <v>2.1561547465805102</v>
      </c>
      <c r="E513">
        <v>1.6129032258064498E-2</v>
      </c>
      <c r="F513" t="s">
        <v>235</v>
      </c>
    </row>
    <row r="514" spans="1:6" x14ac:dyDescent="0.2">
      <c r="A514" t="s">
        <v>17</v>
      </c>
      <c r="B514" t="s">
        <v>27</v>
      </c>
      <c r="C514">
        <v>124</v>
      </c>
      <c r="D514">
        <v>2.1561547465805102</v>
      </c>
      <c r="E514">
        <v>1.6129032258064498E-2</v>
      </c>
      <c r="F514" t="s">
        <v>235</v>
      </c>
    </row>
    <row r="515" spans="1:6" x14ac:dyDescent="0.2">
      <c r="A515" t="s">
        <v>27</v>
      </c>
      <c r="B515" t="s">
        <v>70</v>
      </c>
      <c r="C515">
        <v>124</v>
      </c>
      <c r="D515">
        <v>2.1561547465805102</v>
      </c>
      <c r="E515">
        <v>1.6129032258064498E-2</v>
      </c>
      <c r="F515" t="s">
        <v>235</v>
      </c>
    </row>
    <row r="516" spans="1:6" x14ac:dyDescent="0.2">
      <c r="A516" t="s">
        <v>87</v>
      </c>
      <c r="B516" t="s">
        <v>118</v>
      </c>
      <c r="C516">
        <v>124</v>
      </c>
      <c r="D516">
        <v>2.1561547465805102</v>
      </c>
      <c r="E516">
        <v>1.6129032258064498E-2</v>
      </c>
      <c r="F516" t="s">
        <v>235</v>
      </c>
    </row>
    <row r="517" spans="1:6" x14ac:dyDescent="0.2">
      <c r="A517" t="s">
        <v>57</v>
      </c>
      <c r="B517" t="s">
        <v>106</v>
      </c>
      <c r="C517">
        <v>124</v>
      </c>
      <c r="D517">
        <v>2.1561547465805102</v>
      </c>
      <c r="E517">
        <v>1.6129032258064498E-2</v>
      </c>
      <c r="F517" t="s">
        <v>235</v>
      </c>
    </row>
    <row r="518" spans="1:6" x14ac:dyDescent="0.2">
      <c r="A518" t="s">
        <v>65</v>
      </c>
      <c r="B518" t="s">
        <v>110</v>
      </c>
      <c r="C518">
        <v>124</v>
      </c>
      <c r="D518">
        <v>2.1561547465805102</v>
      </c>
      <c r="E518">
        <v>1.6129032258064498E-2</v>
      </c>
      <c r="F518" t="s">
        <v>235</v>
      </c>
    </row>
    <row r="519" spans="1:6" x14ac:dyDescent="0.2">
      <c r="A519" t="s">
        <v>75</v>
      </c>
      <c r="B519" t="s">
        <v>117</v>
      </c>
      <c r="C519">
        <v>124</v>
      </c>
      <c r="D519">
        <v>2.1561547465805102</v>
      </c>
      <c r="E519">
        <v>1.6129032258064498E-2</v>
      </c>
      <c r="F519" t="s">
        <v>235</v>
      </c>
    </row>
    <row r="520" spans="1:6" x14ac:dyDescent="0.2">
      <c r="A520" t="s">
        <v>94</v>
      </c>
      <c r="B520" t="s">
        <v>87</v>
      </c>
      <c r="C520">
        <v>124</v>
      </c>
      <c r="D520">
        <v>2.1561547465805102</v>
      </c>
      <c r="E520">
        <v>1.6129032258064498E-2</v>
      </c>
      <c r="F520" t="s">
        <v>235</v>
      </c>
    </row>
    <row r="521" spans="1:6" x14ac:dyDescent="0.2">
      <c r="A521" t="s">
        <v>68</v>
      </c>
      <c r="B521" t="s">
        <v>116</v>
      </c>
      <c r="C521">
        <v>124</v>
      </c>
      <c r="D521">
        <v>2.1561547465805102</v>
      </c>
      <c r="E521">
        <v>1.6129032258064498E-2</v>
      </c>
      <c r="F521" t="s">
        <v>235</v>
      </c>
    </row>
    <row r="522" spans="1:6" x14ac:dyDescent="0.2">
      <c r="A522" t="s">
        <v>127</v>
      </c>
      <c r="B522" t="s">
        <v>70</v>
      </c>
      <c r="C522">
        <v>124</v>
      </c>
      <c r="D522">
        <v>2.1561547465805102</v>
      </c>
      <c r="E522">
        <v>1.6129032258064498E-2</v>
      </c>
      <c r="F522" t="s">
        <v>235</v>
      </c>
    </row>
    <row r="523" spans="1:6" x14ac:dyDescent="0.2">
      <c r="A523" t="s">
        <v>87</v>
      </c>
      <c r="B523" t="s">
        <v>65</v>
      </c>
      <c r="C523">
        <v>124</v>
      </c>
      <c r="D523">
        <v>2.1561547465805102</v>
      </c>
      <c r="E523">
        <v>1.6129032258064498E-2</v>
      </c>
      <c r="F523" t="s">
        <v>235</v>
      </c>
    </row>
    <row r="524" spans="1:6" x14ac:dyDescent="0.2">
      <c r="A524" t="s">
        <v>17</v>
      </c>
      <c r="B524" t="s">
        <v>120</v>
      </c>
      <c r="C524">
        <v>124</v>
      </c>
      <c r="D524">
        <v>2.1561547465805102</v>
      </c>
      <c r="E524">
        <v>1.6129032258064498E-2</v>
      </c>
      <c r="F524" t="s">
        <v>235</v>
      </c>
    </row>
    <row r="525" spans="1:6" x14ac:dyDescent="0.2">
      <c r="A525" t="s">
        <v>95</v>
      </c>
      <c r="B525" t="s">
        <v>87</v>
      </c>
      <c r="C525">
        <v>124</v>
      </c>
      <c r="D525">
        <v>2.1561547465805102</v>
      </c>
      <c r="E525">
        <v>1.6129032258064498E-2</v>
      </c>
      <c r="F525" t="s">
        <v>235</v>
      </c>
    </row>
    <row r="526" spans="1:6" x14ac:dyDescent="0.2">
      <c r="A526" t="s">
        <v>95</v>
      </c>
      <c r="B526" t="s">
        <v>70</v>
      </c>
      <c r="C526">
        <v>124</v>
      </c>
      <c r="D526">
        <v>2.1561547465805102</v>
      </c>
      <c r="E526">
        <v>1.6129032258064498E-2</v>
      </c>
      <c r="F526" t="s">
        <v>235</v>
      </c>
    </row>
    <row r="527" spans="1:6" x14ac:dyDescent="0.2">
      <c r="A527" t="s">
        <v>119</v>
      </c>
      <c r="B527" t="s">
        <v>120</v>
      </c>
      <c r="C527">
        <v>124</v>
      </c>
      <c r="D527">
        <v>2.1561547465805102</v>
      </c>
      <c r="E527">
        <v>1.6129032258064498E-2</v>
      </c>
      <c r="F527" t="s">
        <v>235</v>
      </c>
    </row>
    <row r="528" spans="1:6" x14ac:dyDescent="0.2">
      <c r="A528" t="s">
        <v>27</v>
      </c>
      <c r="B528" t="s">
        <v>110</v>
      </c>
      <c r="C528">
        <v>124</v>
      </c>
      <c r="D528">
        <v>2.1561547465805102</v>
      </c>
      <c r="E528">
        <v>1.6129032258064498E-2</v>
      </c>
      <c r="F528" t="s">
        <v>235</v>
      </c>
    </row>
    <row r="529" spans="1:6" x14ac:dyDescent="0.2">
      <c r="A529" t="s">
        <v>57</v>
      </c>
      <c r="B529" t="s">
        <v>53</v>
      </c>
      <c r="C529">
        <v>124</v>
      </c>
      <c r="D529">
        <v>2.1561547465805102</v>
      </c>
      <c r="E529">
        <v>1.6129032258064498E-2</v>
      </c>
      <c r="F529" t="s">
        <v>235</v>
      </c>
    </row>
    <row r="530" spans="1:6" x14ac:dyDescent="0.2">
      <c r="A530" t="s">
        <v>57</v>
      </c>
      <c r="B530" t="s">
        <v>70</v>
      </c>
      <c r="C530">
        <v>124</v>
      </c>
      <c r="D530">
        <v>2.1561547465805102</v>
      </c>
      <c r="E530">
        <v>1.6129032258064498E-2</v>
      </c>
      <c r="F530" t="s">
        <v>235</v>
      </c>
    </row>
    <row r="531" spans="1:6" x14ac:dyDescent="0.2">
      <c r="A531" t="s">
        <v>95</v>
      </c>
      <c r="B531" t="s">
        <v>65</v>
      </c>
      <c r="C531">
        <v>124</v>
      </c>
      <c r="D531">
        <v>2.1561547465805102</v>
      </c>
      <c r="E531">
        <v>1.6129032258064498E-2</v>
      </c>
      <c r="F531" t="s">
        <v>235</v>
      </c>
    </row>
    <row r="532" spans="1:6" x14ac:dyDescent="0.2">
      <c r="A532" t="s">
        <v>94</v>
      </c>
      <c r="B532" t="s">
        <v>55</v>
      </c>
      <c r="C532">
        <v>124</v>
      </c>
      <c r="D532">
        <v>2.1561547465805102</v>
      </c>
      <c r="E532">
        <v>1.6129032258064498E-2</v>
      </c>
      <c r="F532" t="s">
        <v>235</v>
      </c>
    </row>
    <row r="533" spans="1:6" x14ac:dyDescent="0.2">
      <c r="A533" t="s">
        <v>120</v>
      </c>
      <c r="B533" t="s">
        <v>65</v>
      </c>
      <c r="C533">
        <v>124</v>
      </c>
      <c r="D533">
        <v>2.1561547465805102</v>
      </c>
      <c r="E533">
        <v>1.6129032258064498E-2</v>
      </c>
      <c r="F533" t="s">
        <v>235</v>
      </c>
    </row>
    <row r="534" spans="1:6" x14ac:dyDescent="0.2">
      <c r="A534" t="s">
        <v>127</v>
      </c>
      <c r="B534" t="s">
        <v>120</v>
      </c>
      <c r="C534">
        <v>124</v>
      </c>
      <c r="D534">
        <v>2.1561547465805102</v>
      </c>
      <c r="E534">
        <v>1.6129032258064498E-2</v>
      </c>
      <c r="F534" t="s">
        <v>235</v>
      </c>
    </row>
    <row r="535" spans="1:6" x14ac:dyDescent="0.2">
      <c r="A535" t="s">
        <v>119</v>
      </c>
      <c r="B535" t="s">
        <v>65</v>
      </c>
      <c r="C535">
        <v>124</v>
      </c>
      <c r="D535">
        <v>2.1561547465805102</v>
      </c>
      <c r="E535">
        <v>1.6129032258064498E-2</v>
      </c>
      <c r="F535" t="s">
        <v>235</v>
      </c>
    </row>
    <row r="536" spans="1:6" x14ac:dyDescent="0.2">
      <c r="A536" t="s">
        <v>119</v>
      </c>
      <c r="B536" t="s">
        <v>94</v>
      </c>
      <c r="C536">
        <v>124</v>
      </c>
      <c r="D536">
        <v>2.1561547465805102</v>
      </c>
      <c r="E536">
        <v>1.6129032258064498E-2</v>
      </c>
      <c r="F536" t="s">
        <v>235</v>
      </c>
    </row>
    <row r="537" spans="1:6" x14ac:dyDescent="0.2">
      <c r="A537" t="s">
        <v>60</v>
      </c>
      <c r="B537" t="s">
        <v>27</v>
      </c>
      <c r="C537">
        <v>124</v>
      </c>
      <c r="D537">
        <v>2.1561547465805102</v>
      </c>
      <c r="E537">
        <v>1.6129032258064498E-2</v>
      </c>
      <c r="F537" t="s">
        <v>235</v>
      </c>
    </row>
    <row r="538" spans="1:6" x14ac:dyDescent="0.2">
      <c r="A538" t="s">
        <v>75</v>
      </c>
      <c r="B538" t="s">
        <v>118</v>
      </c>
      <c r="C538">
        <v>124</v>
      </c>
      <c r="D538">
        <v>2.1561547465805102</v>
      </c>
      <c r="E538">
        <v>1.6129032258064498E-2</v>
      </c>
      <c r="F538" t="s">
        <v>235</v>
      </c>
    </row>
    <row r="539" spans="1:6" x14ac:dyDescent="0.2">
      <c r="A539" t="s">
        <v>117</v>
      </c>
      <c r="B539" t="s">
        <v>118</v>
      </c>
      <c r="C539">
        <v>124</v>
      </c>
      <c r="D539">
        <v>2.1561547465805102</v>
      </c>
      <c r="E539">
        <v>1.6129032258064498E-2</v>
      </c>
      <c r="F539" t="s">
        <v>235</v>
      </c>
    </row>
    <row r="540" spans="1:6" x14ac:dyDescent="0.2">
      <c r="A540" t="s">
        <v>106</v>
      </c>
      <c r="B540" t="s">
        <v>116</v>
      </c>
      <c r="C540">
        <v>124</v>
      </c>
      <c r="D540">
        <v>2.1561547465805102</v>
      </c>
      <c r="E540">
        <v>1.6129032258064498E-2</v>
      </c>
      <c r="F540" t="s">
        <v>235</v>
      </c>
    </row>
    <row r="541" spans="1:6" x14ac:dyDescent="0.2">
      <c r="A541" t="s">
        <v>106</v>
      </c>
      <c r="B541" t="s">
        <v>189</v>
      </c>
      <c r="C541">
        <v>124</v>
      </c>
      <c r="D541">
        <v>2.1561547465805102</v>
      </c>
      <c r="E541">
        <v>1.6129032258064498E-2</v>
      </c>
      <c r="F541" t="s">
        <v>235</v>
      </c>
    </row>
    <row r="542" spans="1:6" x14ac:dyDescent="0.2">
      <c r="A542" t="s">
        <v>127</v>
      </c>
      <c r="B542" t="s">
        <v>110</v>
      </c>
      <c r="C542">
        <v>124</v>
      </c>
      <c r="D542">
        <v>2.1561547465805102</v>
      </c>
      <c r="E542">
        <v>1.6129032258064498E-2</v>
      </c>
      <c r="F542" t="s">
        <v>235</v>
      </c>
    </row>
    <row r="543" spans="1:6" x14ac:dyDescent="0.2">
      <c r="A543" t="s">
        <v>95</v>
      </c>
      <c r="B543" t="s">
        <v>127</v>
      </c>
      <c r="C543">
        <v>124</v>
      </c>
      <c r="D543">
        <v>2.1561547465805102</v>
      </c>
      <c r="E543">
        <v>1.6129032258064498E-2</v>
      </c>
      <c r="F543" t="s">
        <v>235</v>
      </c>
    </row>
    <row r="544" spans="1:6" x14ac:dyDescent="0.2">
      <c r="A544" t="s">
        <v>70</v>
      </c>
      <c r="B544" t="s">
        <v>118</v>
      </c>
      <c r="C544">
        <v>124</v>
      </c>
      <c r="D544">
        <v>2.1561547465805102</v>
      </c>
      <c r="E544">
        <v>1.6129032258064498E-2</v>
      </c>
      <c r="F544" t="s">
        <v>235</v>
      </c>
    </row>
    <row r="545" spans="1:6" x14ac:dyDescent="0.2">
      <c r="A545" t="s">
        <v>60</v>
      </c>
      <c r="B545" t="s">
        <v>75</v>
      </c>
      <c r="C545">
        <v>124</v>
      </c>
      <c r="D545">
        <v>2.1561547465805102</v>
      </c>
      <c r="E545">
        <v>1.6129032258064498E-2</v>
      </c>
      <c r="F545" t="s">
        <v>235</v>
      </c>
    </row>
    <row r="546" spans="1:6" x14ac:dyDescent="0.2">
      <c r="A546" t="s">
        <v>57</v>
      </c>
      <c r="B546" t="s">
        <v>187</v>
      </c>
      <c r="C546">
        <v>124</v>
      </c>
      <c r="D546">
        <v>2.1561547465805102</v>
      </c>
      <c r="E546">
        <v>1.6129032258064498E-2</v>
      </c>
      <c r="F546" t="s">
        <v>235</v>
      </c>
    </row>
    <row r="547" spans="1:6" x14ac:dyDescent="0.2">
      <c r="A547" t="s">
        <v>68</v>
      </c>
      <c r="B547" t="s">
        <v>127</v>
      </c>
      <c r="C547">
        <v>124</v>
      </c>
      <c r="D547">
        <v>2.1561547465805102</v>
      </c>
      <c r="E547">
        <v>1.6129032258064498E-2</v>
      </c>
      <c r="F547" t="s">
        <v>235</v>
      </c>
    </row>
    <row r="548" spans="1:6" x14ac:dyDescent="0.2">
      <c r="A548" t="s">
        <v>27</v>
      </c>
      <c r="B548" t="s">
        <v>120</v>
      </c>
      <c r="C548">
        <v>124</v>
      </c>
      <c r="D548">
        <v>2.1561547465805102</v>
      </c>
      <c r="E548">
        <v>1.6129032258064498E-2</v>
      </c>
      <c r="F548" t="s">
        <v>235</v>
      </c>
    </row>
    <row r="549" spans="1:6" x14ac:dyDescent="0.2">
      <c r="A549" t="s">
        <v>57</v>
      </c>
      <c r="B549" t="s">
        <v>47</v>
      </c>
      <c r="C549">
        <v>124</v>
      </c>
      <c r="D549">
        <v>2.1561547465805102</v>
      </c>
      <c r="E549">
        <v>1.6129032258064498E-2</v>
      </c>
      <c r="F549" t="s">
        <v>235</v>
      </c>
    </row>
    <row r="550" spans="1:6" x14ac:dyDescent="0.2">
      <c r="A550" t="s">
        <v>53</v>
      </c>
      <c r="B550" t="s">
        <v>116</v>
      </c>
      <c r="C550">
        <v>124</v>
      </c>
      <c r="D550">
        <v>2.1561547465805102</v>
      </c>
      <c r="E550">
        <v>1.6129032258064498E-2</v>
      </c>
      <c r="F550" t="s">
        <v>235</v>
      </c>
    </row>
    <row r="551" spans="1:6" x14ac:dyDescent="0.2">
      <c r="A551" t="s">
        <v>57</v>
      </c>
      <c r="B551" t="s">
        <v>87</v>
      </c>
      <c r="C551">
        <v>124</v>
      </c>
      <c r="D551">
        <v>2.1561547465805102</v>
      </c>
      <c r="E551">
        <v>1.6129032258064498E-2</v>
      </c>
      <c r="F551" t="s">
        <v>235</v>
      </c>
    </row>
    <row r="552" spans="1:6" x14ac:dyDescent="0.2">
      <c r="A552" t="s">
        <v>117</v>
      </c>
      <c r="B552" t="s">
        <v>110</v>
      </c>
      <c r="C552">
        <v>124</v>
      </c>
      <c r="D552">
        <v>2.1561547465805102</v>
      </c>
      <c r="E552">
        <v>1.6129032258064498E-2</v>
      </c>
      <c r="F552" t="s">
        <v>235</v>
      </c>
    </row>
    <row r="553" spans="1:6" x14ac:dyDescent="0.2">
      <c r="A553" t="s">
        <v>27</v>
      </c>
      <c r="B553" t="s">
        <v>35</v>
      </c>
      <c r="C553">
        <v>124</v>
      </c>
      <c r="D553">
        <v>2.1561547465805102</v>
      </c>
      <c r="E553">
        <v>1.6129032258064498E-2</v>
      </c>
      <c r="F553" t="s">
        <v>235</v>
      </c>
    </row>
    <row r="554" spans="1:6" x14ac:dyDescent="0.2">
      <c r="A554" t="s">
        <v>106</v>
      </c>
      <c r="B554" t="s">
        <v>27</v>
      </c>
      <c r="C554">
        <v>124</v>
      </c>
      <c r="D554">
        <v>2.1561547465805102</v>
      </c>
      <c r="E554">
        <v>1.6129032258064498E-2</v>
      </c>
      <c r="F554" t="s">
        <v>235</v>
      </c>
    </row>
    <row r="555" spans="1:6" x14ac:dyDescent="0.2">
      <c r="A555" t="s">
        <v>95</v>
      </c>
      <c r="B555" t="s">
        <v>189</v>
      </c>
      <c r="C555">
        <v>124</v>
      </c>
      <c r="D555">
        <v>2.1561547465805102</v>
      </c>
      <c r="E555">
        <v>1.6129032258064498E-2</v>
      </c>
      <c r="F555" t="s">
        <v>235</v>
      </c>
    </row>
    <row r="556" spans="1:6" x14ac:dyDescent="0.2">
      <c r="A556" t="s">
        <v>27</v>
      </c>
      <c r="B556" t="s">
        <v>116</v>
      </c>
      <c r="C556">
        <v>124</v>
      </c>
      <c r="D556">
        <v>2.1561547465805102</v>
      </c>
      <c r="E556">
        <v>1.6129032258064498E-2</v>
      </c>
      <c r="F556" t="s">
        <v>235</v>
      </c>
    </row>
    <row r="557" spans="1:6" x14ac:dyDescent="0.2">
      <c r="A557" t="s">
        <v>187</v>
      </c>
      <c r="B557" t="s">
        <v>87</v>
      </c>
      <c r="C557">
        <v>124</v>
      </c>
      <c r="D557">
        <v>2.1561547465805102</v>
      </c>
      <c r="E557">
        <v>1.6129032258064498E-2</v>
      </c>
      <c r="F557" t="s">
        <v>235</v>
      </c>
    </row>
    <row r="558" spans="1:6" x14ac:dyDescent="0.2">
      <c r="A558" t="s">
        <v>17</v>
      </c>
      <c r="B558" t="s">
        <v>87</v>
      </c>
      <c r="C558">
        <v>124</v>
      </c>
      <c r="D558">
        <v>2.1561547465805102</v>
      </c>
      <c r="E558">
        <v>1.6129032258064498E-2</v>
      </c>
      <c r="F558" t="s">
        <v>235</v>
      </c>
    </row>
    <row r="559" spans="1:6" x14ac:dyDescent="0.2">
      <c r="A559" t="s">
        <v>110</v>
      </c>
      <c r="B559" t="s">
        <v>118</v>
      </c>
      <c r="C559">
        <v>124</v>
      </c>
      <c r="D559">
        <v>2.1561547465805102</v>
      </c>
      <c r="E559">
        <v>1.6129032258064498E-2</v>
      </c>
      <c r="F559" t="s">
        <v>235</v>
      </c>
    </row>
    <row r="560" spans="1:6" x14ac:dyDescent="0.2">
      <c r="A560" t="s">
        <v>27</v>
      </c>
      <c r="B560" t="s">
        <v>189</v>
      </c>
      <c r="C560">
        <v>124</v>
      </c>
      <c r="D560">
        <v>2.1561547465805102</v>
      </c>
      <c r="E560">
        <v>1.6129032258064498E-2</v>
      </c>
      <c r="F560" t="s">
        <v>235</v>
      </c>
    </row>
    <row r="561" spans="1:6" x14ac:dyDescent="0.2">
      <c r="A561" t="s">
        <v>27</v>
      </c>
      <c r="B561" t="s">
        <v>53</v>
      </c>
      <c r="C561">
        <v>124</v>
      </c>
      <c r="D561">
        <v>2.1561547465805102</v>
      </c>
      <c r="E561">
        <v>1.6129032258064498E-2</v>
      </c>
      <c r="F561" t="s">
        <v>235</v>
      </c>
    </row>
    <row r="562" spans="1:6" x14ac:dyDescent="0.2">
      <c r="A562" t="s">
        <v>60</v>
      </c>
      <c r="B562" t="s">
        <v>94</v>
      </c>
      <c r="C562">
        <v>124</v>
      </c>
      <c r="D562">
        <v>2.1561547465805102</v>
      </c>
      <c r="E562">
        <v>1.6129032258064498E-2</v>
      </c>
      <c r="F562" t="s">
        <v>235</v>
      </c>
    </row>
    <row r="563" spans="1:6" x14ac:dyDescent="0.2">
      <c r="A563" t="s">
        <v>60</v>
      </c>
      <c r="B563" t="s">
        <v>118</v>
      </c>
      <c r="C563">
        <v>124</v>
      </c>
      <c r="D563">
        <v>2.1561547465805102</v>
      </c>
      <c r="E563">
        <v>1.6129032258064498E-2</v>
      </c>
      <c r="F563" t="s">
        <v>235</v>
      </c>
    </row>
    <row r="564" spans="1:6" x14ac:dyDescent="0.2">
      <c r="A564" t="s">
        <v>189</v>
      </c>
      <c r="B564" t="s">
        <v>116</v>
      </c>
      <c r="C564">
        <v>124</v>
      </c>
      <c r="D564">
        <v>2.1561547465805102</v>
      </c>
      <c r="E564">
        <v>1.6129032258064498E-2</v>
      </c>
      <c r="F564" t="s">
        <v>235</v>
      </c>
    </row>
    <row r="565" spans="1:6" x14ac:dyDescent="0.2">
      <c r="A565" t="s">
        <v>95</v>
      </c>
      <c r="B565" t="s">
        <v>35</v>
      </c>
      <c r="C565">
        <v>124</v>
      </c>
      <c r="D565">
        <v>2.1561547465805102</v>
      </c>
      <c r="E565">
        <v>1.6129032258064498E-2</v>
      </c>
      <c r="F565" t="s">
        <v>235</v>
      </c>
    </row>
    <row r="566" spans="1:6" x14ac:dyDescent="0.2">
      <c r="A566" t="s">
        <v>68</v>
      </c>
      <c r="B566" t="s">
        <v>65</v>
      </c>
      <c r="C566">
        <v>124</v>
      </c>
      <c r="D566">
        <v>2.1561547465805102</v>
      </c>
      <c r="E566">
        <v>1.6129032258064498E-2</v>
      </c>
      <c r="F566" t="s">
        <v>235</v>
      </c>
    </row>
    <row r="567" spans="1:6" x14ac:dyDescent="0.2">
      <c r="A567" t="s">
        <v>60</v>
      </c>
      <c r="B567" t="s">
        <v>127</v>
      </c>
      <c r="C567">
        <v>124</v>
      </c>
      <c r="D567">
        <v>2.1561547465805102</v>
      </c>
      <c r="E567">
        <v>1.6129032258064498E-2</v>
      </c>
      <c r="F567" t="s">
        <v>235</v>
      </c>
    </row>
    <row r="568" spans="1:6" x14ac:dyDescent="0.2">
      <c r="A568" t="s">
        <v>119</v>
      </c>
      <c r="B568" t="s">
        <v>27</v>
      </c>
      <c r="C568">
        <v>124</v>
      </c>
      <c r="D568">
        <v>2.1561547465805102</v>
      </c>
      <c r="E568">
        <v>1.6129032258064498E-2</v>
      </c>
      <c r="F568" t="s">
        <v>235</v>
      </c>
    </row>
    <row r="569" spans="1:6" x14ac:dyDescent="0.2">
      <c r="A569" t="s">
        <v>57</v>
      </c>
      <c r="B569" t="s">
        <v>27</v>
      </c>
      <c r="C569">
        <v>124</v>
      </c>
      <c r="D569">
        <v>2.1561547465805102</v>
      </c>
      <c r="E569">
        <v>1.6129032258064498E-2</v>
      </c>
      <c r="F569" t="s">
        <v>235</v>
      </c>
    </row>
    <row r="570" spans="1:6" x14ac:dyDescent="0.2">
      <c r="A570" t="s">
        <v>95</v>
      </c>
      <c r="B570" t="s">
        <v>94</v>
      </c>
      <c r="C570">
        <v>124</v>
      </c>
      <c r="D570">
        <v>2.1561547465805102</v>
      </c>
      <c r="E570">
        <v>1.6129032258064498E-2</v>
      </c>
      <c r="F570" t="s">
        <v>235</v>
      </c>
    </row>
    <row r="571" spans="1:6" x14ac:dyDescent="0.2">
      <c r="A571" t="s">
        <v>68</v>
      </c>
      <c r="B571" t="s">
        <v>120</v>
      </c>
      <c r="C571">
        <v>124</v>
      </c>
      <c r="D571">
        <v>2.1561547465805102</v>
      </c>
      <c r="E571">
        <v>1.6129032258064498E-2</v>
      </c>
      <c r="F571" t="s">
        <v>235</v>
      </c>
    </row>
    <row r="572" spans="1:6" x14ac:dyDescent="0.2">
      <c r="A572" t="s">
        <v>57</v>
      </c>
      <c r="B572" t="s">
        <v>17</v>
      </c>
      <c r="C572">
        <v>124</v>
      </c>
      <c r="D572">
        <v>2.1561547465805102</v>
      </c>
      <c r="E572">
        <v>1.6129032258064498E-2</v>
      </c>
      <c r="F572" t="s">
        <v>235</v>
      </c>
    </row>
    <row r="573" spans="1:6" x14ac:dyDescent="0.2">
      <c r="A573" t="s">
        <v>127</v>
      </c>
      <c r="B573" t="s">
        <v>189</v>
      </c>
      <c r="C573">
        <v>124</v>
      </c>
      <c r="D573">
        <v>2.1561547465805102</v>
      </c>
      <c r="E573">
        <v>1.6129032258064498E-2</v>
      </c>
      <c r="F573" t="s">
        <v>235</v>
      </c>
    </row>
    <row r="574" spans="1:6" x14ac:dyDescent="0.2">
      <c r="A574" t="s">
        <v>17</v>
      </c>
      <c r="B574" t="s">
        <v>65</v>
      </c>
      <c r="C574">
        <v>124</v>
      </c>
      <c r="D574">
        <v>2.1561547465805102</v>
      </c>
      <c r="E574">
        <v>1.6129032258064498E-2</v>
      </c>
      <c r="F574" t="s">
        <v>235</v>
      </c>
    </row>
    <row r="575" spans="1:6" x14ac:dyDescent="0.2">
      <c r="A575" t="s">
        <v>57</v>
      </c>
      <c r="B575" t="s">
        <v>95</v>
      </c>
      <c r="C575">
        <v>124</v>
      </c>
      <c r="D575">
        <v>2.1561547465805102</v>
      </c>
      <c r="E575">
        <v>1.6129032258064498E-2</v>
      </c>
      <c r="F575" t="s">
        <v>235</v>
      </c>
    </row>
    <row r="576" spans="1:6" x14ac:dyDescent="0.2">
      <c r="A576" t="s">
        <v>57</v>
      </c>
      <c r="B576" t="s">
        <v>75</v>
      </c>
      <c r="C576">
        <v>124</v>
      </c>
      <c r="D576">
        <v>2.1561547465805102</v>
      </c>
      <c r="E576">
        <v>1.6129032258064498E-2</v>
      </c>
      <c r="F576" t="s">
        <v>235</v>
      </c>
    </row>
    <row r="577" spans="1:6" x14ac:dyDescent="0.2">
      <c r="A577" t="s">
        <v>68</v>
      </c>
      <c r="B577" t="s">
        <v>118</v>
      </c>
      <c r="C577">
        <v>124</v>
      </c>
      <c r="D577">
        <v>2.1561547465805102</v>
      </c>
      <c r="E577">
        <v>1.6129032258064498E-2</v>
      </c>
      <c r="F577" t="s">
        <v>235</v>
      </c>
    </row>
    <row r="578" spans="1:6" x14ac:dyDescent="0.2">
      <c r="A578" t="s">
        <v>117</v>
      </c>
      <c r="B578" t="s">
        <v>189</v>
      </c>
      <c r="C578">
        <v>124</v>
      </c>
      <c r="D578">
        <v>2.1561547465805102</v>
      </c>
      <c r="E578">
        <v>1.6129032258064498E-2</v>
      </c>
      <c r="F578" t="s">
        <v>235</v>
      </c>
    </row>
    <row r="579" spans="1:6" x14ac:dyDescent="0.2">
      <c r="A579" t="s">
        <v>75</v>
      </c>
      <c r="B579" t="s">
        <v>120</v>
      </c>
      <c r="C579">
        <v>124</v>
      </c>
      <c r="D579">
        <v>2.1561547465805102</v>
      </c>
      <c r="E579">
        <v>1.6129032258064498E-2</v>
      </c>
      <c r="F579" t="s">
        <v>235</v>
      </c>
    </row>
    <row r="580" spans="1:6" x14ac:dyDescent="0.2">
      <c r="A580" t="s">
        <v>94</v>
      </c>
      <c r="B580" t="s">
        <v>47</v>
      </c>
      <c r="C580">
        <v>124</v>
      </c>
      <c r="D580">
        <v>2.1561547465805102</v>
      </c>
      <c r="E580">
        <v>1.6129032258064498E-2</v>
      </c>
      <c r="F580" t="s">
        <v>235</v>
      </c>
    </row>
    <row r="581" spans="1:6" x14ac:dyDescent="0.2">
      <c r="A581" t="s">
        <v>187</v>
      </c>
      <c r="B581" t="s">
        <v>117</v>
      </c>
      <c r="C581">
        <v>124</v>
      </c>
      <c r="D581">
        <v>2.1561547465805102</v>
      </c>
      <c r="E581">
        <v>1.6129032258064498E-2</v>
      </c>
      <c r="F581" t="s">
        <v>235</v>
      </c>
    </row>
    <row r="582" spans="1:6" x14ac:dyDescent="0.2">
      <c r="A582" t="s">
        <v>95</v>
      </c>
      <c r="B582" t="s">
        <v>68</v>
      </c>
      <c r="C582">
        <v>124</v>
      </c>
      <c r="D582">
        <v>2.1561547465805102</v>
      </c>
      <c r="E582">
        <v>1.6129032258064498E-2</v>
      </c>
      <c r="F582" t="s">
        <v>235</v>
      </c>
    </row>
    <row r="583" spans="1:6" x14ac:dyDescent="0.2">
      <c r="A583" t="s">
        <v>119</v>
      </c>
      <c r="B583" t="s">
        <v>116</v>
      </c>
      <c r="C583">
        <v>124</v>
      </c>
      <c r="D583">
        <v>2.1561547465805102</v>
      </c>
      <c r="E583">
        <v>1.6129032258064498E-2</v>
      </c>
      <c r="F583" t="s">
        <v>235</v>
      </c>
    </row>
    <row r="584" spans="1:6" x14ac:dyDescent="0.2">
      <c r="A584" t="s">
        <v>35</v>
      </c>
      <c r="B584" t="s">
        <v>116</v>
      </c>
      <c r="C584">
        <v>124</v>
      </c>
      <c r="D584">
        <v>2.1561547465805102</v>
      </c>
      <c r="E584">
        <v>1.6129032258064498E-2</v>
      </c>
      <c r="F584" t="s">
        <v>235</v>
      </c>
    </row>
    <row r="585" spans="1:6" x14ac:dyDescent="0.2">
      <c r="A585" t="s">
        <v>57</v>
      </c>
      <c r="B585" t="s">
        <v>118</v>
      </c>
      <c r="C585">
        <v>124</v>
      </c>
      <c r="D585">
        <v>2.1561547465805102</v>
      </c>
      <c r="E585">
        <v>1.6129032258064498E-2</v>
      </c>
      <c r="F585" t="s">
        <v>235</v>
      </c>
    </row>
    <row r="586" spans="1:6" x14ac:dyDescent="0.2">
      <c r="A586" t="s">
        <v>106</v>
      </c>
      <c r="B586" t="s">
        <v>110</v>
      </c>
      <c r="C586">
        <v>124</v>
      </c>
      <c r="D586">
        <v>2.1561547465805102</v>
      </c>
      <c r="E586">
        <v>1.6129032258064498E-2</v>
      </c>
      <c r="F586" t="s">
        <v>235</v>
      </c>
    </row>
    <row r="587" spans="1:6" x14ac:dyDescent="0.2">
      <c r="A587" t="s">
        <v>87</v>
      </c>
      <c r="B587" t="s">
        <v>75</v>
      </c>
      <c r="C587">
        <v>124</v>
      </c>
      <c r="D587">
        <v>2.1561547465805102</v>
      </c>
      <c r="E587">
        <v>1.6129032258064498E-2</v>
      </c>
      <c r="F587" t="s">
        <v>235</v>
      </c>
    </row>
    <row r="588" spans="1:6" x14ac:dyDescent="0.2">
      <c r="A588" t="s">
        <v>53</v>
      </c>
      <c r="B588" t="s">
        <v>87</v>
      </c>
      <c r="C588">
        <v>124</v>
      </c>
      <c r="D588">
        <v>2.1561547465805102</v>
      </c>
      <c r="E588">
        <v>1.6129032258064498E-2</v>
      </c>
      <c r="F588" t="s">
        <v>235</v>
      </c>
    </row>
    <row r="589" spans="1:6" x14ac:dyDescent="0.2">
      <c r="A589" t="s">
        <v>55</v>
      </c>
      <c r="B589" t="s">
        <v>118</v>
      </c>
      <c r="C589">
        <v>124</v>
      </c>
      <c r="D589">
        <v>2.1561547465805102</v>
      </c>
      <c r="E589">
        <v>1.6129032258064498E-2</v>
      </c>
      <c r="F589" t="s">
        <v>235</v>
      </c>
    </row>
    <row r="590" spans="1:6" x14ac:dyDescent="0.2">
      <c r="A590" t="s">
        <v>27</v>
      </c>
      <c r="B590" t="s">
        <v>117</v>
      </c>
      <c r="C590">
        <v>124</v>
      </c>
      <c r="D590">
        <v>2.1561547465805102</v>
      </c>
      <c r="E590">
        <v>1.6129032258064498E-2</v>
      </c>
      <c r="F590" t="s">
        <v>235</v>
      </c>
    </row>
    <row r="591" spans="1:6" x14ac:dyDescent="0.2">
      <c r="A591" t="s">
        <v>94</v>
      </c>
      <c r="B591" t="s">
        <v>70</v>
      </c>
      <c r="C591">
        <v>124</v>
      </c>
      <c r="D591">
        <v>2.1561547465805102</v>
      </c>
      <c r="E591">
        <v>1.6129032258064498E-2</v>
      </c>
      <c r="F591" t="s">
        <v>235</v>
      </c>
    </row>
    <row r="592" spans="1:6" x14ac:dyDescent="0.2">
      <c r="A592" t="s">
        <v>127</v>
      </c>
      <c r="B592" t="s">
        <v>35</v>
      </c>
      <c r="C592">
        <v>124</v>
      </c>
      <c r="D592">
        <v>2.1561547465805102</v>
      </c>
      <c r="E592">
        <v>1.6129032258064498E-2</v>
      </c>
      <c r="F592" t="s">
        <v>235</v>
      </c>
    </row>
    <row r="593" spans="1:6" x14ac:dyDescent="0.2">
      <c r="A593" t="s">
        <v>120</v>
      </c>
      <c r="B593" t="s">
        <v>118</v>
      </c>
      <c r="C593">
        <v>124</v>
      </c>
      <c r="D593">
        <v>2.1561547465805102</v>
      </c>
      <c r="E593">
        <v>1.6129032258064498E-2</v>
      </c>
      <c r="F593" t="s">
        <v>235</v>
      </c>
    </row>
    <row r="594" spans="1:6" x14ac:dyDescent="0.2">
      <c r="A594" t="s">
        <v>106</v>
      </c>
      <c r="B594" t="s">
        <v>118</v>
      </c>
      <c r="C594">
        <v>124</v>
      </c>
      <c r="D594">
        <v>2.1561547465805102</v>
      </c>
      <c r="E594">
        <v>1.6129032258064498E-2</v>
      </c>
      <c r="F594" t="s">
        <v>235</v>
      </c>
    </row>
    <row r="595" spans="1:6" x14ac:dyDescent="0.2">
      <c r="A595" t="s">
        <v>57</v>
      </c>
      <c r="B595" t="s">
        <v>94</v>
      </c>
      <c r="C595">
        <v>124</v>
      </c>
      <c r="D595">
        <v>2.1561547465805102</v>
      </c>
      <c r="E595">
        <v>1.6129032258064498E-2</v>
      </c>
      <c r="F595" t="s">
        <v>235</v>
      </c>
    </row>
    <row r="596" spans="1:6" x14ac:dyDescent="0.2">
      <c r="A596" t="s">
        <v>127</v>
      </c>
      <c r="B596" t="s">
        <v>117</v>
      </c>
      <c r="C596">
        <v>124</v>
      </c>
      <c r="D596">
        <v>2.1561547465805102</v>
      </c>
      <c r="E596">
        <v>1.6129032258064498E-2</v>
      </c>
      <c r="F596" t="s">
        <v>235</v>
      </c>
    </row>
    <row r="597" spans="1:6" x14ac:dyDescent="0.2">
      <c r="A597" t="s">
        <v>120</v>
      </c>
      <c r="B597" t="s">
        <v>116</v>
      </c>
      <c r="C597">
        <v>124</v>
      </c>
      <c r="D597">
        <v>2.1561547465805102</v>
      </c>
      <c r="E597">
        <v>1.6129032258064498E-2</v>
      </c>
      <c r="F597" t="s">
        <v>235</v>
      </c>
    </row>
    <row r="598" spans="1:6" x14ac:dyDescent="0.2">
      <c r="A598" t="s">
        <v>95</v>
      </c>
      <c r="B598" t="s">
        <v>55</v>
      </c>
      <c r="C598">
        <v>124</v>
      </c>
      <c r="D598">
        <v>2.1561547465805102</v>
      </c>
      <c r="E598">
        <v>1.6129032258064498E-2</v>
      </c>
      <c r="F598" t="s">
        <v>235</v>
      </c>
    </row>
    <row r="599" spans="1:6" x14ac:dyDescent="0.2">
      <c r="A599" t="s">
        <v>47</v>
      </c>
      <c r="B599" t="s">
        <v>118</v>
      </c>
      <c r="C599">
        <v>124</v>
      </c>
      <c r="D599">
        <v>2.1561547465805102</v>
      </c>
      <c r="E599">
        <v>1.6129032258064498E-2</v>
      </c>
      <c r="F599" t="s">
        <v>235</v>
      </c>
    </row>
    <row r="600" spans="1:6" x14ac:dyDescent="0.2">
      <c r="A600" t="s">
        <v>120</v>
      </c>
      <c r="B600" t="s">
        <v>55</v>
      </c>
      <c r="C600">
        <v>124</v>
      </c>
      <c r="D600">
        <v>2.1561547465805102</v>
      </c>
      <c r="E600">
        <v>1.6129032258064498E-2</v>
      </c>
      <c r="F600" t="s">
        <v>235</v>
      </c>
    </row>
    <row r="601" spans="1:6" x14ac:dyDescent="0.2">
      <c r="A601" t="s">
        <v>106</v>
      </c>
      <c r="B601" t="s">
        <v>70</v>
      </c>
      <c r="C601">
        <v>124</v>
      </c>
      <c r="D601">
        <v>2.1561547465805102</v>
      </c>
      <c r="E601">
        <v>1.6129032258064498E-2</v>
      </c>
      <c r="F601" t="s">
        <v>235</v>
      </c>
    </row>
    <row r="602" spans="1:6" x14ac:dyDescent="0.2">
      <c r="A602" t="s">
        <v>106</v>
      </c>
      <c r="B602" t="s">
        <v>60</v>
      </c>
      <c r="C602">
        <v>124</v>
      </c>
      <c r="D602">
        <v>2.1561547465805102</v>
      </c>
      <c r="E602">
        <v>1.6129032258064498E-2</v>
      </c>
      <c r="F602" t="s">
        <v>235</v>
      </c>
    </row>
    <row r="603" spans="1:6" x14ac:dyDescent="0.2">
      <c r="A603" t="s">
        <v>95</v>
      </c>
      <c r="B603" t="s">
        <v>27</v>
      </c>
      <c r="C603">
        <v>124</v>
      </c>
      <c r="D603">
        <v>2.1561547465805102</v>
      </c>
      <c r="E603">
        <v>1.6129032258064498E-2</v>
      </c>
      <c r="F603" t="s">
        <v>235</v>
      </c>
    </row>
    <row r="604" spans="1:6" x14ac:dyDescent="0.2">
      <c r="A604" t="s">
        <v>47</v>
      </c>
      <c r="B604" t="s">
        <v>110</v>
      </c>
      <c r="C604">
        <v>124</v>
      </c>
      <c r="D604">
        <v>2.1561547465805102</v>
      </c>
      <c r="E604">
        <v>1.6129032258064498E-2</v>
      </c>
      <c r="F604" t="s">
        <v>235</v>
      </c>
    </row>
    <row r="605" spans="1:6" x14ac:dyDescent="0.2">
      <c r="A605" t="s">
        <v>68</v>
      </c>
      <c r="B605" t="s">
        <v>47</v>
      </c>
      <c r="C605">
        <v>124</v>
      </c>
      <c r="D605">
        <v>2.1561547465805102</v>
      </c>
      <c r="E605">
        <v>1.6129032258064498E-2</v>
      </c>
      <c r="F605" t="s">
        <v>235</v>
      </c>
    </row>
    <row r="606" spans="1:6" x14ac:dyDescent="0.2">
      <c r="A606" t="s">
        <v>68</v>
      </c>
      <c r="B606" t="s">
        <v>94</v>
      </c>
      <c r="C606">
        <v>124</v>
      </c>
      <c r="D606">
        <v>2.1561547465805102</v>
      </c>
      <c r="E606">
        <v>1.6129032258064498E-2</v>
      </c>
      <c r="F606" t="s">
        <v>235</v>
      </c>
    </row>
    <row r="607" spans="1:6" x14ac:dyDescent="0.2">
      <c r="A607" t="s">
        <v>106</v>
      </c>
      <c r="B607" t="s">
        <v>68</v>
      </c>
      <c r="C607">
        <v>124</v>
      </c>
      <c r="D607">
        <v>2.1561547465805102</v>
      </c>
      <c r="E607">
        <v>1.6129032258064498E-2</v>
      </c>
      <c r="F607" t="s">
        <v>235</v>
      </c>
    </row>
    <row r="608" spans="1:6" x14ac:dyDescent="0.2">
      <c r="A608" t="s">
        <v>94</v>
      </c>
      <c r="B608" t="s">
        <v>17</v>
      </c>
      <c r="C608">
        <v>124</v>
      </c>
      <c r="D608">
        <v>2.1561547465805102</v>
      </c>
      <c r="E608">
        <v>1.6129032258064498E-2</v>
      </c>
      <c r="F608" t="s">
        <v>235</v>
      </c>
    </row>
    <row r="609" spans="1:6" x14ac:dyDescent="0.2">
      <c r="A609" t="s">
        <v>106</v>
      </c>
      <c r="B609" t="s">
        <v>75</v>
      </c>
      <c r="C609">
        <v>124</v>
      </c>
      <c r="D609">
        <v>2.1561547465805102</v>
      </c>
      <c r="E609">
        <v>1.6129032258064498E-2</v>
      </c>
      <c r="F609" t="s">
        <v>235</v>
      </c>
    </row>
    <row r="610" spans="1:6" x14ac:dyDescent="0.2">
      <c r="A610" t="s">
        <v>106</v>
      </c>
      <c r="B610" t="s">
        <v>120</v>
      </c>
      <c r="C610">
        <v>124</v>
      </c>
      <c r="D610">
        <v>2.1561547465805102</v>
      </c>
      <c r="E610">
        <v>1.6129032258064498E-2</v>
      </c>
      <c r="F610" t="s">
        <v>235</v>
      </c>
    </row>
    <row r="611" spans="1:6" x14ac:dyDescent="0.2">
      <c r="A611" t="s">
        <v>27</v>
      </c>
      <c r="B611" t="s">
        <v>87</v>
      </c>
      <c r="C611">
        <v>124</v>
      </c>
      <c r="D611">
        <v>2.1561547465805102</v>
      </c>
      <c r="E611">
        <v>1.6129032258064498E-2</v>
      </c>
      <c r="F611" t="s">
        <v>235</v>
      </c>
    </row>
    <row r="612" spans="1:6" x14ac:dyDescent="0.2">
      <c r="A612" t="s">
        <v>127</v>
      </c>
      <c r="B612" t="s">
        <v>17</v>
      </c>
      <c r="C612">
        <v>124</v>
      </c>
      <c r="D612">
        <v>2.1561547465805102</v>
      </c>
      <c r="E612">
        <v>1.6129032258064498E-2</v>
      </c>
      <c r="F612" t="s">
        <v>235</v>
      </c>
    </row>
    <row r="613" spans="1:6" x14ac:dyDescent="0.2">
      <c r="A613" t="s">
        <v>57</v>
      </c>
      <c r="B613" t="s">
        <v>110</v>
      </c>
      <c r="C613">
        <v>124</v>
      </c>
      <c r="D613">
        <v>2.1561547465805102</v>
      </c>
      <c r="E613">
        <v>1.6129032258064498E-2</v>
      </c>
      <c r="F613" t="s">
        <v>235</v>
      </c>
    </row>
    <row r="614" spans="1:6" x14ac:dyDescent="0.2">
      <c r="A614" t="s">
        <v>57</v>
      </c>
      <c r="B614" t="s">
        <v>127</v>
      </c>
      <c r="C614">
        <v>124</v>
      </c>
      <c r="D614">
        <v>2.1561547465805102</v>
      </c>
      <c r="E614">
        <v>1.6129032258064498E-2</v>
      </c>
      <c r="F614" t="s">
        <v>235</v>
      </c>
    </row>
    <row r="615" spans="1:6" x14ac:dyDescent="0.2">
      <c r="A615" t="s">
        <v>94</v>
      </c>
      <c r="B615" t="s">
        <v>65</v>
      </c>
      <c r="C615">
        <v>124</v>
      </c>
      <c r="D615">
        <v>2.1561547465805102</v>
      </c>
      <c r="E615">
        <v>1.6129032258064498E-2</v>
      </c>
      <c r="F615" t="s">
        <v>235</v>
      </c>
    </row>
    <row r="616" spans="1:6" x14ac:dyDescent="0.2">
      <c r="A616" t="s">
        <v>119</v>
      </c>
      <c r="B616" t="s">
        <v>87</v>
      </c>
      <c r="C616">
        <v>124</v>
      </c>
      <c r="D616">
        <v>2.1561547465805102</v>
      </c>
      <c r="E616">
        <v>1.6129032258064498E-2</v>
      </c>
      <c r="F616" t="s">
        <v>235</v>
      </c>
    </row>
    <row r="617" spans="1:6" x14ac:dyDescent="0.2">
      <c r="A617" t="s">
        <v>17</v>
      </c>
      <c r="B617" t="s">
        <v>116</v>
      </c>
      <c r="C617">
        <v>124</v>
      </c>
      <c r="D617">
        <v>2.1561547465805102</v>
      </c>
      <c r="E617">
        <v>1.6129032258064498E-2</v>
      </c>
      <c r="F617" t="s">
        <v>235</v>
      </c>
    </row>
    <row r="618" spans="1:6" x14ac:dyDescent="0.2">
      <c r="A618" t="s">
        <v>187</v>
      </c>
      <c r="B618" t="s">
        <v>27</v>
      </c>
      <c r="C618">
        <v>124</v>
      </c>
      <c r="D618">
        <v>2.1561547465805102</v>
      </c>
      <c r="E618">
        <v>1.6129032258064498E-2</v>
      </c>
      <c r="F618" t="s">
        <v>235</v>
      </c>
    </row>
    <row r="619" spans="1:6" x14ac:dyDescent="0.2">
      <c r="A619" t="s">
        <v>117</v>
      </c>
      <c r="B619" t="s">
        <v>55</v>
      </c>
      <c r="C619">
        <v>124</v>
      </c>
      <c r="D619">
        <v>2.1561547465805102</v>
      </c>
      <c r="E619">
        <v>1.6129032258064498E-2</v>
      </c>
      <c r="F619" t="s">
        <v>235</v>
      </c>
    </row>
    <row r="620" spans="1:6" x14ac:dyDescent="0.2">
      <c r="A620" t="s">
        <v>94</v>
      </c>
      <c r="B620" t="s">
        <v>117</v>
      </c>
      <c r="C620">
        <v>124</v>
      </c>
      <c r="D620">
        <v>2.1561547465805102</v>
      </c>
      <c r="E620">
        <v>1.6129032258064498E-2</v>
      </c>
      <c r="F620" t="s">
        <v>235</v>
      </c>
    </row>
    <row r="621" spans="1:6" x14ac:dyDescent="0.2">
      <c r="A621" t="s">
        <v>68</v>
      </c>
      <c r="B621" t="s">
        <v>87</v>
      </c>
      <c r="C621">
        <v>124</v>
      </c>
      <c r="D621">
        <v>2.1561547465805102</v>
      </c>
      <c r="E621">
        <v>1.6129032258064498E-2</v>
      </c>
      <c r="F621" t="s">
        <v>235</v>
      </c>
    </row>
    <row r="622" spans="1:6" x14ac:dyDescent="0.2">
      <c r="A622" t="s">
        <v>87</v>
      </c>
      <c r="B622" t="s">
        <v>116</v>
      </c>
      <c r="C622">
        <v>124</v>
      </c>
      <c r="D622">
        <v>2.1561547465805102</v>
      </c>
      <c r="E622">
        <v>1.6129032258064498E-2</v>
      </c>
      <c r="F622" t="s">
        <v>235</v>
      </c>
    </row>
    <row r="623" spans="1:6" x14ac:dyDescent="0.2">
      <c r="A623" t="s">
        <v>119</v>
      </c>
      <c r="B623" t="s">
        <v>118</v>
      </c>
      <c r="C623">
        <v>124</v>
      </c>
      <c r="D623">
        <v>2.1561547465805102</v>
      </c>
      <c r="E623">
        <v>1.6129032258064498E-2</v>
      </c>
      <c r="F623" t="s">
        <v>235</v>
      </c>
    </row>
    <row r="624" spans="1:6" x14ac:dyDescent="0.2">
      <c r="A624" t="s">
        <v>94</v>
      </c>
      <c r="B624" t="s">
        <v>53</v>
      </c>
      <c r="C624">
        <v>124</v>
      </c>
      <c r="D624">
        <v>2.1561547465805102</v>
      </c>
      <c r="E624">
        <v>1.6129032258064498E-2</v>
      </c>
      <c r="F624" t="s">
        <v>235</v>
      </c>
    </row>
    <row r="625" spans="1:6" x14ac:dyDescent="0.2">
      <c r="A625" t="s">
        <v>57</v>
      </c>
      <c r="B625" t="s">
        <v>116</v>
      </c>
      <c r="C625">
        <v>124</v>
      </c>
      <c r="D625">
        <v>2.1561547465805102</v>
      </c>
      <c r="E625">
        <v>1.6129032258064498E-2</v>
      </c>
      <c r="F625" t="s">
        <v>235</v>
      </c>
    </row>
    <row r="626" spans="1:6" x14ac:dyDescent="0.2">
      <c r="A626" t="s">
        <v>189</v>
      </c>
      <c r="B626" t="s">
        <v>118</v>
      </c>
      <c r="C626">
        <v>124</v>
      </c>
      <c r="D626">
        <v>2.1561547465805102</v>
      </c>
      <c r="E626">
        <v>1.6129032258064498E-2</v>
      </c>
      <c r="F626" t="s">
        <v>235</v>
      </c>
    </row>
    <row r="627" spans="1:6" x14ac:dyDescent="0.2">
      <c r="A627" t="s">
        <v>106</v>
      </c>
      <c r="B627" t="s">
        <v>94</v>
      </c>
      <c r="C627">
        <v>124</v>
      </c>
      <c r="D627">
        <v>2.1561547465805102</v>
      </c>
      <c r="E627">
        <v>1.6129032258064498E-2</v>
      </c>
      <c r="F627" t="s">
        <v>235</v>
      </c>
    </row>
    <row r="628" spans="1:6" x14ac:dyDescent="0.2">
      <c r="A628" t="s">
        <v>187</v>
      </c>
      <c r="B628" t="s">
        <v>120</v>
      </c>
      <c r="C628">
        <v>124</v>
      </c>
      <c r="D628">
        <v>2.1561547465805102</v>
      </c>
      <c r="E628">
        <v>1.6129032258064498E-2</v>
      </c>
      <c r="F628" t="s">
        <v>235</v>
      </c>
    </row>
    <row r="629" spans="1:6" x14ac:dyDescent="0.2">
      <c r="A629" t="s">
        <v>83</v>
      </c>
      <c r="B629" t="s">
        <v>129</v>
      </c>
      <c r="C629">
        <v>152</v>
      </c>
      <c r="D629">
        <v>1.96510472120598</v>
      </c>
      <c r="E629">
        <v>1.3157894736842099E-2</v>
      </c>
      <c r="F629" t="s">
        <v>236</v>
      </c>
    </row>
    <row r="630" spans="1:6" x14ac:dyDescent="0.2">
      <c r="A630" t="s">
        <v>83</v>
      </c>
      <c r="B630" t="s">
        <v>65</v>
      </c>
      <c r="C630">
        <v>152</v>
      </c>
      <c r="D630">
        <v>1.96510472120598</v>
      </c>
      <c r="E630">
        <v>1.3157894736842099E-2</v>
      </c>
      <c r="F630" t="s">
        <v>236</v>
      </c>
    </row>
    <row r="631" spans="1:6" x14ac:dyDescent="0.2">
      <c r="A631" t="s">
        <v>32</v>
      </c>
      <c r="B631" t="s">
        <v>114</v>
      </c>
      <c r="C631">
        <v>156</v>
      </c>
      <c r="D631">
        <v>1.9407302477192201</v>
      </c>
      <c r="E631">
        <v>1.2820512820512799E-2</v>
      </c>
      <c r="F631" t="s">
        <v>237</v>
      </c>
    </row>
    <row r="632" spans="1:6" x14ac:dyDescent="0.2">
      <c r="A632" t="s">
        <v>62</v>
      </c>
      <c r="B632" t="s">
        <v>32</v>
      </c>
      <c r="C632">
        <v>156</v>
      </c>
      <c r="D632">
        <v>1.9407302477192201</v>
      </c>
      <c r="E632">
        <v>1.2820512820512799E-2</v>
      </c>
      <c r="F632" t="s">
        <v>237</v>
      </c>
    </row>
    <row r="633" spans="1:6" x14ac:dyDescent="0.2">
      <c r="A633" t="s">
        <v>107</v>
      </c>
      <c r="B633" t="s">
        <v>62</v>
      </c>
      <c r="C633">
        <v>156</v>
      </c>
      <c r="D633">
        <v>1.9407302477192201</v>
      </c>
      <c r="E633">
        <v>1.2820512820512799E-2</v>
      </c>
      <c r="F633" t="s">
        <v>237</v>
      </c>
    </row>
    <row r="634" spans="1:6" x14ac:dyDescent="0.2">
      <c r="A634" t="s">
        <v>62</v>
      </c>
      <c r="B634" t="s">
        <v>114</v>
      </c>
      <c r="C634">
        <v>156</v>
      </c>
      <c r="D634">
        <v>1.9407302477192201</v>
      </c>
      <c r="E634">
        <v>1.2820512820512799E-2</v>
      </c>
      <c r="F634" t="s">
        <v>237</v>
      </c>
    </row>
    <row r="635" spans="1:6" x14ac:dyDescent="0.2">
      <c r="A635" t="s">
        <v>83</v>
      </c>
      <c r="B635" t="s">
        <v>55</v>
      </c>
      <c r="C635">
        <v>263</v>
      </c>
      <c r="D635">
        <v>1.45062433928086</v>
      </c>
      <c r="E635">
        <v>7.6045627376425898E-3</v>
      </c>
      <c r="F635" t="s">
        <v>238</v>
      </c>
    </row>
    <row r="636" spans="1:6" x14ac:dyDescent="0.2">
      <c r="A636" t="s">
        <v>38</v>
      </c>
      <c r="B636" t="s">
        <v>55</v>
      </c>
      <c r="C636">
        <v>263</v>
      </c>
      <c r="D636">
        <v>1.45062433928086</v>
      </c>
      <c r="E636">
        <v>7.6045627376425898E-3</v>
      </c>
      <c r="F636" t="s">
        <v>238</v>
      </c>
    </row>
    <row r="637" spans="1:6" x14ac:dyDescent="0.2">
      <c r="A637" t="s">
        <v>38</v>
      </c>
      <c r="B637" t="s">
        <v>73</v>
      </c>
      <c r="C637">
        <v>264</v>
      </c>
      <c r="D637">
        <v>1.44706317952942</v>
      </c>
      <c r="E637">
        <v>7.5757575757575803E-3</v>
      </c>
      <c r="F637" t="s">
        <v>239</v>
      </c>
    </row>
    <row r="638" spans="1:6" x14ac:dyDescent="0.2">
      <c r="A638" t="s">
        <v>127</v>
      </c>
      <c r="B638" t="s">
        <v>178</v>
      </c>
      <c r="C638">
        <v>289</v>
      </c>
      <c r="D638">
        <v>1.36216222862266</v>
      </c>
      <c r="E638">
        <v>6.9204152249135002E-3</v>
      </c>
      <c r="F638" t="s">
        <v>240</v>
      </c>
    </row>
    <row r="639" spans="1:6" x14ac:dyDescent="0.2">
      <c r="A639" t="s">
        <v>38</v>
      </c>
      <c r="B639" t="s">
        <v>127</v>
      </c>
      <c r="C639">
        <v>289</v>
      </c>
      <c r="D639">
        <v>1.36216222862266</v>
      </c>
      <c r="E639">
        <v>6.9204152249135002E-3</v>
      </c>
      <c r="F639" t="s">
        <v>240</v>
      </c>
    </row>
    <row r="640" spans="1:6" x14ac:dyDescent="0.2">
      <c r="A640" t="s">
        <v>83</v>
      </c>
      <c r="B640" t="s">
        <v>97</v>
      </c>
      <c r="C640">
        <v>314</v>
      </c>
      <c r="D640">
        <v>1.2843096027074601</v>
      </c>
      <c r="E640">
        <v>6.3694267515923596E-3</v>
      </c>
      <c r="F640" t="s">
        <v>241</v>
      </c>
    </row>
    <row r="641" spans="1:6" x14ac:dyDescent="0.2">
      <c r="A641" t="s">
        <v>97</v>
      </c>
      <c r="B641" t="s">
        <v>76</v>
      </c>
      <c r="C641">
        <v>314</v>
      </c>
      <c r="D641">
        <v>1.2843096027074601</v>
      </c>
      <c r="E641">
        <v>6.3694267515923596E-3</v>
      </c>
      <c r="F641" t="s">
        <v>241</v>
      </c>
    </row>
    <row r="642" spans="1:6" x14ac:dyDescent="0.2">
      <c r="A642" t="s">
        <v>81</v>
      </c>
      <c r="B642" t="s">
        <v>33</v>
      </c>
      <c r="C642">
        <v>394</v>
      </c>
      <c r="D642">
        <v>1.0713403516070501</v>
      </c>
      <c r="E642">
        <v>5.0761421319797002E-3</v>
      </c>
      <c r="F642" t="s">
        <v>242</v>
      </c>
    </row>
    <row r="643" spans="1:6" x14ac:dyDescent="0.2">
      <c r="A643" t="s">
        <v>81</v>
      </c>
      <c r="B643" t="s">
        <v>61</v>
      </c>
      <c r="C643">
        <v>394</v>
      </c>
      <c r="D643">
        <v>1.0713403516070501</v>
      </c>
      <c r="E643">
        <v>5.0761421319797002E-3</v>
      </c>
      <c r="F643" t="s">
        <v>242</v>
      </c>
    </row>
    <row r="644" spans="1:6" x14ac:dyDescent="0.2">
      <c r="A644" t="s">
        <v>92</v>
      </c>
      <c r="B644" t="s">
        <v>61</v>
      </c>
      <c r="C644">
        <v>394</v>
      </c>
      <c r="D644">
        <v>1.0713403516070501</v>
      </c>
      <c r="E644">
        <v>5.0761421319797002E-3</v>
      </c>
      <c r="F644" t="s">
        <v>242</v>
      </c>
    </row>
    <row r="645" spans="1:6" x14ac:dyDescent="0.2">
      <c r="A645" t="s">
        <v>33</v>
      </c>
      <c r="B645" t="s">
        <v>61</v>
      </c>
      <c r="C645">
        <v>394</v>
      </c>
      <c r="D645">
        <v>1.0713403516070501</v>
      </c>
      <c r="E645">
        <v>5.0761421319797002E-3</v>
      </c>
      <c r="F645" t="s">
        <v>242</v>
      </c>
    </row>
    <row r="646" spans="1:6" x14ac:dyDescent="0.2">
      <c r="A646" t="s">
        <v>81</v>
      </c>
      <c r="B646" t="s">
        <v>92</v>
      </c>
      <c r="C646">
        <v>394</v>
      </c>
      <c r="D646">
        <v>1.0713403516070501</v>
      </c>
      <c r="E646">
        <v>5.0761421319797002E-3</v>
      </c>
      <c r="F646" t="s">
        <v>242</v>
      </c>
    </row>
    <row r="647" spans="1:6" x14ac:dyDescent="0.2">
      <c r="A647" t="s">
        <v>33</v>
      </c>
      <c r="B647" t="s">
        <v>92</v>
      </c>
      <c r="C647">
        <v>394</v>
      </c>
      <c r="D647">
        <v>1.0713403516070501</v>
      </c>
      <c r="E647">
        <v>5.0761421319797002E-3</v>
      </c>
      <c r="F647" t="s">
        <v>242</v>
      </c>
    </row>
    <row r="648" spans="1:6" x14ac:dyDescent="0.2">
      <c r="A648" t="s">
        <v>58</v>
      </c>
      <c r="B648" t="s">
        <v>34</v>
      </c>
      <c r="C648">
        <v>424</v>
      </c>
      <c r="D648">
        <v>1.00248077791164</v>
      </c>
      <c r="E648">
        <v>4.7169811320754698E-3</v>
      </c>
      <c r="F648" t="s">
        <v>243</v>
      </c>
    </row>
    <row r="649" spans="1:6" x14ac:dyDescent="0.2">
      <c r="A649" t="s">
        <v>125</v>
      </c>
      <c r="B649" t="s">
        <v>34</v>
      </c>
      <c r="C649">
        <v>424</v>
      </c>
      <c r="D649">
        <v>1.00248077791164</v>
      </c>
      <c r="E649">
        <v>4.7169811320754698E-3</v>
      </c>
      <c r="F649" t="s">
        <v>243</v>
      </c>
    </row>
    <row r="650" spans="1:6" x14ac:dyDescent="0.2">
      <c r="A650" t="s">
        <v>37</v>
      </c>
      <c r="B650" t="s">
        <v>34</v>
      </c>
      <c r="C650">
        <v>424</v>
      </c>
      <c r="D650">
        <v>1.00248077791164</v>
      </c>
      <c r="E650">
        <v>4.7169811320754698E-3</v>
      </c>
      <c r="F650" t="s">
        <v>243</v>
      </c>
    </row>
    <row r="651" spans="1:6" x14ac:dyDescent="0.2">
      <c r="A651" t="s">
        <v>175</v>
      </c>
      <c r="B651" t="s">
        <v>34</v>
      </c>
      <c r="C651">
        <v>424</v>
      </c>
      <c r="D651">
        <v>1.00248077791164</v>
      </c>
      <c r="E651">
        <v>4.7169811320754698E-3</v>
      </c>
      <c r="F651" t="s">
        <v>243</v>
      </c>
    </row>
    <row r="652" spans="1:6" x14ac:dyDescent="0.2">
      <c r="A652" t="s">
        <v>37</v>
      </c>
      <c r="B652" t="s">
        <v>125</v>
      </c>
      <c r="C652">
        <v>424</v>
      </c>
      <c r="D652">
        <v>1.00248077791164</v>
      </c>
      <c r="E652">
        <v>4.7169811320754698E-3</v>
      </c>
      <c r="F652" t="s">
        <v>243</v>
      </c>
    </row>
    <row r="653" spans="1:6" x14ac:dyDescent="0.2">
      <c r="A653" t="s">
        <v>60</v>
      </c>
      <c r="B653" t="s">
        <v>34</v>
      </c>
      <c r="C653">
        <v>424</v>
      </c>
      <c r="D653">
        <v>1.00248077791164</v>
      </c>
      <c r="E653">
        <v>4.7169811320754698E-3</v>
      </c>
      <c r="F653" t="s">
        <v>243</v>
      </c>
    </row>
    <row r="654" spans="1:6" x14ac:dyDescent="0.2">
      <c r="A654" t="s">
        <v>58</v>
      </c>
      <c r="B654" t="s">
        <v>60</v>
      </c>
      <c r="C654">
        <v>424</v>
      </c>
      <c r="D654">
        <v>1.00248077791164</v>
      </c>
      <c r="E654">
        <v>4.7169811320754698E-3</v>
      </c>
      <c r="F654" t="s">
        <v>243</v>
      </c>
    </row>
    <row r="655" spans="1:6" x14ac:dyDescent="0.2">
      <c r="A655" t="s">
        <v>60</v>
      </c>
      <c r="B655" t="s">
        <v>37</v>
      </c>
      <c r="C655">
        <v>424</v>
      </c>
      <c r="D655">
        <v>1.00248077791164</v>
      </c>
      <c r="E655">
        <v>4.7169811320754698E-3</v>
      </c>
      <c r="F655" t="s">
        <v>243</v>
      </c>
    </row>
    <row r="656" spans="1:6" x14ac:dyDescent="0.2">
      <c r="A656" t="s">
        <v>60</v>
      </c>
      <c r="B656" t="s">
        <v>125</v>
      </c>
      <c r="C656">
        <v>424</v>
      </c>
      <c r="D656">
        <v>1.00248077791164</v>
      </c>
      <c r="E656">
        <v>4.7169811320754698E-3</v>
      </c>
      <c r="F656" t="s">
        <v>243</v>
      </c>
    </row>
    <row r="657" spans="1:6" x14ac:dyDescent="0.2">
      <c r="A657" t="s">
        <v>58</v>
      </c>
      <c r="B657" t="s">
        <v>175</v>
      </c>
      <c r="C657">
        <v>424</v>
      </c>
      <c r="D657">
        <v>1.00248077791164</v>
      </c>
      <c r="E657">
        <v>4.7169811320754698E-3</v>
      </c>
      <c r="F657" t="s">
        <v>243</v>
      </c>
    </row>
    <row r="658" spans="1:6" x14ac:dyDescent="0.2">
      <c r="A658" t="s">
        <v>17</v>
      </c>
      <c r="B658" t="s">
        <v>34</v>
      </c>
      <c r="C658">
        <v>424</v>
      </c>
      <c r="D658">
        <v>1.00248077791164</v>
      </c>
      <c r="E658">
        <v>4.7169811320754698E-3</v>
      </c>
      <c r="F658" t="s">
        <v>243</v>
      </c>
    </row>
    <row r="659" spans="1:6" x14ac:dyDescent="0.2">
      <c r="A659" t="s">
        <v>175</v>
      </c>
      <c r="B659" t="s">
        <v>125</v>
      </c>
      <c r="C659">
        <v>424</v>
      </c>
      <c r="D659">
        <v>1.00248077791164</v>
      </c>
      <c r="E659">
        <v>4.7169811320754698E-3</v>
      </c>
      <c r="F659" t="s">
        <v>243</v>
      </c>
    </row>
    <row r="660" spans="1:6" x14ac:dyDescent="0.2">
      <c r="A660" t="s">
        <v>58</v>
      </c>
      <c r="B660" t="s">
        <v>37</v>
      </c>
      <c r="C660">
        <v>424</v>
      </c>
      <c r="D660">
        <v>1.00248077791164</v>
      </c>
      <c r="E660">
        <v>4.7169811320754698E-3</v>
      </c>
      <c r="F660" t="s">
        <v>243</v>
      </c>
    </row>
    <row r="661" spans="1:6" x14ac:dyDescent="0.2">
      <c r="A661" t="s">
        <v>177</v>
      </c>
      <c r="B661" t="s">
        <v>37</v>
      </c>
      <c r="C661">
        <v>424</v>
      </c>
      <c r="D661">
        <v>1.00248077791164</v>
      </c>
      <c r="E661">
        <v>4.7169811320754698E-3</v>
      </c>
      <c r="F661" t="s">
        <v>243</v>
      </c>
    </row>
    <row r="662" spans="1:6" x14ac:dyDescent="0.2">
      <c r="A662" t="s">
        <v>17</v>
      </c>
      <c r="B662" t="s">
        <v>37</v>
      </c>
      <c r="C662">
        <v>424</v>
      </c>
      <c r="D662">
        <v>1.00248077791164</v>
      </c>
      <c r="E662">
        <v>4.7169811320754698E-3</v>
      </c>
      <c r="F662" t="s">
        <v>243</v>
      </c>
    </row>
    <row r="663" spans="1:6" x14ac:dyDescent="0.2">
      <c r="A663" t="s">
        <v>177</v>
      </c>
      <c r="B663" t="s">
        <v>34</v>
      </c>
      <c r="C663">
        <v>424</v>
      </c>
      <c r="D663">
        <v>1.00248077791164</v>
      </c>
      <c r="E663">
        <v>4.7169811320754698E-3</v>
      </c>
      <c r="F663" t="s">
        <v>243</v>
      </c>
    </row>
    <row r="664" spans="1:6" x14ac:dyDescent="0.2">
      <c r="A664" t="s">
        <v>175</v>
      </c>
      <c r="B664" t="s">
        <v>37</v>
      </c>
      <c r="C664">
        <v>424</v>
      </c>
      <c r="D664">
        <v>1.00248077791164</v>
      </c>
      <c r="E664">
        <v>4.7169811320754698E-3</v>
      </c>
      <c r="F664" t="s">
        <v>243</v>
      </c>
    </row>
    <row r="665" spans="1:6" x14ac:dyDescent="0.2">
      <c r="A665" t="s">
        <v>187</v>
      </c>
      <c r="B665" t="s">
        <v>97</v>
      </c>
      <c r="C665">
        <v>449</v>
      </c>
      <c r="D665">
        <v>0.948722410036832</v>
      </c>
      <c r="E665">
        <v>4.4543429844098002E-3</v>
      </c>
      <c r="F665" t="s">
        <v>244</v>
      </c>
    </row>
    <row r="666" spans="1:6" x14ac:dyDescent="0.2">
      <c r="A666" t="s">
        <v>187</v>
      </c>
      <c r="B666" t="s">
        <v>129</v>
      </c>
      <c r="C666">
        <v>449</v>
      </c>
      <c r="D666">
        <v>0.948722410036832</v>
      </c>
      <c r="E666">
        <v>4.4543429844098002E-3</v>
      </c>
      <c r="F666" t="s">
        <v>244</v>
      </c>
    </row>
    <row r="667" spans="1:6" x14ac:dyDescent="0.2">
      <c r="A667" t="s">
        <v>91</v>
      </c>
      <c r="B667" t="s">
        <v>18</v>
      </c>
      <c r="C667">
        <v>463</v>
      </c>
      <c r="D667">
        <v>0.91991071131190105</v>
      </c>
      <c r="E667">
        <v>4.3196544276457903E-3</v>
      </c>
      <c r="F667" t="s">
        <v>245</v>
      </c>
    </row>
    <row r="668" spans="1:6" x14ac:dyDescent="0.2">
      <c r="A668" t="s">
        <v>59</v>
      </c>
      <c r="B668" t="s">
        <v>67</v>
      </c>
      <c r="C668">
        <v>463</v>
      </c>
      <c r="D668">
        <v>0.91991071131190105</v>
      </c>
      <c r="E668">
        <v>4.3196544276457903E-3</v>
      </c>
      <c r="F668" t="s">
        <v>245</v>
      </c>
    </row>
    <row r="669" spans="1:6" x14ac:dyDescent="0.2">
      <c r="A669" t="s">
        <v>91</v>
      </c>
      <c r="B669" t="s">
        <v>110</v>
      </c>
      <c r="C669">
        <v>463</v>
      </c>
      <c r="D669">
        <v>0.91991071131190105</v>
      </c>
      <c r="E669">
        <v>4.3196544276457903E-3</v>
      </c>
      <c r="F669" t="s">
        <v>245</v>
      </c>
    </row>
    <row r="670" spans="1:6" x14ac:dyDescent="0.2">
      <c r="A670" t="s">
        <v>81</v>
      </c>
      <c r="B670" t="s">
        <v>36</v>
      </c>
      <c r="C670">
        <v>463</v>
      </c>
      <c r="D670">
        <v>0.91991071131190105</v>
      </c>
      <c r="E670">
        <v>4.3196544276457903E-3</v>
      </c>
      <c r="F670" t="s">
        <v>245</v>
      </c>
    </row>
    <row r="671" spans="1:6" x14ac:dyDescent="0.2">
      <c r="A671" t="s">
        <v>212</v>
      </c>
      <c r="B671" t="s">
        <v>55</v>
      </c>
      <c r="C671">
        <v>463</v>
      </c>
      <c r="D671">
        <v>0.91991071131190105</v>
      </c>
      <c r="E671">
        <v>4.3196544276457903E-3</v>
      </c>
      <c r="F671" t="s">
        <v>245</v>
      </c>
    </row>
    <row r="672" spans="1:6" x14ac:dyDescent="0.2">
      <c r="A672" t="s">
        <v>38</v>
      </c>
      <c r="B672" t="s">
        <v>81</v>
      </c>
      <c r="C672">
        <v>463</v>
      </c>
      <c r="D672">
        <v>0.91991071131190105</v>
      </c>
      <c r="E672">
        <v>4.3196544276457903E-3</v>
      </c>
      <c r="F672" t="s">
        <v>245</v>
      </c>
    </row>
    <row r="673" spans="1:6" x14ac:dyDescent="0.2">
      <c r="A673" t="s">
        <v>81</v>
      </c>
      <c r="B673" t="s">
        <v>67</v>
      </c>
      <c r="C673">
        <v>463</v>
      </c>
      <c r="D673">
        <v>0.91991071131190105</v>
      </c>
      <c r="E673">
        <v>4.3196544276457903E-3</v>
      </c>
      <c r="F673" t="s">
        <v>245</v>
      </c>
    </row>
    <row r="674" spans="1:6" x14ac:dyDescent="0.2">
      <c r="A674" t="s">
        <v>48</v>
      </c>
      <c r="B674" t="s">
        <v>45</v>
      </c>
      <c r="C674">
        <v>463</v>
      </c>
      <c r="D674">
        <v>0.91991071131190105</v>
      </c>
      <c r="E674">
        <v>4.3196544276457903E-3</v>
      </c>
      <c r="F674" t="s">
        <v>245</v>
      </c>
    </row>
    <row r="675" spans="1:6" x14ac:dyDescent="0.2">
      <c r="A675" t="s">
        <v>27</v>
      </c>
      <c r="B675" t="s">
        <v>212</v>
      </c>
      <c r="C675">
        <v>463</v>
      </c>
      <c r="D675">
        <v>0.91991071131190105</v>
      </c>
      <c r="E675">
        <v>4.3196544276457903E-3</v>
      </c>
      <c r="F675" t="s">
        <v>245</v>
      </c>
    </row>
    <row r="676" spans="1:6" x14ac:dyDescent="0.2">
      <c r="A676" t="s">
        <v>48</v>
      </c>
      <c r="B676" t="s">
        <v>27</v>
      </c>
      <c r="C676">
        <v>463</v>
      </c>
      <c r="D676">
        <v>0.91991071131190105</v>
      </c>
      <c r="E676">
        <v>4.3196544276457903E-3</v>
      </c>
      <c r="F676" t="s">
        <v>245</v>
      </c>
    </row>
    <row r="677" spans="1:6" x14ac:dyDescent="0.2">
      <c r="A677" t="s">
        <v>45</v>
      </c>
      <c r="B677" t="s">
        <v>97</v>
      </c>
      <c r="C677">
        <v>463</v>
      </c>
      <c r="D677">
        <v>0.91991071131190105</v>
      </c>
      <c r="E677">
        <v>4.3196544276457903E-3</v>
      </c>
      <c r="F677" t="s">
        <v>245</v>
      </c>
    </row>
    <row r="678" spans="1:6" x14ac:dyDescent="0.2">
      <c r="A678" t="s">
        <v>45</v>
      </c>
      <c r="B678" t="s">
        <v>91</v>
      </c>
      <c r="C678">
        <v>463</v>
      </c>
      <c r="D678">
        <v>0.91991071131190105</v>
      </c>
      <c r="E678">
        <v>4.3196544276457903E-3</v>
      </c>
      <c r="F678" t="s">
        <v>245</v>
      </c>
    </row>
    <row r="679" spans="1:6" x14ac:dyDescent="0.2">
      <c r="A679" t="s">
        <v>27</v>
      </c>
      <c r="B679" t="s">
        <v>97</v>
      </c>
      <c r="C679">
        <v>463</v>
      </c>
      <c r="D679">
        <v>0.91991071131190105</v>
      </c>
      <c r="E679">
        <v>4.3196544276457903E-3</v>
      </c>
      <c r="F679" t="s">
        <v>245</v>
      </c>
    </row>
    <row r="680" spans="1:6" x14ac:dyDescent="0.2">
      <c r="A680" t="s">
        <v>83</v>
      </c>
      <c r="B680" t="s">
        <v>35</v>
      </c>
      <c r="C680">
        <v>463</v>
      </c>
      <c r="D680">
        <v>0.91991071131190105</v>
      </c>
      <c r="E680">
        <v>4.3196544276457903E-3</v>
      </c>
      <c r="F680" t="s">
        <v>245</v>
      </c>
    </row>
    <row r="681" spans="1:6" x14ac:dyDescent="0.2">
      <c r="A681" t="s">
        <v>94</v>
      </c>
      <c r="B681" t="s">
        <v>178</v>
      </c>
      <c r="C681">
        <v>463</v>
      </c>
      <c r="D681">
        <v>0.91991071131190105</v>
      </c>
      <c r="E681">
        <v>4.3196544276457903E-3</v>
      </c>
      <c r="F681" t="s">
        <v>245</v>
      </c>
    </row>
    <row r="682" spans="1:6" x14ac:dyDescent="0.2">
      <c r="A682" t="s">
        <v>35</v>
      </c>
      <c r="B682" t="s">
        <v>91</v>
      </c>
      <c r="C682">
        <v>463</v>
      </c>
      <c r="D682">
        <v>0.91991071131190105</v>
      </c>
      <c r="E682">
        <v>4.3196544276457903E-3</v>
      </c>
      <c r="F682" t="s">
        <v>245</v>
      </c>
    </row>
    <row r="683" spans="1:6" x14ac:dyDescent="0.2">
      <c r="A683" t="s">
        <v>94</v>
      </c>
      <c r="B683" t="s">
        <v>97</v>
      </c>
      <c r="C683">
        <v>463</v>
      </c>
      <c r="D683">
        <v>0.91991071131190105</v>
      </c>
      <c r="E683">
        <v>4.3196544276457903E-3</v>
      </c>
      <c r="F683" t="s">
        <v>245</v>
      </c>
    </row>
    <row r="684" spans="1:6" x14ac:dyDescent="0.2">
      <c r="A684" t="s">
        <v>119</v>
      </c>
      <c r="B684" t="s">
        <v>59</v>
      </c>
      <c r="C684">
        <v>463</v>
      </c>
      <c r="D684">
        <v>0.91991071131190105</v>
      </c>
      <c r="E684">
        <v>4.3196544276457903E-3</v>
      </c>
      <c r="F684" t="s">
        <v>245</v>
      </c>
    </row>
    <row r="685" spans="1:6" x14ac:dyDescent="0.2">
      <c r="A685" t="s">
        <v>83</v>
      </c>
      <c r="B685" t="s">
        <v>94</v>
      </c>
      <c r="C685">
        <v>463</v>
      </c>
      <c r="D685">
        <v>0.91991071131190105</v>
      </c>
      <c r="E685">
        <v>4.3196544276457903E-3</v>
      </c>
      <c r="F685" t="s">
        <v>245</v>
      </c>
    </row>
    <row r="686" spans="1:6" x14ac:dyDescent="0.2">
      <c r="A686" t="s">
        <v>85</v>
      </c>
      <c r="B686" t="s">
        <v>178</v>
      </c>
      <c r="C686">
        <v>463</v>
      </c>
      <c r="D686">
        <v>0.91991071131190105</v>
      </c>
      <c r="E686">
        <v>4.3196544276457903E-3</v>
      </c>
      <c r="F686" t="s">
        <v>245</v>
      </c>
    </row>
    <row r="687" spans="1:6" x14ac:dyDescent="0.2">
      <c r="A687" t="s">
        <v>178</v>
      </c>
      <c r="B687" t="s">
        <v>55</v>
      </c>
      <c r="C687">
        <v>463</v>
      </c>
      <c r="D687">
        <v>0.91991071131190105</v>
      </c>
      <c r="E687">
        <v>4.3196544276457903E-3</v>
      </c>
      <c r="F687" t="s">
        <v>245</v>
      </c>
    </row>
    <row r="688" spans="1:6" x14ac:dyDescent="0.2">
      <c r="A688" t="s">
        <v>81</v>
      </c>
      <c r="B688" t="s">
        <v>97</v>
      </c>
      <c r="C688">
        <v>463</v>
      </c>
      <c r="D688">
        <v>0.91991071131190105</v>
      </c>
      <c r="E688">
        <v>4.3196544276457903E-3</v>
      </c>
      <c r="F688" t="s">
        <v>245</v>
      </c>
    </row>
    <row r="689" spans="1:6" x14ac:dyDescent="0.2">
      <c r="A689" t="s">
        <v>36</v>
      </c>
      <c r="B689" t="s">
        <v>55</v>
      </c>
      <c r="C689">
        <v>463</v>
      </c>
      <c r="D689">
        <v>0.91991071131190105</v>
      </c>
      <c r="E689">
        <v>4.3196544276457903E-3</v>
      </c>
      <c r="F689" t="s">
        <v>245</v>
      </c>
    </row>
    <row r="690" spans="1:6" x14ac:dyDescent="0.2">
      <c r="A690" t="s">
        <v>119</v>
      </c>
      <c r="B690" t="s">
        <v>83</v>
      </c>
      <c r="C690">
        <v>463</v>
      </c>
      <c r="D690">
        <v>0.91991071131190105</v>
      </c>
      <c r="E690">
        <v>4.3196544276457903E-3</v>
      </c>
      <c r="F690" t="s">
        <v>245</v>
      </c>
    </row>
    <row r="691" spans="1:6" x14ac:dyDescent="0.2">
      <c r="A691" t="s">
        <v>57</v>
      </c>
      <c r="B691" t="s">
        <v>36</v>
      </c>
      <c r="C691">
        <v>463</v>
      </c>
      <c r="D691">
        <v>0.91991071131190105</v>
      </c>
      <c r="E691">
        <v>4.3196544276457903E-3</v>
      </c>
      <c r="F691" t="s">
        <v>245</v>
      </c>
    </row>
    <row r="692" spans="1:6" x14ac:dyDescent="0.2">
      <c r="A692" t="s">
        <v>119</v>
      </c>
      <c r="B692" t="s">
        <v>67</v>
      </c>
      <c r="C692">
        <v>463</v>
      </c>
      <c r="D692">
        <v>0.91991071131190105</v>
      </c>
      <c r="E692">
        <v>4.3196544276457903E-3</v>
      </c>
      <c r="F692" t="s">
        <v>245</v>
      </c>
    </row>
    <row r="693" spans="1:6" x14ac:dyDescent="0.2">
      <c r="A693" t="s">
        <v>59</v>
      </c>
      <c r="B693" t="s">
        <v>110</v>
      </c>
      <c r="C693">
        <v>463</v>
      </c>
      <c r="D693">
        <v>0.91991071131190105</v>
      </c>
      <c r="E693">
        <v>4.3196544276457903E-3</v>
      </c>
      <c r="F693" t="s">
        <v>245</v>
      </c>
    </row>
    <row r="694" spans="1:6" x14ac:dyDescent="0.2">
      <c r="A694" t="s">
        <v>81</v>
      </c>
      <c r="B694" t="s">
        <v>18</v>
      </c>
      <c r="C694">
        <v>463</v>
      </c>
      <c r="D694">
        <v>0.91991071131190105</v>
      </c>
      <c r="E694">
        <v>4.3196544276457903E-3</v>
      </c>
      <c r="F694" t="s">
        <v>245</v>
      </c>
    </row>
    <row r="695" spans="1:6" x14ac:dyDescent="0.2">
      <c r="A695" t="s">
        <v>178</v>
      </c>
      <c r="B695" t="s">
        <v>110</v>
      </c>
      <c r="C695">
        <v>463</v>
      </c>
      <c r="D695">
        <v>0.91991071131190105</v>
      </c>
      <c r="E695">
        <v>4.3196544276457903E-3</v>
      </c>
      <c r="F695" t="s">
        <v>245</v>
      </c>
    </row>
    <row r="696" spans="1:6" x14ac:dyDescent="0.2">
      <c r="A696" t="s">
        <v>27</v>
      </c>
      <c r="B696" t="s">
        <v>91</v>
      </c>
      <c r="C696">
        <v>463</v>
      </c>
      <c r="D696">
        <v>0.91991071131190105</v>
      </c>
      <c r="E696">
        <v>4.3196544276457903E-3</v>
      </c>
      <c r="F696" t="s">
        <v>245</v>
      </c>
    </row>
    <row r="697" spans="1:6" x14ac:dyDescent="0.2">
      <c r="A697" t="s">
        <v>45</v>
      </c>
      <c r="B697" t="s">
        <v>110</v>
      </c>
      <c r="C697">
        <v>463</v>
      </c>
      <c r="D697">
        <v>0.91991071131190105</v>
      </c>
      <c r="E697">
        <v>4.3196544276457903E-3</v>
      </c>
      <c r="F697" t="s">
        <v>245</v>
      </c>
    </row>
    <row r="698" spans="1:6" x14ac:dyDescent="0.2">
      <c r="A698" t="s">
        <v>94</v>
      </c>
      <c r="B698" t="s">
        <v>91</v>
      </c>
      <c r="C698">
        <v>463</v>
      </c>
      <c r="D698">
        <v>0.91991071131190105</v>
      </c>
      <c r="E698">
        <v>4.3196544276457903E-3</v>
      </c>
      <c r="F698" t="s">
        <v>245</v>
      </c>
    </row>
    <row r="699" spans="1:6" x14ac:dyDescent="0.2">
      <c r="A699" t="s">
        <v>67</v>
      </c>
      <c r="B699" t="s">
        <v>212</v>
      </c>
      <c r="C699">
        <v>463</v>
      </c>
      <c r="D699">
        <v>0.91991071131190105</v>
      </c>
      <c r="E699">
        <v>4.3196544276457903E-3</v>
      </c>
      <c r="F699" t="s">
        <v>245</v>
      </c>
    </row>
    <row r="700" spans="1:6" x14ac:dyDescent="0.2">
      <c r="A700" t="s">
        <v>85</v>
      </c>
      <c r="B700" t="s">
        <v>35</v>
      </c>
      <c r="C700">
        <v>463</v>
      </c>
      <c r="D700">
        <v>0.91991071131190105</v>
      </c>
      <c r="E700">
        <v>4.3196544276457903E-3</v>
      </c>
      <c r="F700" t="s">
        <v>245</v>
      </c>
    </row>
    <row r="701" spans="1:6" x14ac:dyDescent="0.2">
      <c r="A701" t="s">
        <v>85</v>
      </c>
      <c r="B701" t="s">
        <v>110</v>
      </c>
      <c r="C701">
        <v>463</v>
      </c>
      <c r="D701">
        <v>0.91991071131190105</v>
      </c>
      <c r="E701">
        <v>4.3196544276457903E-3</v>
      </c>
      <c r="F701" t="s">
        <v>245</v>
      </c>
    </row>
    <row r="702" spans="1:6" x14ac:dyDescent="0.2">
      <c r="A702" t="s">
        <v>81</v>
      </c>
      <c r="B702" t="s">
        <v>55</v>
      </c>
      <c r="C702">
        <v>463</v>
      </c>
      <c r="D702">
        <v>0.91991071131190105</v>
      </c>
      <c r="E702">
        <v>4.3196544276457903E-3</v>
      </c>
      <c r="F702" t="s">
        <v>245</v>
      </c>
    </row>
    <row r="703" spans="1:6" x14ac:dyDescent="0.2">
      <c r="A703" t="s">
        <v>91</v>
      </c>
      <c r="B703" t="s">
        <v>55</v>
      </c>
      <c r="C703">
        <v>463</v>
      </c>
      <c r="D703">
        <v>0.91991071131190105</v>
      </c>
      <c r="E703">
        <v>4.3196544276457903E-3</v>
      </c>
      <c r="F703" t="s">
        <v>245</v>
      </c>
    </row>
    <row r="704" spans="1:6" x14ac:dyDescent="0.2">
      <c r="A704" t="s">
        <v>85</v>
      </c>
      <c r="B704" t="s">
        <v>212</v>
      </c>
      <c r="C704">
        <v>463</v>
      </c>
      <c r="D704">
        <v>0.91991071131190105</v>
      </c>
      <c r="E704">
        <v>4.3196544276457903E-3</v>
      </c>
      <c r="F704" t="s">
        <v>245</v>
      </c>
    </row>
    <row r="705" spans="1:6" x14ac:dyDescent="0.2">
      <c r="A705" t="s">
        <v>36</v>
      </c>
      <c r="B705" t="s">
        <v>35</v>
      </c>
      <c r="C705">
        <v>463</v>
      </c>
      <c r="D705">
        <v>0.91991071131190105</v>
      </c>
      <c r="E705">
        <v>4.3196544276457903E-3</v>
      </c>
      <c r="F705" t="s">
        <v>245</v>
      </c>
    </row>
    <row r="706" spans="1:6" x14ac:dyDescent="0.2">
      <c r="A706" t="s">
        <v>38</v>
      </c>
      <c r="B706" t="s">
        <v>18</v>
      </c>
      <c r="C706">
        <v>463</v>
      </c>
      <c r="D706">
        <v>0.91991071131190105</v>
      </c>
      <c r="E706">
        <v>4.3196544276457903E-3</v>
      </c>
      <c r="F706" t="s">
        <v>245</v>
      </c>
    </row>
    <row r="707" spans="1:6" x14ac:dyDescent="0.2">
      <c r="A707" t="s">
        <v>36</v>
      </c>
      <c r="B707" t="s">
        <v>110</v>
      </c>
      <c r="C707">
        <v>463</v>
      </c>
      <c r="D707">
        <v>0.91991071131190105</v>
      </c>
      <c r="E707">
        <v>4.3196544276457903E-3</v>
      </c>
      <c r="F707" t="s">
        <v>245</v>
      </c>
    </row>
    <row r="708" spans="1:6" x14ac:dyDescent="0.2">
      <c r="A708" t="s">
        <v>59</v>
      </c>
      <c r="B708" t="s">
        <v>48</v>
      </c>
      <c r="C708">
        <v>463</v>
      </c>
      <c r="D708">
        <v>0.91991071131190105</v>
      </c>
      <c r="E708">
        <v>4.3196544276457903E-3</v>
      </c>
      <c r="F708" t="s">
        <v>245</v>
      </c>
    </row>
    <row r="709" spans="1:6" x14ac:dyDescent="0.2">
      <c r="A709" t="s">
        <v>97</v>
      </c>
      <c r="B709" t="s">
        <v>55</v>
      </c>
      <c r="C709">
        <v>463</v>
      </c>
      <c r="D709">
        <v>0.91991071131190105</v>
      </c>
      <c r="E709">
        <v>4.3196544276457903E-3</v>
      </c>
      <c r="F709" t="s">
        <v>245</v>
      </c>
    </row>
    <row r="710" spans="1:6" x14ac:dyDescent="0.2">
      <c r="A710" t="s">
        <v>57</v>
      </c>
      <c r="B710" t="s">
        <v>59</v>
      </c>
      <c r="C710">
        <v>463</v>
      </c>
      <c r="D710">
        <v>0.91991071131190105</v>
      </c>
      <c r="E710">
        <v>4.3196544276457903E-3</v>
      </c>
      <c r="F710" t="s">
        <v>245</v>
      </c>
    </row>
    <row r="711" spans="1:6" x14ac:dyDescent="0.2">
      <c r="A711" t="s">
        <v>48</v>
      </c>
      <c r="B711" t="s">
        <v>67</v>
      </c>
      <c r="C711">
        <v>463</v>
      </c>
      <c r="D711">
        <v>0.91991071131190105</v>
      </c>
      <c r="E711">
        <v>4.3196544276457903E-3</v>
      </c>
      <c r="F711" t="s">
        <v>245</v>
      </c>
    </row>
    <row r="712" spans="1:6" x14ac:dyDescent="0.2">
      <c r="A712" t="s">
        <v>178</v>
      </c>
      <c r="B712" t="s">
        <v>91</v>
      </c>
      <c r="C712">
        <v>463</v>
      </c>
      <c r="D712">
        <v>0.91991071131190105</v>
      </c>
      <c r="E712">
        <v>4.3196544276457903E-3</v>
      </c>
      <c r="F712" t="s">
        <v>245</v>
      </c>
    </row>
    <row r="713" spans="1:6" x14ac:dyDescent="0.2">
      <c r="A713" t="s">
        <v>119</v>
      </c>
      <c r="B713" t="s">
        <v>81</v>
      </c>
      <c r="C713">
        <v>463</v>
      </c>
      <c r="D713">
        <v>0.91991071131190105</v>
      </c>
      <c r="E713">
        <v>4.3196544276457903E-3</v>
      </c>
      <c r="F713" t="s">
        <v>245</v>
      </c>
    </row>
    <row r="714" spans="1:6" x14ac:dyDescent="0.2">
      <c r="A714" t="s">
        <v>59</v>
      </c>
      <c r="B714" t="s">
        <v>85</v>
      </c>
      <c r="C714">
        <v>463</v>
      </c>
      <c r="D714">
        <v>0.91991071131190105</v>
      </c>
      <c r="E714">
        <v>4.3196544276457903E-3</v>
      </c>
      <c r="F714" t="s">
        <v>245</v>
      </c>
    </row>
    <row r="715" spans="1:6" x14ac:dyDescent="0.2">
      <c r="A715" t="s">
        <v>85</v>
      </c>
      <c r="B715" t="s">
        <v>97</v>
      </c>
      <c r="C715">
        <v>463</v>
      </c>
      <c r="D715">
        <v>0.91991071131190105</v>
      </c>
      <c r="E715">
        <v>4.3196544276457903E-3</v>
      </c>
      <c r="F715" t="s">
        <v>245</v>
      </c>
    </row>
    <row r="716" spans="1:6" x14ac:dyDescent="0.2">
      <c r="A716" t="s">
        <v>36</v>
      </c>
      <c r="B716" t="s">
        <v>212</v>
      </c>
      <c r="C716">
        <v>463</v>
      </c>
      <c r="D716">
        <v>0.91991071131190105</v>
      </c>
      <c r="E716">
        <v>4.3196544276457903E-3</v>
      </c>
      <c r="F716" t="s">
        <v>245</v>
      </c>
    </row>
    <row r="717" spans="1:6" x14ac:dyDescent="0.2">
      <c r="A717" t="s">
        <v>81</v>
      </c>
      <c r="B717" t="s">
        <v>27</v>
      </c>
      <c r="C717">
        <v>463</v>
      </c>
      <c r="D717">
        <v>0.91991071131190105</v>
      </c>
      <c r="E717">
        <v>4.3196544276457903E-3</v>
      </c>
      <c r="F717" t="s">
        <v>245</v>
      </c>
    </row>
    <row r="718" spans="1:6" x14ac:dyDescent="0.2">
      <c r="A718" t="s">
        <v>27</v>
      </c>
      <c r="B718" t="s">
        <v>85</v>
      </c>
      <c r="C718">
        <v>463</v>
      </c>
      <c r="D718">
        <v>0.91991071131190105</v>
      </c>
      <c r="E718">
        <v>4.3196544276457903E-3</v>
      </c>
      <c r="F718" t="s">
        <v>245</v>
      </c>
    </row>
    <row r="719" spans="1:6" x14ac:dyDescent="0.2">
      <c r="A719" t="s">
        <v>94</v>
      </c>
      <c r="B719" t="s">
        <v>45</v>
      </c>
      <c r="C719">
        <v>463</v>
      </c>
      <c r="D719">
        <v>0.91991071131190105</v>
      </c>
      <c r="E719">
        <v>4.3196544276457903E-3</v>
      </c>
      <c r="F719" t="s">
        <v>245</v>
      </c>
    </row>
    <row r="720" spans="1:6" x14ac:dyDescent="0.2">
      <c r="A720" t="s">
        <v>97</v>
      </c>
      <c r="B720" t="s">
        <v>91</v>
      </c>
      <c r="C720">
        <v>463</v>
      </c>
      <c r="D720">
        <v>0.91991071131190105</v>
      </c>
      <c r="E720">
        <v>4.3196544276457903E-3</v>
      </c>
      <c r="F720" t="s">
        <v>245</v>
      </c>
    </row>
    <row r="721" spans="1:6" x14ac:dyDescent="0.2">
      <c r="A721" t="s">
        <v>83</v>
      </c>
      <c r="B721" t="s">
        <v>91</v>
      </c>
      <c r="C721">
        <v>463</v>
      </c>
      <c r="D721">
        <v>0.91991071131190105</v>
      </c>
      <c r="E721">
        <v>4.3196544276457903E-3</v>
      </c>
      <c r="F721" t="s">
        <v>245</v>
      </c>
    </row>
    <row r="722" spans="1:6" x14ac:dyDescent="0.2">
      <c r="A722" t="s">
        <v>110</v>
      </c>
      <c r="B722" t="s">
        <v>18</v>
      </c>
      <c r="C722">
        <v>463</v>
      </c>
      <c r="D722">
        <v>0.91991071131190105</v>
      </c>
      <c r="E722">
        <v>4.3196544276457903E-3</v>
      </c>
      <c r="F722" t="s">
        <v>245</v>
      </c>
    </row>
    <row r="723" spans="1:6" x14ac:dyDescent="0.2">
      <c r="A723" t="s">
        <v>48</v>
      </c>
      <c r="B723" t="s">
        <v>18</v>
      </c>
      <c r="C723">
        <v>463</v>
      </c>
      <c r="D723">
        <v>0.91991071131190105</v>
      </c>
      <c r="E723">
        <v>4.3196544276457903E-3</v>
      </c>
      <c r="F723" t="s">
        <v>245</v>
      </c>
    </row>
    <row r="724" spans="1:6" x14ac:dyDescent="0.2">
      <c r="A724" t="s">
        <v>212</v>
      </c>
      <c r="B724" t="s">
        <v>91</v>
      </c>
      <c r="C724">
        <v>463</v>
      </c>
      <c r="D724">
        <v>0.91991071131190105</v>
      </c>
      <c r="E724">
        <v>4.3196544276457903E-3</v>
      </c>
      <c r="F724" t="s">
        <v>245</v>
      </c>
    </row>
    <row r="725" spans="1:6" x14ac:dyDescent="0.2">
      <c r="A725" t="s">
        <v>57</v>
      </c>
      <c r="B725" t="s">
        <v>81</v>
      </c>
      <c r="C725">
        <v>463</v>
      </c>
      <c r="D725">
        <v>0.91991071131190105</v>
      </c>
      <c r="E725">
        <v>4.3196544276457903E-3</v>
      </c>
      <c r="F725" t="s">
        <v>245</v>
      </c>
    </row>
    <row r="726" spans="1:6" x14ac:dyDescent="0.2">
      <c r="A726" t="s">
        <v>67</v>
      </c>
      <c r="B726" t="s">
        <v>85</v>
      </c>
      <c r="C726">
        <v>463</v>
      </c>
      <c r="D726">
        <v>0.91991071131190105</v>
      </c>
      <c r="E726">
        <v>4.3196544276457903E-3</v>
      </c>
      <c r="F726" t="s">
        <v>245</v>
      </c>
    </row>
    <row r="727" spans="1:6" x14ac:dyDescent="0.2">
      <c r="A727" t="s">
        <v>38</v>
      </c>
      <c r="B727" t="s">
        <v>48</v>
      </c>
      <c r="C727">
        <v>463</v>
      </c>
      <c r="D727">
        <v>0.91991071131190105</v>
      </c>
      <c r="E727">
        <v>4.3196544276457903E-3</v>
      </c>
      <c r="F727" t="s">
        <v>245</v>
      </c>
    </row>
    <row r="728" spans="1:6" x14ac:dyDescent="0.2">
      <c r="A728" t="s">
        <v>119</v>
      </c>
      <c r="B728" t="s">
        <v>178</v>
      </c>
      <c r="C728">
        <v>463</v>
      </c>
      <c r="D728">
        <v>0.91991071131190105</v>
      </c>
      <c r="E728">
        <v>4.3196544276457903E-3</v>
      </c>
      <c r="F728" t="s">
        <v>245</v>
      </c>
    </row>
    <row r="729" spans="1:6" x14ac:dyDescent="0.2">
      <c r="A729" t="s">
        <v>94</v>
      </c>
      <c r="B729" t="s">
        <v>36</v>
      </c>
      <c r="C729">
        <v>463</v>
      </c>
      <c r="D729">
        <v>0.91991071131190105</v>
      </c>
      <c r="E729">
        <v>4.3196544276457903E-3</v>
      </c>
      <c r="F729" t="s">
        <v>245</v>
      </c>
    </row>
    <row r="730" spans="1:6" x14ac:dyDescent="0.2">
      <c r="A730" t="s">
        <v>38</v>
      </c>
      <c r="B730" t="s">
        <v>59</v>
      </c>
      <c r="C730">
        <v>463</v>
      </c>
      <c r="D730">
        <v>0.91991071131190105</v>
      </c>
      <c r="E730">
        <v>4.3196544276457903E-3</v>
      </c>
      <c r="F730" t="s">
        <v>245</v>
      </c>
    </row>
    <row r="731" spans="1:6" x14ac:dyDescent="0.2">
      <c r="A731" t="s">
        <v>59</v>
      </c>
      <c r="B731" t="s">
        <v>35</v>
      </c>
      <c r="C731">
        <v>463</v>
      </c>
      <c r="D731">
        <v>0.91991071131190105</v>
      </c>
      <c r="E731">
        <v>4.3196544276457903E-3</v>
      </c>
      <c r="F731" t="s">
        <v>245</v>
      </c>
    </row>
    <row r="732" spans="1:6" x14ac:dyDescent="0.2">
      <c r="A732" t="s">
        <v>83</v>
      </c>
      <c r="B732" t="s">
        <v>85</v>
      </c>
      <c r="C732">
        <v>463</v>
      </c>
      <c r="D732">
        <v>0.91991071131190105</v>
      </c>
      <c r="E732">
        <v>4.3196544276457903E-3</v>
      </c>
      <c r="F732" t="s">
        <v>245</v>
      </c>
    </row>
    <row r="733" spans="1:6" x14ac:dyDescent="0.2">
      <c r="A733" t="s">
        <v>67</v>
      </c>
      <c r="B733" t="s">
        <v>97</v>
      </c>
      <c r="C733">
        <v>463</v>
      </c>
      <c r="D733">
        <v>0.91991071131190105</v>
      </c>
      <c r="E733">
        <v>4.3196544276457903E-3</v>
      </c>
      <c r="F733" t="s">
        <v>245</v>
      </c>
    </row>
    <row r="734" spans="1:6" x14ac:dyDescent="0.2">
      <c r="A734" t="s">
        <v>85</v>
      </c>
      <c r="B734" t="s">
        <v>55</v>
      </c>
      <c r="C734">
        <v>463</v>
      </c>
      <c r="D734">
        <v>0.91991071131190105</v>
      </c>
      <c r="E734">
        <v>4.3196544276457903E-3</v>
      </c>
      <c r="F734" t="s">
        <v>245</v>
      </c>
    </row>
    <row r="735" spans="1:6" x14ac:dyDescent="0.2">
      <c r="A735" t="s">
        <v>67</v>
      </c>
      <c r="B735" t="s">
        <v>178</v>
      </c>
      <c r="C735">
        <v>463</v>
      </c>
      <c r="D735">
        <v>0.91991071131190105</v>
      </c>
      <c r="E735">
        <v>4.3196544276457903E-3</v>
      </c>
      <c r="F735" t="s">
        <v>245</v>
      </c>
    </row>
    <row r="736" spans="1:6" x14ac:dyDescent="0.2">
      <c r="A736" t="s">
        <v>67</v>
      </c>
      <c r="B736" t="s">
        <v>94</v>
      </c>
      <c r="C736">
        <v>463</v>
      </c>
      <c r="D736">
        <v>0.91991071131190105</v>
      </c>
      <c r="E736">
        <v>4.3196544276457903E-3</v>
      </c>
      <c r="F736" t="s">
        <v>245</v>
      </c>
    </row>
    <row r="737" spans="1:6" x14ac:dyDescent="0.2">
      <c r="A737" t="s">
        <v>57</v>
      </c>
      <c r="B737" t="s">
        <v>18</v>
      </c>
      <c r="C737">
        <v>463</v>
      </c>
      <c r="D737">
        <v>0.91991071131190105</v>
      </c>
      <c r="E737">
        <v>4.3196544276457903E-3</v>
      </c>
      <c r="F737" t="s">
        <v>245</v>
      </c>
    </row>
    <row r="738" spans="1:6" x14ac:dyDescent="0.2">
      <c r="A738" t="s">
        <v>83</v>
      </c>
      <c r="B738" t="s">
        <v>27</v>
      </c>
      <c r="C738">
        <v>463</v>
      </c>
      <c r="D738">
        <v>0.91991071131190105</v>
      </c>
      <c r="E738">
        <v>4.3196544276457903E-3</v>
      </c>
      <c r="F738" t="s">
        <v>245</v>
      </c>
    </row>
    <row r="739" spans="1:6" x14ac:dyDescent="0.2">
      <c r="A739" t="s">
        <v>67</v>
      </c>
      <c r="B739" t="s">
        <v>55</v>
      </c>
      <c r="C739">
        <v>463</v>
      </c>
      <c r="D739">
        <v>0.91991071131190105</v>
      </c>
      <c r="E739">
        <v>4.3196544276457903E-3</v>
      </c>
      <c r="F739" t="s">
        <v>245</v>
      </c>
    </row>
    <row r="740" spans="1:6" x14ac:dyDescent="0.2">
      <c r="A740" t="s">
        <v>35</v>
      </c>
      <c r="B740" t="s">
        <v>97</v>
      </c>
      <c r="C740">
        <v>463</v>
      </c>
      <c r="D740">
        <v>0.91991071131190105</v>
      </c>
      <c r="E740">
        <v>4.3196544276457903E-3</v>
      </c>
      <c r="F740" t="s">
        <v>245</v>
      </c>
    </row>
    <row r="741" spans="1:6" x14ac:dyDescent="0.2">
      <c r="A741" t="s">
        <v>36</v>
      </c>
      <c r="B741" t="s">
        <v>18</v>
      </c>
      <c r="C741">
        <v>463</v>
      </c>
      <c r="D741">
        <v>0.91991071131190105</v>
      </c>
      <c r="E741">
        <v>4.3196544276457903E-3</v>
      </c>
      <c r="F741" t="s">
        <v>245</v>
      </c>
    </row>
    <row r="742" spans="1:6" x14ac:dyDescent="0.2">
      <c r="A742" t="s">
        <v>67</v>
      </c>
      <c r="B742" t="s">
        <v>36</v>
      </c>
      <c r="C742">
        <v>463</v>
      </c>
      <c r="D742">
        <v>0.91991071131190105</v>
      </c>
      <c r="E742">
        <v>4.3196544276457903E-3</v>
      </c>
      <c r="F742" t="s">
        <v>245</v>
      </c>
    </row>
    <row r="743" spans="1:6" x14ac:dyDescent="0.2">
      <c r="A743" t="s">
        <v>27</v>
      </c>
      <c r="B743" t="s">
        <v>36</v>
      </c>
      <c r="C743">
        <v>463</v>
      </c>
      <c r="D743">
        <v>0.91991071131190105</v>
      </c>
      <c r="E743">
        <v>4.3196544276457903E-3</v>
      </c>
      <c r="F743" t="s">
        <v>245</v>
      </c>
    </row>
    <row r="744" spans="1:6" x14ac:dyDescent="0.2">
      <c r="A744" t="s">
        <v>48</v>
      </c>
      <c r="B744" t="s">
        <v>36</v>
      </c>
      <c r="C744">
        <v>463</v>
      </c>
      <c r="D744">
        <v>0.91991071131190105</v>
      </c>
      <c r="E744">
        <v>4.3196544276457903E-3</v>
      </c>
      <c r="F744" t="s">
        <v>245</v>
      </c>
    </row>
    <row r="745" spans="1:6" x14ac:dyDescent="0.2">
      <c r="A745" t="s">
        <v>97</v>
      </c>
      <c r="B745" t="s">
        <v>110</v>
      </c>
      <c r="C745">
        <v>463</v>
      </c>
      <c r="D745">
        <v>0.91991071131190105</v>
      </c>
      <c r="E745">
        <v>4.3196544276457903E-3</v>
      </c>
      <c r="F745" t="s">
        <v>245</v>
      </c>
    </row>
    <row r="746" spans="1:6" x14ac:dyDescent="0.2">
      <c r="A746" t="s">
        <v>119</v>
      </c>
      <c r="B746" t="s">
        <v>212</v>
      </c>
      <c r="C746">
        <v>463</v>
      </c>
      <c r="D746">
        <v>0.91991071131190105</v>
      </c>
      <c r="E746">
        <v>4.3196544276457903E-3</v>
      </c>
      <c r="F746" t="s">
        <v>245</v>
      </c>
    </row>
    <row r="747" spans="1:6" x14ac:dyDescent="0.2">
      <c r="A747" t="s">
        <v>119</v>
      </c>
      <c r="B747" t="s">
        <v>18</v>
      </c>
      <c r="C747">
        <v>463</v>
      </c>
      <c r="D747">
        <v>0.91991071131190105</v>
      </c>
      <c r="E747">
        <v>4.3196544276457903E-3</v>
      </c>
      <c r="F747" t="s">
        <v>245</v>
      </c>
    </row>
    <row r="748" spans="1:6" x14ac:dyDescent="0.2">
      <c r="A748" t="s">
        <v>48</v>
      </c>
      <c r="B748" t="s">
        <v>85</v>
      </c>
      <c r="C748">
        <v>463</v>
      </c>
      <c r="D748">
        <v>0.91991071131190105</v>
      </c>
      <c r="E748">
        <v>4.3196544276457903E-3</v>
      </c>
      <c r="F748" t="s">
        <v>245</v>
      </c>
    </row>
    <row r="749" spans="1:6" x14ac:dyDescent="0.2">
      <c r="A749" t="s">
        <v>83</v>
      </c>
      <c r="B749" t="s">
        <v>18</v>
      </c>
      <c r="C749">
        <v>463</v>
      </c>
      <c r="D749">
        <v>0.91991071131190105</v>
      </c>
      <c r="E749">
        <v>4.3196544276457903E-3</v>
      </c>
      <c r="F749" t="s">
        <v>245</v>
      </c>
    </row>
    <row r="750" spans="1:6" x14ac:dyDescent="0.2">
      <c r="A750" t="s">
        <v>45</v>
      </c>
      <c r="B750" t="s">
        <v>35</v>
      </c>
      <c r="C750">
        <v>463</v>
      </c>
      <c r="D750">
        <v>0.91991071131190105</v>
      </c>
      <c r="E750">
        <v>4.3196544276457903E-3</v>
      </c>
      <c r="F750" t="s">
        <v>245</v>
      </c>
    </row>
    <row r="751" spans="1:6" x14ac:dyDescent="0.2">
      <c r="A751" t="s">
        <v>83</v>
      </c>
      <c r="B751" t="s">
        <v>212</v>
      </c>
      <c r="C751">
        <v>463</v>
      </c>
      <c r="D751">
        <v>0.91991071131190105</v>
      </c>
      <c r="E751">
        <v>4.3196544276457903E-3</v>
      </c>
      <c r="F751" t="s">
        <v>245</v>
      </c>
    </row>
    <row r="752" spans="1:6" x14ac:dyDescent="0.2">
      <c r="A752" t="s">
        <v>59</v>
      </c>
      <c r="B752" t="s">
        <v>18</v>
      </c>
      <c r="C752">
        <v>463</v>
      </c>
      <c r="D752">
        <v>0.91991071131190105</v>
      </c>
      <c r="E752">
        <v>4.3196544276457903E-3</v>
      </c>
      <c r="F752" t="s">
        <v>245</v>
      </c>
    </row>
    <row r="753" spans="1:6" x14ac:dyDescent="0.2">
      <c r="A753" t="s">
        <v>67</v>
      </c>
      <c r="B753" t="s">
        <v>110</v>
      </c>
      <c r="C753">
        <v>463</v>
      </c>
      <c r="D753">
        <v>0.91991071131190105</v>
      </c>
      <c r="E753">
        <v>4.3196544276457903E-3</v>
      </c>
      <c r="F753" t="s">
        <v>245</v>
      </c>
    </row>
    <row r="754" spans="1:6" x14ac:dyDescent="0.2">
      <c r="A754" t="s">
        <v>48</v>
      </c>
      <c r="B754" t="s">
        <v>81</v>
      </c>
      <c r="C754">
        <v>463</v>
      </c>
      <c r="D754">
        <v>0.91991071131190105</v>
      </c>
      <c r="E754">
        <v>4.3196544276457903E-3</v>
      </c>
      <c r="F754" t="s">
        <v>245</v>
      </c>
    </row>
    <row r="755" spans="1:6" x14ac:dyDescent="0.2">
      <c r="A755" t="s">
        <v>57</v>
      </c>
      <c r="B755" t="s">
        <v>83</v>
      </c>
      <c r="C755">
        <v>463</v>
      </c>
      <c r="D755">
        <v>0.91991071131190105</v>
      </c>
      <c r="E755">
        <v>4.3196544276457903E-3</v>
      </c>
      <c r="F755" t="s">
        <v>245</v>
      </c>
    </row>
    <row r="756" spans="1:6" x14ac:dyDescent="0.2">
      <c r="A756" t="s">
        <v>81</v>
      </c>
      <c r="B756" t="s">
        <v>110</v>
      </c>
      <c r="C756">
        <v>463</v>
      </c>
      <c r="D756">
        <v>0.91991071131190105</v>
      </c>
      <c r="E756">
        <v>4.3196544276457903E-3</v>
      </c>
      <c r="F756" t="s">
        <v>245</v>
      </c>
    </row>
    <row r="757" spans="1:6" x14ac:dyDescent="0.2">
      <c r="A757" t="s">
        <v>59</v>
      </c>
      <c r="B757" t="s">
        <v>91</v>
      </c>
      <c r="C757">
        <v>463</v>
      </c>
      <c r="D757">
        <v>0.91991071131190105</v>
      </c>
      <c r="E757">
        <v>4.3196544276457903E-3</v>
      </c>
      <c r="F757" t="s">
        <v>245</v>
      </c>
    </row>
    <row r="758" spans="1:6" x14ac:dyDescent="0.2">
      <c r="A758" t="s">
        <v>48</v>
      </c>
      <c r="B758" t="s">
        <v>110</v>
      </c>
      <c r="C758">
        <v>463</v>
      </c>
      <c r="D758">
        <v>0.91991071131190105</v>
      </c>
      <c r="E758">
        <v>4.3196544276457903E-3</v>
      </c>
      <c r="F758" t="s">
        <v>245</v>
      </c>
    </row>
    <row r="759" spans="1:6" x14ac:dyDescent="0.2">
      <c r="A759" t="s">
        <v>45</v>
      </c>
      <c r="B759" t="s">
        <v>36</v>
      </c>
      <c r="C759">
        <v>463</v>
      </c>
      <c r="D759">
        <v>0.91991071131190105</v>
      </c>
      <c r="E759">
        <v>4.3196544276457903E-3</v>
      </c>
      <c r="F759" t="s">
        <v>245</v>
      </c>
    </row>
    <row r="760" spans="1:6" x14ac:dyDescent="0.2">
      <c r="A760" t="s">
        <v>212</v>
      </c>
      <c r="B760" t="s">
        <v>110</v>
      </c>
      <c r="C760">
        <v>463</v>
      </c>
      <c r="D760">
        <v>0.91991071131190105</v>
      </c>
      <c r="E760">
        <v>4.3196544276457903E-3</v>
      </c>
      <c r="F760" t="s">
        <v>245</v>
      </c>
    </row>
    <row r="761" spans="1:6" x14ac:dyDescent="0.2">
      <c r="A761" t="s">
        <v>59</v>
      </c>
      <c r="B761" t="s">
        <v>45</v>
      </c>
      <c r="C761">
        <v>463</v>
      </c>
      <c r="D761">
        <v>0.91991071131190105</v>
      </c>
      <c r="E761">
        <v>4.3196544276457903E-3</v>
      </c>
      <c r="F761" t="s">
        <v>245</v>
      </c>
    </row>
    <row r="762" spans="1:6" x14ac:dyDescent="0.2">
      <c r="A762" t="s">
        <v>45</v>
      </c>
      <c r="B762" t="s">
        <v>212</v>
      </c>
      <c r="C762">
        <v>463</v>
      </c>
      <c r="D762">
        <v>0.91991071131190105</v>
      </c>
      <c r="E762">
        <v>4.3196544276457903E-3</v>
      </c>
      <c r="F762" t="s">
        <v>245</v>
      </c>
    </row>
    <row r="763" spans="1:6" x14ac:dyDescent="0.2">
      <c r="A763" t="s">
        <v>119</v>
      </c>
      <c r="B763" t="s">
        <v>97</v>
      </c>
      <c r="C763">
        <v>463</v>
      </c>
      <c r="D763">
        <v>0.91991071131190105</v>
      </c>
      <c r="E763">
        <v>4.3196544276457903E-3</v>
      </c>
      <c r="F763" t="s">
        <v>245</v>
      </c>
    </row>
    <row r="764" spans="1:6" x14ac:dyDescent="0.2">
      <c r="A764" t="s">
        <v>81</v>
      </c>
      <c r="B764" t="s">
        <v>212</v>
      </c>
      <c r="C764">
        <v>463</v>
      </c>
      <c r="D764">
        <v>0.91991071131190105</v>
      </c>
      <c r="E764">
        <v>4.3196544276457903E-3</v>
      </c>
      <c r="F764" t="s">
        <v>245</v>
      </c>
    </row>
    <row r="765" spans="1:6" x14ac:dyDescent="0.2">
      <c r="A765" t="s">
        <v>45</v>
      </c>
      <c r="B765" t="s">
        <v>18</v>
      </c>
      <c r="C765">
        <v>463</v>
      </c>
      <c r="D765">
        <v>0.91991071131190105</v>
      </c>
      <c r="E765">
        <v>4.3196544276457903E-3</v>
      </c>
      <c r="F765" t="s">
        <v>245</v>
      </c>
    </row>
    <row r="766" spans="1:6" x14ac:dyDescent="0.2">
      <c r="A766" t="s">
        <v>48</v>
      </c>
      <c r="B766" t="s">
        <v>97</v>
      </c>
      <c r="C766">
        <v>463</v>
      </c>
      <c r="D766">
        <v>0.91991071131190105</v>
      </c>
      <c r="E766">
        <v>4.3196544276457903E-3</v>
      </c>
      <c r="F766" t="s">
        <v>245</v>
      </c>
    </row>
    <row r="767" spans="1:6" x14ac:dyDescent="0.2">
      <c r="A767" t="s">
        <v>119</v>
      </c>
      <c r="B767" t="s">
        <v>48</v>
      </c>
      <c r="C767">
        <v>463</v>
      </c>
      <c r="D767">
        <v>0.91991071131190105</v>
      </c>
      <c r="E767">
        <v>4.3196544276457903E-3</v>
      </c>
      <c r="F767" t="s">
        <v>245</v>
      </c>
    </row>
    <row r="768" spans="1:6" x14ac:dyDescent="0.2">
      <c r="A768" t="s">
        <v>27</v>
      </c>
      <c r="B768" t="s">
        <v>18</v>
      </c>
      <c r="C768">
        <v>463</v>
      </c>
      <c r="D768">
        <v>0.91991071131190105</v>
      </c>
      <c r="E768">
        <v>4.3196544276457903E-3</v>
      </c>
      <c r="F768" t="s">
        <v>245</v>
      </c>
    </row>
    <row r="769" spans="1:6" x14ac:dyDescent="0.2">
      <c r="A769" t="s">
        <v>83</v>
      </c>
      <c r="B769" t="s">
        <v>45</v>
      </c>
      <c r="C769">
        <v>463</v>
      </c>
      <c r="D769">
        <v>0.91991071131190105</v>
      </c>
      <c r="E769">
        <v>4.3196544276457903E-3</v>
      </c>
      <c r="F769" t="s">
        <v>245</v>
      </c>
    </row>
    <row r="770" spans="1:6" x14ac:dyDescent="0.2">
      <c r="A770" t="s">
        <v>67</v>
      </c>
      <c r="B770" t="s">
        <v>35</v>
      </c>
      <c r="C770">
        <v>463</v>
      </c>
      <c r="D770">
        <v>0.91991071131190105</v>
      </c>
      <c r="E770">
        <v>4.3196544276457903E-3</v>
      </c>
      <c r="F770" t="s">
        <v>245</v>
      </c>
    </row>
    <row r="771" spans="1:6" x14ac:dyDescent="0.2">
      <c r="A771" t="s">
        <v>45</v>
      </c>
      <c r="B771" t="s">
        <v>85</v>
      </c>
      <c r="C771">
        <v>463</v>
      </c>
      <c r="D771">
        <v>0.91991071131190105</v>
      </c>
      <c r="E771">
        <v>4.3196544276457903E-3</v>
      </c>
      <c r="F771" t="s">
        <v>245</v>
      </c>
    </row>
    <row r="772" spans="1:6" x14ac:dyDescent="0.2">
      <c r="A772" t="s">
        <v>36</v>
      </c>
      <c r="B772" t="s">
        <v>91</v>
      </c>
      <c r="C772">
        <v>463</v>
      </c>
      <c r="D772">
        <v>0.91991071131190105</v>
      </c>
      <c r="E772">
        <v>4.3196544276457903E-3</v>
      </c>
      <c r="F772" t="s">
        <v>245</v>
      </c>
    </row>
    <row r="773" spans="1:6" x14ac:dyDescent="0.2">
      <c r="A773" t="s">
        <v>45</v>
      </c>
      <c r="B773" t="s">
        <v>55</v>
      </c>
      <c r="C773">
        <v>463</v>
      </c>
      <c r="D773">
        <v>0.91991071131190105</v>
      </c>
      <c r="E773">
        <v>4.3196544276457903E-3</v>
      </c>
      <c r="F773" t="s">
        <v>245</v>
      </c>
    </row>
    <row r="774" spans="1:6" x14ac:dyDescent="0.2">
      <c r="A774" t="s">
        <v>67</v>
      </c>
      <c r="B774" t="s">
        <v>27</v>
      </c>
      <c r="C774">
        <v>463</v>
      </c>
      <c r="D774">
        <v>0.91991071131190105</v>
      </c>
      <c r="E774">
        <v>4.3196544276457903E-3</v>
      </c>
      <c r="F774" t="s">
        <v>245</v>
      </c>
    </row>
    <row r="775" spans="1:6" x14ac:dyDescent="0.2">
      <c r="A775" t="s">
        <v>38</v>
      </c>
      <c r="B775" t="s">
        <v>110</v>
      </c>
      <c r="C775">
        <v>463</v>
      </c>
      <c r="D775">
        <v>0.91991071131190105</v>
      </c>
      <c r="E775">
        <v>4.3196544276457903E-3</v>
      </c>
      <c r="F775" t="s">
        <v>245</v>
      </c>
    </row>
    <row r="776" spans="1:6" x14ac:dyDescent="0.2">
      <c r="A776" t="s">
        <v>83</v>
      </c>
      <c r="B776" t="s">
        <v>36</v>
      </c>
      <c r="C776">
        <v>463</v>
      </c>
      <c r="D776">
        <v>0.91991071131190105</v>
      </c>
      <c r="E776">
        <v>4.3196544276457903E-3</v>
      </c>
      <c r="F776" t="s">
        <v>245</v>
      </c>
    </row>
    <row r="777" spans="1:6" x14ac:dyDescent="0.2">
      <c r="A777" t="s">
        <v>83</v>
      </c>
      <c r="B777" t="s">
        <v>81</v>
      </c>
      <c r="C777">
        <v>463</v>
      </c>
      <c r="D777">
        <v>0.91991071131190105</v>
      </c>
      <c r="E777">
        <v>4.3196544276457903E-3</v>
      </c>
      <c r="F777" t="s">
        <v>245</v>
      </c>
    </row>
    <row r="778" spans="1:6" x14ac:dyDescent="0.2">
      <c r="A778" t="s">
        <v>67</v>
      </c>
      <c r="B778" t="s">
        <v>91</v>
      </c>
      <c r="C778">
        <v>463</v>
      </c>
      <c r="D778">
        <v>0.91991071131190105</v>
      </c>
      <c r="E778">
        <v>4.3196544276457903E-3</v>
      </c>
      <c r="F778" t="s">
        <v>245</v>
      </c>
    </row>
    <row r="779" spans="1:6" x14ac:dyDescent="0.2">
      <c r="A779" t="s">
        <v>59</v>
      </c>
      <c r="B779" t="s">
        <v>97</v>
      </c>
      <c r="C779">
        <v>463</v>
      </c>
      <c r="D779">
        <v>0.91991071131190105</v>
      </c>
      <c r="E779">
        <v>4.3196544276457903E-3</v>
      </c>
      <c r="F779" t="s">
        <v>245</v>
      </c>
    </row>
    <row r="780" spans="1:6" x14ac:dyDescent="0.2">
      <c r="A780" t="s">
        <v>27</v>
      </c>
      <c r="B780" t="s">
        <v>178</v>
      </c>
      <c r="C780">
        <v>463</v>
      </c>
      <c r="D780">
        <v>0.91991071131190105</v>
      </c>
      <c r="E780">
        <v>4.3196544276457903E-3</v>
      </c>
      <c r="F780" t="s">
        <v>245</v>
      </c>
    </row>
    <row r="781" spans="1:6" x14ac:dyDescent="0.2">
      <c r="A781" t="s">
        <v>97</v>
      </c>
      <c r="B781" t="s">
        <v>18</v>
      </c>
      <c r="C781">
        <v>463</v>
      </c>
      <c r="D781">
        <v>0.91991071131190105</v>
      </c>
      <c r="E781">
        <v>4.3196544276457903E-3</v>
      </c>
      <c r="F781" t="s">
        <v>245</v>
      </c>
    </row>
    <row r="782" spans="1:6" x14ac:dyDescent="0.2">
      <c r="A782" t="s">
        <v>57</v>
      </c>
      <c r="B782" t="s">
        <v>45</v>
      </c>
      <c r="C782">
        <v>463</v>
      </c>
      <c r="D782">
        <v>0.91991071131190105</v>
      </c>
      <c r="E782">
        <v>4.3196544276457903E-3</v>
      </c>
      <c r="F782" t="s">
        <v>245</v>
      </c>
    </row>
    <row r="783" spans="1:6" x14ac:dyDescent="0.2">
      <c r="A783" t="s">
        <v>38</v>
      </c>
      <c r="B783" t="s">
        <v>35</v>
      </c>
      <c r="C783">
        <v>463</v>
      </c>
      <c r="D783">
        <v>0.91991071131190105</v>
      </c>
      <c r="E783">
        <v>4.3196544276457903E-3</v>
      </c>
      <c r="F783" t="s">
        <v>245</v>
      </c>
    </row>
    <row r="784" spans="1:6" x14ac:dyDescent="0.2">
      <c r="A784" t="s">
        <v>67</v>
      </c>
      <c r="B784" t="s">
        <v>18</v>
      </c>
      <c r="C784">
        <v>463</v>
      </c>
      <c r="D784">
        <v>0.91991071131190105</v>
      </c>
      <c r="E784">
        <v>4.3196544276457903E-3</v>
      </c>
      <c r="F784" t="s">
        <v>245</v>
      </c>
    </row>
    <row r="785" spans="1:6" x14ac:dyDescent="0.2">
      <c r="A785" t="s">
        <v>81</v>
      </c>
      <c r="B785" t="s">
        <v>45</v>
      </c>
      <c r="C785">
        <v>463</v>
      </c>
      <c r="D785">
        <v>0.91991071131190105</v>
      </c>
      <c r="E785">
        <v>4.3196544276457903E-3</v>
      </c>
      <c r="F785" t="s">
        <v>245</v>
      </c>
    </row>
    <row r="786" spans="1:6" x14ac:dyDescent="0.2">
      <c r="A786" t="s">
        <v>119</v>
      </c>
      <c r="B786" t="s">
        <v>85</v>
      </c>
      <c r="C786">
        <v>463</v>
      </c>
      <c r="D786">
        <v>0.91991071131190105</v>
      </c>
      <c r="E786">
        <v>4.3196544276457903E-3</v>
      </c>
      <c r="F786" t="s">
        <v>245</v>
      </c>
    </row>
    <row r="787" spans="1:6" x14ac:dyDescent="0.2">
      <c r="A787" t="s">
        <v>212</v>
      </c>
      <c r="B787" t="s">
        <v>35</v>
      </c>
      <c r="C787">
        <v>463</v>
      </c>
      <c r="D787">
        <v>0.91991071131190105</v>
      </c>
      <c r="E787">
        <v>4.3196544276457903E-3</v>
      </c>
      <c r="F787" t="s">
        <v>245</v>
      </c>
    </row>
    <row r="788" spans="1:6" x14ac:dyDescent="0.2">
      <c r="A788" t="s">
        <v>38</v>
      </c>
      <c r="B788" t="s">
        <v>91</v>
      </c>
      <c r="C788">
        <v>463</v>
      </c>
      <c r="D788">
        <v>0.91991071131190105</v>
      </c>
      <c r="E788">
        <v>4.3196544276457903E-3</v>
      </c>
      <c r="F788" t="s">
        <v>245</v>
      </c>
    </row>
    <row r="789" spans="1:6" x14ac:dyDescent="0.2">
      <c r="A789" t="s">
        <v>38</v>
      </c>
      <c r="B789" t="s">
        <v>27</v>
      </c>
      <c r="C789">
        <v>463</v>
      </c>
      <c r="D789">
        <v>0.91991071131190105</v>
      </c>
      <c r="E789">
        <v>4.3196544276457903E-3</v>
      </c>
      <c r="F789" t="s">
        <v>245</v>
      </c>
    </row>
    <row r="790" spans="1:6" x14ac:dyDescent="0.2">
      <c r="A790" t="s">
        <v>81</v>
      </c>
      <c r="B790" t="s">
        <v>91</v>
      </c>
      <c r="C790">
        <v>463</v>
      </c>
      <c r="D790">
        <v>0.91991071131190105</v>
      </c>
      <c r="E790">
        <v>4.3196544276457903E-3</v>
      </c>
      <c r="F790" t="s">
        <v>245</v>
      </c>
    </row>
    <row r="791" spans="1:6" x14ac:dyDescent="0.2">
      <c r="A791" t="s">
        <v>119</v>
      </c>
      <c r="B791" t="s">
        <v>91</v>
      </c>
      <c r="C791">
        <v>463</v>
      </c>
      <c r="D791">
        <v>0.91991071131190105</v>
      </c>
      <c r="E791">
        <v>4.3196544276457903E-3</v>
      </c>
      <c r="F791" t="s">
        <v>245</v>
      </c>
    </row>
    <row r="792" spans="1:6" x14ac:dyDescent="0.2">
      <c r="A792" t="s">
        <v>85</v>
      </c>
      <c r="B792" t="s">
        <v>36</v>
      </c>
      <c r="C792">
        <v>463</v>
      </c>
      <c r="D792">
        <v>0.91991071131190105</v>
      </c>
      <c r="E792">
        <v>4.3196544276457903E-3</v>
      </c>
      <c r="F792" t="s">
        <v>245</v>
      </c>
    </row>
    <row r="793" spans="1:6" x14ac:dyDescent="0.2">
      <c r="A793" t="s">
        <v>67</v>
      </c>
      <c r="B793" t="s">
        <v>45</v>
      </c>
      <c r="C793">
        <v>463</v>
      </c>
      <c r="D793">
        <v>0.91991071131190105</v>
      </c>
      <c r="E793">
        <v>4.3196544276457903E-3</v>
      </c>
      <c r="F793" t="s">
        <v>245</v>
      </c>
    </row>
    <row r="794" spans="1:6" x14ac:dyDescent="0.2">
      <c r="A794" t="s">
        <v>59</v>
      </c>
      <c r="B794" t="s">
        <v>94</v>
      </c>
      <c r="C794">
        <v>463</v>
      </c>
      <c r="D794">
        <v>0.91991071131190105</v>
      </c>
      <c r="E794">
        <v>4.3196544276457903E-3</v>
      </c>
      <c r="F794" t="s">
        <v>245</v>
      </c>
    </row>
    <row r="795" spans="1:6" x14ac:dyDescent="0.2">
      <c r="A795" t="s">
        <v>38</v>
      </c>
      <c r="B795" t="s">
        <v>94</v>
      </c>
      <c r="C795">
        <v>463</v>
      </c>
      <c r="D795">
        <v>0.91991071131190105</v>
      </c>
      <c r="E795">
        <v>4.3196544276457903E-3</v>
      </c>
      <c r="F795" t="s">
        <v>245</v>
      </c>
    </row>
    <row r="796" spans="1:6" x14ac:dyDescent="0.2">
      <c r="A796" t="s">
        <v>48</v>
      </c>
      <c r="B796" t="s">
        <v>55</v>
      </c>
      <c r="C796">
        <v>463</v>
      </c>
      <c r="D796">
        <v>0.91991071131190105</v>
      </c>
      <c r="E796">
        <v>4.3196544276457903E-3</v>
      </c>
      <c r="F796" t="s">
        <v>245</v>
      </c>
    </row>
    <row r="797" spans="1:6" x14ac:dyDescent="0.2">
      <c r="A797" t="s">
        <v>59</v>
      </c>
      <c r="B797" t="s">
        <v>178</v>
      </c>
      <c r="C797">
        <v>463</v>
      </c>
      <c r="D797">
        <v>0.91991071131190105</v>
      </c>
      <c r="E797">
        <v>4.3196544276457903E-3</v>
      </c>
      <c r="F797" t="s">
        <v>245</v>
      </c>
    </row>
    <row r="798" spans="1:6" x14ac:dyDescent="0.2">
      <c r="A798" t="s">
        <v>45</v>
      </c>
      <c r="B798" t="s">
        <v>178</v>
      </c>
      <c r="C798">
        <v>463</v>
      </c>
      <c r="D798">
        <v>0.91991071131190105</v>
      </c>
      <c r="E798">
        <v>4.3196544276457903E-3</v>
      </c>
      <c r="F798" t="s">
        <v>245</v>
      </c>
    </row>
    <row r="799" spans="1:6" x14ac:dyDescent="0.2">
      <c r="A799" t="s">
        <v>48</v>
      </c>
      <c r="B799" t="s">
        <v>35</v>
      </c>
      <c r="C799">
        <v>463</v>
      </c>
      <c r="D799">
        <v>0.91991071131190105</v>
      </c>
      <c r="E799">
        <v>4.3196544276457903E-3</v>
      </c>
      <c r="F799" t="s">
        <v>245</v>
      </c>
    </row>
    <row r="800" spans="1:6" x14ac:dyDescent="0.2">
      <c r="A800" t="s">
        <v>59</v>
      </c>
      <c r="B800" t="s">
        <v>27</v>
      </c>
      <c r="C800">
        <v>463</v>
      </c>
      <c r="D800">
        <v>0.91991071131190105</v>
      </c>
      <c r="E800">
        <v>4.3196544276457903E-3</v>
      </c>
      <c r="F800" t="s">
        <v>245</v>
      </c>
    </row>
    <row r="801" spans="1:6" x14ac:dyDescent="0.2">
      <c r="A801" t="s">
        <v>38</v>
      </c>
      <c r="B801" t="s">
        <v>45</v>
      </c>
      <c r="C801">
        <v>463</v>
      </c>
      <c r="D801">
        <v>0.91991071131190105</v>
      </c>
      <c r="E801">
        <v>4.3196544276457903E-3</v>
      </c>
      <c r="F801" t="s">
        <v>245</v>
      </c>
    </row>
    <row r="802" spans="1:6" x14ac:dyDescent="0.2">
      <c r="A802" t="s">
        <v>83</v>
      </c>
      <c r="B802" t="s">
        <v>48</v>
      </c>
      <c r="C802">
        <v>463</v>
      </c>
      <c r="D802">
        <v>0.91991071131190105</v>
      </c>
      <c r="E802">
        <v>4.3196544276457903E-3</v>
      </c>
      <c r="F802" t="s">
        <v>245</v>
      </c>
    </row>
    <row r="803" spans="1:6" x14ac:dyDescent="0.2">
      <c r="A803" t="s">
        <v>178</v>
      </c>
      <c r="B803" t="s">
        <v>18</v>
      </c>
      <c r="C803">
        <v>463</v>
      </c>
      <c r="D803">
        <v>0.91991071131190105</v>
      </c>
      <c r="E803">
        <v>4.3196544276457903E-3</v>
      </c>
      <c r="F803" t="s">
        <v>245</v>
      </c>
    </row>
    <row r="804" spans="1:6" x14ac:dyDescent="0.2">
      <c r="A804" t="s">
        <v>83</v>
      </c>
      <c r="B804" t="s">
        <v>67</v>
      </c>
      <c r="C804">
        <v>463</v>
      </c>
      <c r="D804">
        <v>0.91991071131190105</v>
      </c>
      <c r="E804">
        <v>4.3196544276457903E-3</v>
      </c>
      <c r="F804" t="s">
        <v>245</v>
      </c>
    </row>
    <row r="805" spans="1:6" x14ac:dyDescent="0.2">
      <c r="A805" t="s">
        <v>212</v>
      </c>
      <c r="B805" t="s">
        <v>18</v>
      </c>
      <c r="C805">
        <v>463</v>
      </c>
      <c r="D805">
        <v>0.91991071131190105</v>
      </c>
      <c r="E805">
        <v>4.3196544276457903E-3</v>
      </c>
      <c r="F805" t="s">
        <v>245</v>
      </c>
    </row>
    <row r="806" spans="1:6" x14ac:dyDescent="0.2">
      <c r="A806" t="s">
        <v>38</v>
      </c>
      <c r="B806" t="s">
        <v>67</v>
      </c>
      <c r="C806">
        <v>463</v>
      </c>
      <c r="D806">
        <v>0.91991071131190105</v>
      </c>
      <c r="E806">
        <v>4.3196544276457903E-3</v>
      </c>
      <c r="F806" t="s">
        <v>245</v>
      </c>
    </row>
    <row r="807" spans="1:6" x14ac:dyDescent="0.2">
      <c r="A807" t="s">
        <v>85</v>
      </c>
      <c r="B807" t="s">
        <v>91</v>
      </c>
      <c r="C807">
        <v>463</v>
      </c>
      <c r="D807">
        <v>0.91991071131190105</v>
      </c>
      <c r="E807">
        <v>4.3196544276457903E-3</v>
      </c>
      <c r="F807" t="s">
        <v>245</v>
      </c>
    </row>
    <row r="808" spans="1:6" x14ac:dyDescent="0.2">
      <c r="A808" t="s">
        <v>83</v>
      </c>
      <c r="B808" t="s">
        <v>110</v>
      </c>
      <c r="C808">
        <v>463</v>
      </c>
      <c r="D808">
        <v>0.91991071131190105</v>
      </c>
      <c r="E808">
        <v>4.3196544276457903E-3</v>
      </c>
      <c r="F808" t="s">
        <v>245</v>
      </c>
    </row>
    <row r="809" spans="1:6" x14ac:dyDescent="0.2">
      <c r="A809" t="s">
        <v>38</v>
      </c>
      <c r="B809" t="s">
        <v>85</v>
      </c>
      <c r="C809">
        <v>463</v>
      </c>
      <c r="D809">
        <v>0.91991071131190105</v>
      </c>
      <c r="E809">
        <v>4.3196544276457903E-3</v>
      </c>
      <c r="F809" t="s">
        <v>245</v>
      </c>
    </row>
    <row r="810" spans="1:6" x14ac:dyDescent="0.2">
      <c r="A810" t="s">
        <v>55</v>
      </c>
      <c r="B810" t="s">
        <v>18</v>
      </c>
      <c r="C810">
        <v>463</v>
      </c>
      <c r="D810">
        <v>0.91991071131190105</v>
      </c>
      <c r="E810">
        <v>4.3196544276457903E-3</v>
      </c>
      <c r="F810" t="s">
        <v>245</v>
      </c>
    </row>
    <row r="811" spans="1:6" x14ac:dyDescent="0.2">
      <c r="A811" t="s">
        <v>81</v>
      </c>
      <c r="B811" t="s">
        <v>94</v>
      </c>
      <c r="C811">
        <v>463</v>
      </c>
      <c r="D811">
        <v>0.91991071131190105</v>
      </c>
      <c r="E811">
        <v>4.3196544276457903E-3</v>
      </c>
      <c r="F811" t="s">
        <v>245</v>
      </c>
    </row>
    <row r="812" spans="1:6" x14ac:dyDescent="0.2">
      <c r="A812" t="s">
        <v>94</v>
      </c>
      <c r="B812" t="s">
        <v>212</v>
      </c>
      <c r="C812">
        <v>463</v>
      </c>
      <c r="D812">
        <v>0.91991071131190105</v>
      </c>
      <c r="E812">
        <v>4.3196544276457903E-3</v>
      </c>
      <c r="F812" t="s">
        <v>245</v>
      </c>
    </row>
    <row r="813" spans="1:6" x14ac:dyDescent="0.2">
      <c r="A813" t="s">
        <v>59</v>
      </c>
      <c r="B813" t="s">
        <v>81</v>
      </c>
      <c r="C813">
        <v>463</v>
      </c>
      <c r="D813">
        <v>0.91991071131190105</v>
      </c>
      <c r="E813">
        <v>4.3196544276457903E-3</v>
      </c>
      <c r="F813" t="s">
        <v>245</v>
      </c>
    </row>
    <row r="814" spans="1:6" x14ac:dyDescent="0.2">
      <c r="A814" t="s">
        <v>48</v>
      </c>
      <c r="B814" t="s">
        <v>91</v>
      </c>
      <c r="C814">
        <v>463</v>
      </c>
      <c r="D814">
        <v>0.91991071131190105</v>
      </c>
      <c r="E814">
        <v>4.3196544276457903E-3</v>
      </c>
      <c r="F814" t="s">
        <v>245</v>
      </c>
    </row>
    <row r="815" spans="1:6" x14ac:dyDescent="0.2">
      <c r="A815" t="s">
        <v>94</v>
      </c>
      <c r="B815" t="s">
        <v>18</v>
      </c>
      <c r="C815">
        <v>463</v>
      </c>
      <c r="D815">
        <v>0.91991071131190105</v>
      </c>
      <c r="E815">
        <v>4.3196544276457903E-3</v>
      </c>
      <c r="F815" t="s">
        <v>245</v>
      </c>
    </row>
    <row r="816" spans="1:6" x14ac:dyDescent="0.2">
      <c r="A816" t="s">
        <v>119</v>
      </c>
      <c r="B816" t="s">
        <v>36</v>
      </c>
      <c r="C816">
        <v>463</v>
      </c>
      <c r="D816">
        <v>0.91991071131190105</v>
      </c>
      <c r="E816">
        <v>4.3196544276457903E-3</v>
      </c>
      <c r="F816" t="s">
        <v>245</v>
      </c>
    </row>
    <row r="817" spans="1:6" x14ac:dyDescent="0.2">
      <c r="A817" t="s">
        <v>81</v>
      </c>
      <c r="B817" t="s">
        <v>85</v>
      </c>
      <c r="C817">
        <v>463</v>
      </c>
      <c r="D817">
        <v>0.91991071131190105</v>
      </c>
      <c r="E817">
        <v>4.3196544276457903E-3</v>
      </c>
      <c r="F817" t="s">
        <v>245</v>
      </c>
    </row>
    <row r="818" spans="1:6" x14ac:dyDescent="0.2">
      <c r="A818" t="s">
        <v>212</v>
      </c>
      <c r="B818" t="s">
        <v>97</v>
      </c>
      <c r="C818">
        <v>463</v>
      </c>
      <c r="D818">
        <v>0.91991071131190105</v>
      </c>
      <c r="E818">
        <v>4.3196544276457903E-3</v>
      </c>
      <c r="F818" t="s">
        <v>245</v>
      </c>
    </row>
    <row r="819" spans="1:6" x14ac:dyDescent="0.2">
      <c r="A819" t="s">
        <v>59</v>
      </c>
      <c r="B819" t="s">
        <v>55</v>
      </c>
      <c r="C819">
        <v>463</v>
      </c>
      <c r="D819">
        <v>0.91991071131190105</v>
      </c>
      <c r="E819">
        <v>4.3196544276457903E-3</v>
      </c>
      <c r="F819" t="s">
        <v>245</v>
      </c>
    </row>
    <row r="820" spans="1:6" x14ac:dyDescent="0.2">
      <c r="A820" t="s">
        <v>35</v>
      </c>
      <c r="B820" t="s">
        <v>18</v>
      </c>
      <c r="C820">
        <v>463</v>
      </c>
      <c r="D820">
        <v>0.91991071131190105</v>
      </c>
      <c r="E820">
        <v>4.3196544276457903E-3</v>
      </c>
      <c r="F820" t="s">
        <v>245</v>
      </c>
    </row>
    <row r="821" spans="1:6" x14ac:dyDescent="0.2">
      <c r="A821" t="s">
        <v>81</v>
      </c>
      <c r="B821" t="s">
        <v>35</v>
      </c>
      <c r="C821">
        <v>463</v>
      </c>
      <c r="D821">
        <v>0.91991071131190105</v>
      </c>
      <c r="E821">
        <v>4.3196544276457903E-3</v>
      </c>
      <c r="F821" t="s">
        <v>245</v>
      </c>
    </row>
    <row r="822" spans="1:6" x14ac:dyDescent="0.2">
      <c r="A822" t="s">
        <v>57</v>
      </c>
      <c r="B822" t="s">
        <v>85</v>
      </c>
      <c r="C822">
        <v>463</v>
      </c>
      <c r="D822">
        <v>0.91991071131190105</v>
      </c>
      <c r="E822">
        <v>4.3196544276457903E-3</v>
      </c>
      <c r="F822" t="s">
        <v>245</v>
      </c>
    </row>
    <row r="823" spans="1:6" x14ac:dyDescent="0.2">
      <c r="A823" t="s">
        <v>57</v>
      </c>
      <c r="B823" t="s">
        <v>48</v>
      </c>
      <c r="C823">
        <v>463</v>
      </c>
      <c r="D823">
        <v>0.91991071131190105</v>
      </c>
      <c r="E823">
        <v>4.3196544276457903E-3</v>
      </c>
      <c r="F823" t="s">
        <v>245</v>
      </c>
    </row>
    <row r="824" spans="1:6" x14ac:dyDescent="0.2">
      <c r="A824" t="s">
        <v>94</v>
      </c>
      <c r="B824" t="s">
        <v>85</v>
      </c>
      <c r="C824">
        <v>463</v>
      </c>
      <c r="D824">
        <v>0.91991071131190105</v>
      </c>
      <c r="E824">
        <v>4.3196544276457903E-3</v>
      </c>
      <c r="F824" t="s">
        <v>245</v>
      </c>
    </row>
    <row r="825" spans="1:6" x14ac:dyDescent="0.2">
      <c r="A825" t="s">
        <v>119</v>
      </c>
      <c r="B825" t="s">
        <v>45</v>
      </c>
      <c r="C825">
        <v>463</v>
      </c>
      <c r="D825">
        <v>0.91991071131190105</v>
      </c>
      <c r="E825">
        <v>4.3196544276457903E-3</v>
      </c>
      <c r="F825" t="s">
        <v>245</v>
      </c>
    </row>
    <row r="826" spans="1:6" x14ac:dyDescent="0.2">
      <c r="A826" t="s">
        <v>48</v>
      </c>
      <c r="B826" t="s">
        <v>94</v>
      </c>
      <c r="C826">
        <v>463</v>
      </c>
      <c r="D826">
        <v>0.91991071131190105</v>
      </c>
      <c r="E826">
        <v>4.3196544276457903E-3</v>
      </c>
      <c r="F826" t="s">
        <v>245</v>
      </c>
    </row>
    <row r="827" spans="1:6" x14ac:dyDescent="0.2">
      <c r="A827" t="s">
        <v>57</v>
      </c>
      <c r="B827" t="s">
        <v>67</v>
      </c>
      <c r="C827">
        <v>463</v>
      </c>
      <c r="D827">
        <v>0.91991071131190105</v>
      </c>
      <c r="E827">
        <v>4.3196544276457903E-3</v>
      </c>
      <c r="F827" t="s">
        <v>245</v>
      </c>
    </row>
    <row r="828" spans="1:6" x14ac:dyDescent="0.2">
      <c r="A828" t="s">
        <v>83</v>
      </c>
      <c r="B828" t="s">
        <v>59</v>
      </c>
      <c r="C828">
        <v>463</v>
      </c>
      <c r="D828">
        <v>0.91991071131190105</v>
      </c>
      <c r="E828">
        <v>4.3196544276457903E-3</v>
      </c>
      <c r="F828" t="s">
        <v>245</v>
      </c>
    </row>
    <row r="829" spans="1:6" x14ac:dyDescent="0.2">
      <c r="A829" t="s">
        <v>48</v>
      </c>
      <c r="B829" t="s">
        <v>178</v>
      </c>
      <c r="C829">
        <v>463</v>
      </c>
      <c r="D829">
        <v>0.91991071131190105</v>
      </c>
      <c r="E829">
        <v>4.3196544276457903E-3</v>
      </c>
      <c r="F829" t="s">
        <v>245</v>
      </c>
    </row>
    <row r="830" spans="1:6" x14ac:dyDescent="0.2">
      <c r="A830" t="s">
        <v>119</v>
      </c>
      <c r="B830" t="s">
        <v>38</v>
      </c>
      <c r="C830">
        <v>463</v>
      </c>
      <c r="D830">
        <v>0.91991071131190105</v>
      </c>
      <c r="E830">
        <v>4.3196544276457903E-3</v>
      </c>
      <c r="F830" t="s">
        <v>245</v>
      </c>
    </row>
    <row r="831" spans="1:6" x14ac:dyDescent="0.2">
      <c r="A831" t="s">
        <v>178</v>
      </c>
      <c r="B831" t="s">
        <v>35</v>
      </c>
      <c r="C831">
        <v>463</v>
      </c>
      <c r="D831">
        <v>0.91991071131190105</v>
      </c>
      <c r="E831">
        <v>4.3196544276457903E-3</v>
      </c>
      <c r="F831" t="s">
        <v>245</v>
      </c>
    </row>
    <row r="832" spans="1:6" x14ac:dyDescent="0.2">
      <c r="A832" t="s">
        <v>59</v>
      </c>
      <c r="B832" t="s">
        <v>212</v>
      </c>
      <c r="C832">
        <v>463</v>
      </c>
      <c r="D832">
        <v>0.91991071131190105</v>
      </c>
      <c r="E832">
        <v>4.3196544276457903E-3</v>
      </c>
      <c r="F832" t="s">
        <v>245</v>
      </c>
    </row>
    <row r="833" spans="1:6" x14ac:dyDescent="0.2">
      <c r="A833" t="s">
        <v>45</v>
      </c>
      <c r="B833" t="s">
        <v>27</v>
      </c>
      <c r="C833">
        <v>463</v>
      </c>
      <c r="D833">
        <v>0.91991071131190105</v>
      </c>
      <c r="E833">
        <v>4.3196544276457903E-3</v>
      </c>
      <c r="F833" t="s">
        <v>245</v>
      </c>
    </row>
    <row r="834" spans="1:6" x14ac:dyDescent="0.2">
      <c r="A834" t="s">
        <v>48</v>
      </c>
      <c r="B834" t="s">
        <v>212</v>
      </c>
      <c r="C834">
        <v>463</v>
      </c>
      <c r="D834">
        <v>0.91991071131190105</v>
      </c>
      <c r="E834">
        <v>4.3196544276457903E-3</v>
      </c>
      <c r="F834" t="s">
        <v>245</v>
      </c>
    </row>
    <row r="835" spans="1:6" x14ac:dyDescent="0.2">
      <c r="A835" t="s">
        <v>59</v>
      </c>
      <c r="B835" t="s">
        <v>36</v>
      </c>
      <c r="C835">
        <v>463</v>
      </c>
      <c r="D835">
        <v>0.91991071131190105</v>
      </c>
      <c r="E835">
        <v>4.3196544276457903E-3</v>
      </c>
      <c r="F835" t="s">
        <v>245</v>
      </c>
    </row>
    <row r="836" spans="1:6" x14ac:dyDescent="0.2">
      <c r="A836" t="s">
        <v>81</v>
      </c>
      <c r="B836" t="s">
        <v>178</v>
      </c>
      <c r="C836">
        <v>463</v>
      </c>
      <c r="D836">
        <v>0.91991071131190105</v>
      </c>
      <c r="E836">
        <v>4.3196544276457903E-3</v>
      </c>
      <c r="F836" t="s">
        <v>245</v>
      </c>
    </row>
    <row r="837" spans="1:6" x14ac:dyDescent="0.2">
      <c r="A837" t="s">
        <v>57</v>
      </c>
      <c r="B837" t="s">
        <v>91</v>
      </c>
      <c r="C837">
        <v>463</v>
      </c>
      <c r="D837">
        <v>0.91991071131190105</v>
      </c>
      <c r="E837">
        <v>4.3196544276457903E-3</v>
      </c>
      <c r="F837" t="s">
        <v>245</v>
      </c>
    </row>
    <row r="838" spans="1:6" x14ac:dyDescent="0.2">
      <c r="A838" t="s">
        <v>62</v>
      </c>
      <c r="B838" t="s">
        <v>53</v>
      </c>
      <c r="C838">
        <v>542</v>
      </c>
      <c r="D838">
        <v>0.77208176074736901</v>
      </c>
      <c r="E838">
        <v>3.6900369003690001E-3</v>
      </c>
      <c r="F838" t="s">
        <v>246</v>
      </c>
    </row>
    <row r="839" spans="1:6" x14ac:dyDescent="0.2">
      <c r="A839" t="s">
        <v>73</v>
      </c>
      <c r="B839" t="s">
        <v>97</v>
      </c>
      <c r="C839">
        <v>574</v>
      </c>
      <c r="D839">
        <v>0.71825398921291705</v>
      </c>
      <c r="E839">
        <v>3.4843205574912901E-3</v>
      </c>
      <c r="F839" t="s">
        <v>247</v>
      </c>
    </row>
    <row r="840" spans="1:6" x14ac:dyDescent="0.2">
      <c r="A840" t="s">
        <v>126</v>
      </c>
      <c r="B840" t="s">
        <v>124</v>
      </c>
      <c r="C840">
        <v>626</v>
      </c>
      <c r="D840">
        <v>0.63687810782544096</v>
      </c>
      <c r="E840">
        <v>3.1948881789137401E-3</v>
      </c>
      <c r="F840" t="s">
        <v>248</v>
      </c>
    </row>
    <row r="841" spans="1:6" x14ac:dyDescent="0.2">
      <c r="A841" t="s">
        <v>48</v>
      </c>
      <c r="B841" t="s">
        <v>25</v>
      </c>
      <c r="C841">
        <v>794</v>
      </c>
      <c r="D841">
        <v>0.41379782310029001</v>
      </c>
      <c r="E841">
        <v>2.5188916876574298E-3</v>
      </c>
      <c r="F841" t="s">
        <v>249</v>
      </c>
    </row>
    <row r="842" spans="1:6" x14ac:dyDescent="0.2">
      <c r="A842" t="s">
        <v>102</v>
      </c>
      <c r="B842" t="s">
        <v>98</v>
      </c>
      <c r="C842">
        <v>794</v>
      </c>
      <c r="D842">
        <v>0.41379782310029001</v>
      </c>
      <c r="E842">
        <v>2.5188916876574298E-3</v>
      </c>
      <c r="F842" t="s">
        <v>249</v>
      </c>
    </row>
    <row r="843" spans="1:6" x14ac:dyDescent="0.2">
      <c r="A843" t="s">
        <v>100</v>
      </c>
      <c r="B843" t="s">
        <v>120</v>
      </c>
      <c r="C843">
        <v>794</v>
      </c>
      <c r="D843">
        <v>0.41379782310029001</v>
      </c>
      <c r="E843">
        <v>2.5188916876574298E-3</v>
      </c>
      <c r="F843" t="s">
        <v>249</v>
      </c>
    </row>
    <row r="844" spans="1:6" x14ac:dyDescent="0.2">
      <c r="A844" t="s">
        <v>68</v>
      </c>
      <c r="B844" t="s">
        <v>102</v>
      </c>
      <c r="C844">
        <v>794</v>
      </c>
      <c r="D844">
        <v>0.41379782310029001</v>
      </c>
      <c r="E844">
        <v>2.5188916876574298E-3</v>
      </c>
      <c r="F844" t="s">
        <v>249</v>
      </c>
    </row>
    <row r="845" spans="1:6" x14ac:dyDescent="0.2">
      <c r="A845" t="s">
        <v>48</v>
      </c>
      <c r="B845" t="s">
        <v>73</v>
      </c>
      <c r="C845">
        <v>794</v>
      </c>
      <c r="D845">
        <v>0.41379782310029001</v>
      </c>
      <c r="E845">
        <v>2.5188916876574298E-3</v>
      </c>
      <c r="F845" t="s">
        <v>249</v>
      </c>
    </row>
    <row r="846" spans="1:6" x14ac:dyDescent="0.2">
      <c r="A846" t="s">
        <v>119</v>
      </c>
      <c r="B846" t="s">
        <v>98</v>
      </c>
      <c r="C846">
        <v>794</v>
      </c>
      <c r="D846">
        <v>0.41379782310029001</v>
      </c>
      <c r="E846">
        <v>2.5188916876574298E-3</v>
      </c>
      <c r="F846" t="s">
        <v>249</v>
      </c>
    </row>
    <row r="847" spans="1:6" x14ac:dyDescent="0.2">
      <c r="A847" t="s">
        <v>102</v>
      </c>
      <c r="B847" t="s">
        <v>65</v>
      </c>
      <c r="C847">
        <v>794</v>
      </c>
      <c r="D847">
        <v>0.41379782310029001</v>
      </c>
      <c r="E847">
        <v>2.5188916876574298E-3</v>
      </c>
      <c r="F847" t="s">
        <v>249</v>
      </c>
    </row>
    <row r="848" spans="1:6" x14ac:dyDescent="0.2">
      <c r="A848" t="s">
        <v>187</v>
      </c>
      <c r="B848" t="s">
        <v>25</v>
      </c>
      <c r="C848">
        <v>794</v>
      </c>
      <c r="D848">
        <v>0.41379782310029001</v>
      </c>
      <c r="E848">
        <v>2.5188916876574298E-3</v>
      </c>
      <c r="F848" t="s">
        <v>249</v>
      </c>
    </row>
    <row r="849" spans="1:6" x14ac:dyDescent="0.2">
      <c r="A849" t="s">
        <v>100</v>
      </c>
      <c r="B849" t="s">
        <v>65</v>
      </c>
      <c r="C849">
        <v>794</v>
      </c>
      <c r="D849">
        <v>0.41379782310029001</v>
      </c>
      <c r="E849">
        <v>2.5188916876574298E-3</v>
      </c>
      <c r="F849" t="s">
        <v>249</v>
      </c>
    </row>
    <row r="850" spans="1:6" x14ac:dyDescent="0.2">
      <c r="A850" t="s">
        <v>48</v>
      </c>
      <c r="B850" t="s">
        <v>34</v>
      </c>
      <c r="C850">
        <v>794</v>
      </c>
      <c r="D850">
        <v>0.41379782310029001</v>
      </c>
      <c r="E850">
        <v>2.5188916876574298E-3</v>
      </c>
      <c r="F850" t="s">
        <v>249</v>
      </c>
    </row>
    <row r="851" spans="1:6" x14ac:dyDescent="0.2">
      <c r="A851" t="s">
        <v>100</v>
      </c>
      <c r="B851" t="s">
        <v>25</v>
      </c>
      <c r="C851">
        <v>794</v>
      </c>
      <c r="D851">
        <v>0.41379782310029001</v>
      </c>
      <c r="E851">
        <v>2.5188916876574298E-3</v>
      </c>
      <c r="F851" t="s">
        <v>249</v>
      </c>
    </row>
    <row r="852" spans="1:6" x14ac:dyDescent="0.2">
      <c r="A852" t="s">
        <v>187</v>
      </c>
      <c r="B852" t="s">
        <v>34</v>
      </c>
      <c r="C852">
        <v>794</v>
      </c>
      <c r="D852">
        <v>0.41379782310029001</v>
      </c>
      <c r="E852">
        <v>2.5188916876574298E-3</v>
      </c>
      <c r="F852" t="s">
        <v>249</v>
      </c>
    </row>
    <row r="853" spans="1:6" x14ac:dyDescent="0.2">
      <c r="A853" t="s">
        <v>189</v>
      </c>
      <c r="B853" t="s">
        <v>73</v>
      </c>
      <c r="C853">
        <v>794</v>
      </c>
      <c r="D853">
        <v>0.41379782310029001</v>
      </c>
      <c r="E853">
        <v>2.5188916876574298E-3</v>
      </c>
      <c r="F853" t="s">
        <v>249</v>
      </c>
    </row>
    <row r="854" spans="1:6" x14ac:dyDescent="0.2">
      <c r="A854" t="s">
        <v>102</v>
      </c>
      <c r="B854" t="s">
        <v>70</v>
      </c>
      <c r="C854">
        <v>794</v>
      </c>
      <c r="D854">
        <v>0.41379782310029001</v>
      </c>
      <c r="E854">
        <v>2.5188916876574298E-3</v>
      </c>
      <c r="F854" t="s">
        <v>249</v>
      </c>
    </row>
    <row r="855" spans="1:6" x14ac:dyDescent="0.2">
      <c r="A855" t="s">
        <v>48</v>
      </c>
      <c r="B855" t="s">
        <v>76</v>
      </c>
      <c r="C855">
        <v>794</v>
      </c>
      <c r="D855">
        <v>0.41379782310029001</v>
      </c>
      <c r="E855">
        <v>2.5188916876574298E-3</v>
      </c>
      <c r="F855" t="s">
        <v>249</v>
      </c>
    </row>
    <row r="856" spans="1:6" x14ac:dyDescent="0.2">
      <c r="A856" t="s">
        <v>48</v>
      </c>
      <c r="B856" t="s">
        <v>100</v>
      </c>
      <c r="C856">
        <v>794</v>
      </c>
      <c r="D856">
        <v>0.41379782310029001</v>
      </c>
      <c r="E856">
        <v>2.5188916876574298E-3</v>
      </c>
      <c r="F856" t="s">
        <v>249</v>
      </c>
    </row>
    <row r="857" spans="1:6" x14ac:dyDescent="0.2">
      <c r="A857" t="s">
        <v>68</v>
      </c>
      <c r="B857" t="s">
        <v>73</v>
      </c>
      <c r="C857">
        <v>794</v>
      </c>
      <c r="D857">
        <v>0.41379782310029001</v>
      </c>
      <c r="E857">
        <v>2.5188916876574298E-3</v>
      </c>
      <c r="F857" t="s">
        <v>249</v>
      </c>
    </row>
    <row r="858" spans="1:6" x14ac:dyDescent="0.2">
      <c r="A858" t="s">
        <v>116</v>
      </c>
      <c r="B858" t="s">
        <v>79</v>
      </c>
      <c r="C858">
        <v>794</v>
      </c>
      <c r="D858">
        <v>0.41379782310029001</v>
      </c>
      <c r="E858">
        <v>2.5188916876574298E-3</v>
      </c>
      <c r="F858" t="s">
        <v>249</v>
      </c>
    </row>
    <row r="859" spans="1:6" x14ac:dyDescent="0.2">
      <c r="A859" t="s">
        <v>73</v>
      </c>
      <c r="B859" t="s">
        <v>65</v>
      </c>
      <c r="C859">
        <v>794</v>
      </c>
      <c r="D859">
        <v>0.41379782310029001</v>
      </c>
      <c r="E859">
        <v>2.5188916876574298E-3</v>
      </c>
      <c r="F859" t="s">
        <v>249</v>
      </c>
    </row>
    <row r="860" spans="1:6" x14ac:dyDescent="0.2">
      <c r="A860" t="s">
        <v>65</v>
      </c>
      <c r="B860" t="s">
        <v>98</v>
      </c>
      <c r="C860">
        <v>794</v>
      </c>
      <c r="D860">
        <v>0.41379782310029001</v>
      </c>
      <c r="E860">
        <v>2.5188916876574298E-3</v>
      </c>
      <c r="F860" t="s">
        <v>249</v>
      </c>
    </row>
    <row r="861" spans="1:6" x14ac:dyDescent="0.2">
      <c r="A861" t="s">
        <v>25</v>
      </c>
      <c r="B861" t="s">
        <v>73</v>
      </c>
      <c r="C861">
        <v>794</v>
      </c>
      <c r="D861">
        <v>0.41379782310029001</v>
      </c>
      <c r="E861">
        <v>2.5188916876574298E-3</v>
      </c>
      <c r="F861" t="s">
        <v>249</v>
      </c>
    </row>
    <row r="862" spans="1:6" x14ac:dyDescent="0.2">
      <c r="A862" t="s">
        <v>79</v>
      </c>
      <c r="B862" t="s">
        <v>76</v>
      </c>
      <c r="C862">
        <v>794</v>
      </c>
      <c r="D862">
        <v>0.41379782310029001</v>
      </c>
      <c r="E862">
        <v>2.5188916876574298E-3</v>
      </c>
      <c r="F862" t="s">
        <v>249</v>
      </c>
    </row>
    <row r="863" spans="1:6" x14ac:dyDescent="0.2">
      <c r="A863" t="s">
        <v>25</v>
      </c>
      <c r="B863" t="s">
        <v>75</v>
      </c>
      <c r="C863">
        <v>794</v>
      </c>
      <c r="D863">
        <v>0.41379782310029001</v>
      </c>
      <c r="E863">
        <v>2.5188916876574298E-3</v>
      </c>
      <c r="F863" t="s">
        <v>249</v>
      </c>
    </row>
    <row r="864" spans="1:6" x14ac:dyDescent="0.2">
      <c r="A864" t="s">
        <v>119</v>
      </c>
      <c r="B864" t="s">
        <v>102</v>
      </c>
      <c r="C864">
        <v>794</v>
      </c>
      <c r="D864">
        <v>0.41379782310029001</v>
      </c>
      <c r="E864">
        <v>2.5188916876574298E-3</v>
      </c>
      <c r="F864" t="s">
        <v>249</v>
      </c>
    </row>
    <row r="865" spans="1:6" x14ac:dyDescent="0.2">
      <c r="A865" t="s">
        <v>120</v>
      </c>
      <c r="B865" t="s">
        <v>98</v>
      </c>
      <c r="C865">
        <v>794</v>
      </c>
      <c r="D865">
        <v>0.41379782310029001</v>
      </c>
      <c r="E865">
        <v>2.5188916876574298E-3</v>
      </c>
      <c r="F865" t="s">
        <v>249</v>
      </c>
    </row>
    <row r="866" spans="1:6" x14ac:dyDescent="0.2">
      <c r="A866" t="s">
        <v>120</v>
      </c>
      <c r="B866" t="s">
        <v>76</v>
      </c>
      <c r="C866">
        <v>794</v>
      </c>
      <c r="D866">
        <v>0.41379782310029001</v>
      </c>
      <c r="E866">
        <v>2.5188916876574298E-3</v>
      </c>
      <c r="F866" t="s">
        <v>249</v>
      </c>
    </row>
    <row r="867" spans="1:6" x14ac:dyDescent="0.2">
      <c r="A867" t="s">
        <v>102</v>
      </c>
      <c r="B867" t="s">
        <v>73</v>
      </c>
      <c r="C867">
        <v>794</v>
      </c>
      <c r="D867">
        <v>0.41379782310029001</v>
      </c>
      <c r="E867">
        <v>2.5188916876574298E-3</v>
      </c>
      <c r="F867" t="s">
        <v>249</v>
      </c>
    </row>
    <row r="868" spans="1:6" x14ac:dyDescent="0.2">
      <c r="A868" t="s">
        <v>119</v>
      </c>
      <c r="B868" t="s">
        <v>79</v>
      </c>
      <c r="C868">
        <v>794</v>
      </c>
      <c r="D868">
        <v>0.41379782310029001</v>
      </c>
      <c r="E868">
        <v>2.5188916876574298E-3</v>
      </c>
      <c r="F868" t="s">
        <v>249</v>
      </c>
    </row>
    <row r="869" spans="1:6" x14ac:dyDescent="0.2">
      <c r="A869" t="s">
        <v>17</v>
      </c>
      <c r="B869" t="s">
        <v>73</v>
      </c>
      <c r="C869">
        <v>794</v>
      </c>
      <c r="D869">
        <v>0.41379782310029001</v>
      </c>
      <c r="E869">
        <v>2.5188916876574298E-3</v>
      </c>
      <c r="F869" t="s">
        <v>249</v>
      </c>
    </row>
    <row r="870" spans="1:6" x14ac:dyDescent="0.2">
      <c r="A870" t="s">
        <v>100</v>
      </c>
      <c r="B870" t="s">
        <v>116</v>
      </c>
      <c r="C870">
        <v>794</v>
      </c>
      <c r="D870">
        <v>0.41379782310029001</v>
      </c>
      <c r="E870">
        <v>2.5188916876574298E-3</v>
      </c>
      <c r="F870" t="s">
        <v>249</v>
      </c>
    </row>
    <row r="871" spans="1:6" x14ac:dyDescent="0.2">
      <c r="A871" t="s">
        <v>25</v>
      </c>
      <c r="B871" t="s">
        <v>76</v>
      </c>
      <c r="C871">
        <v>794</v>
      </c>
      <c r="D871">
        <v>0.41379782310029001</v>
      </c>
      <c r="E871">
        <v>2.5188916876574298E-3</v>
      </c>
      <c r="F871" t="s">
        <v>249</v>
      </c>
    </row>
    <row r="872" spans="1:6" x14ac:dyDescent="0.2">
      <c r="A872" t="s">
        <v>48</v>
      </c>
      <c r="B872" t="s">
        <v>74</v>
      </c>
      <c r="C872">
        <v>794</v>
      </c>
      <c r="D872">
        <v>0.41379782310029001</v>
      </c>
      <c r="E872">
        <v>2.5188916876574298E-3</v>
      </c>
      <c r="F872" t="s">
        <v>249</v>
      </c>
    </row>
    <row r="873" spans="1:6" x14ac:dyDescent="0.2">
      <c r="A873" t="s">
        <v>48</v>
      </c>
      <c r="B873" t="s">
        <v>65</v>
      </c>
      <c r="C873">
        <v>794</v>
      </c>
      <c r="D873">
        <v>0.41379782310029001</v>
      </c>
      <c r="E873">
        <v>2.5188916876574298E-3</v>
      </c>
      <c r="F873" t="s">
        <v>249</v>
      </c>
    </row>
    <row r="874" spans="1:6" x14ac:dyDescent="0.2">
      <c r="A874" t="s">
        <v>25</v>
      </c>
      <c r="B874" t="s">
        <v>120</v>
      </c>
      <c r="C874">
        <v>794</v>
      </c>
      <c r="D874">
        <v>0.41379782310029001</v>
      </c>
      <c r="E874">
        <v>2.5188916876574298E-3</v>
      </c>
      <c r="F874" t="s">
        <v>249</v>
      </c>
    </row>
    <row r="875" spans="1:6" x14ac:dyDescent="0.2">
      <c r="A875" t="s">
        <v>48</v>
      </c>
      <c r="B875" t="s">
        <v>120</v>
      </c>
      <c r="C875">
        <v>794</v>
      </c>
      <c r="D875">
        <v>0.41379782310029001</v>
      </c>
      <c r="E875">
        <v>2.5188916876574298E-3</v>
      </c>
      <c r="F875" t="s">
        <v>249</v>
      </c>
    </row>
    <row r="876" spans="1:6" x14ac:dyDescent="0.2">
      <c r="A876" t="s">
        <v>73</v>
      </c>
      <c r="B876" t="s">
        <v>74</v>
      </c>
      <c r="C876">
        <v>794</v>
      </c>
      <c r="D876">
        <v>0.41379782310029001</v>
      </c>
      <c r="E876">
        <v>2.5188916876574298E-3</v>
      </c>
      <c r="F876" t="s">
        <v>249</v>
      </c>
    </row>
    <row r="877" spans="1:6" x14ac:dyDescent="0.2">
      <c r="A877" t="s">
        <v>68</v>
      </c>
      <c r="B877" t="s">
        <v>25</v>
      </c>
      <c r="C877">
        <v>794</v>
      </c>
      <c r="D877">
        <v>0.41379782310029001</v>
      </c>
      <c r="E877">
        <v>2.5188916876574298E-3</v>
      </c>
      <c r="F877" t="s">
        <v>249</v>
      </c>
    </row>
    <row r="878" spans="1:6" x14ac:dyDescent="0.2">
      <c r="A878" t="s">
        <v>74</v>
      </c>
      <c r="B878" t="s">
        <v>65</v>
      </c>
      <c r="C878">
        <v>794</v>
      </c>
      <c r="D878">
        <v>0.41379782310029001</v>
      </c>
      <c r="E878">
        <v>2.5188916876574298E-3</v>
      </c>
      <c r="F878" t="s">
        <v>249</v>
      </c>
    </row>
    <row r="879" spans="1:6" x14ac:dyDescent="0.2">
      <c r="A879" t="s">
        <v>74</v>
      </c>
      <c r="B879" t="s">
        <v>116</v>
      </c>
      <c r="C879">
        <v>794</v>
      </c>
      <c r="D879">
        <v>0.41379782310029001</v>
      </c>
      <c r="E879">
        <v>2.5188916876574298E-3</v>
      </c>
      <c r="F879" t="s">
        <v>249</v>
      </c>
    </row>
    <row r="880" spans="1:6" x14ac:dyDescent="0.2">
      <c r="A880" t="s">
        <v>100</v>
      </c>
      <c r="B880" t="s">
        <v>70</v>
      </c>
      <c r="C880">
        <v>794</v>
      </c>
      <c r="D880">
        <v>0.41379782310029001</v>
      </c>
      <c r="E880">
        <v>2.5188916876574298E-3</v>
      </c>
      <c r="F880" t="s">
        <v>249</v>
      </c>
    </row>
    <row r="881" spans="1:6" x14ac:dyDescent="0.2">
      <c r="A881" t="s">
        <v>74</v>
      </c>
      <c r="B881" t="s">
        <v>79</v>
      </c>
      <c r="C881">
        <v>794</v>
      </c>
      <c r="D881">
        <v>0.41379782310029001</v>
      </c>
      <c r="E881">
        <v>2.5188916876574298E-3</v>
      </c>
      <c r="F881" t="s">
        <v>249</v>
      </c>
    </row>
    <row r="882" spans="1:6" x14ac:dyDescent="0.2">
      <c r="A882" t="s">
        <v>119</v>
      </c>
      <c r="B882" t="s">
        <v>76</v>
      </c>
      <c r="C882">
        <v>794</v>
      </c>
      <c r="D882">
        <v>0.41379782310029001</v>
      </c>
      <c r="E882">
        <v>2.5188916876574298E-3</v>
      </c>
      <c r="F882" t="s">
        <v>249</v>
      </c>
    </row>
    <row r="883" spans="1:6" x14ac:dyDescent="0.2">
      <c r="A883" t="s">
        <v>119</v>
      </c>
      <c r="B883" t="s">
        <v>73</v>
      </c>
      <c r="C883">
        <v>794</v>
      </c>
      <c r="D883">
        <v>0.41379782310029001</v>
      </c>
      <c r="E883">
        <v>2.5188916876574298E-3</v>
      </c>
      <c r="F883" t="s">
        <v>249</v>
      </c>
    </row>
    <row r="884" spans="1:6" x14ac:dyDescent="0.2">
      <c r="A884" t="s">
        <v>75</v>
      </c>
      <c r="B884" t="s">
        <v>76</v>
      </c>
      <c r="C884">
        <v>794</v>
      </c>
      <c r="D884">
        <v>0.41379782310029001</v>
      </c>
      <c r="E884">
        <v>2.5188916876574298E-3</v>
      </c>
      <c r="F884" t="s">
        <v>249</v>
      </c>
    </row>
    <row r="885" spans="1:6" x14ac:dyDescent="0.2">
      <c r="A885" t="s">
        <v>120</v>
      </c>
      <c r="B885" t="s">
        <v>74</v>
      </c>
      <c r="C885">
        <v>794</v>
      </c>
      <c r="D885">
        <v>0.41379782310029001</v>
      </c>
      <c r="E885">
        <v>2.5188916876574298E-3</v>
      </c>
      <c r="F885" t="s">
        <v>249</v>
      </c>
    </row>
    <row r="886" spans="1:6" x14ac:dyDescent="0.2">
      <c r="A886" t="s">
        <v>73</v>
      </c>
      <c r="B886" t="s">
        <v>116</v>
      </c>
      <c r="C886">
        <v>794</v>
      </c>
      <c r="D886">
        <v>0.41379782310029001</v>
      </c>
      <c r="E886">
        <v>2.5188916876574298E-3</v>
      </c>
      <c r="F886" t="s">
        <v>249</v>
      </c>
    </row>
    <row r="887" spans="1:6" x14ac:dyDescent="0.2">
      <c r="A887" t="s">
        <v>100</v>
      </c>
      <c r="B887" t="s">
        <v>75</v>
      </c>
      <c r="C887">
        <v>794</v>
      </c>
      <c r="D887">
        <v>0.41379782310029001</v>
      </c>
      <c r="E887">
        <v>2.5188916876574298E-3</v>
      </c>
      <c r="F887" t="s">
        <v>249</v>
      </c>
    </row>
    <row r="888" spans="1:6" x14ac:dyDescent="0.2">
      <c r="A888" t="s">
        <v>74</v>
      </c>
      <c r="B888" t="s">
        <v>98</v>
      </c>
      <c r="C888">
        <v>794</v>
      </c>
      <c r="D888">
        <v>0.41379782310029001</v>
      </c>
      <c r="E888">
        <v>2.5188916876574298E-3</v>
      </c>
      <c r="F888" t="s">
        <v>249</v>
      </c>
    </row>
    <row r="889" spans="1:6" x14ac:dyDescent="0.2">
      <c r="A889" t="s">
        <v>75</v>
      </c>
      <c r="B889" t="s">
        <v>98</v>
      </c>
      <c r="C889">
        <v>794</v>
      </c>
      <c r="D889">
        <v>0.41379782310029001</v>
      </c>
      <c r="E889">
        <v>2.5188916876574298E-3</v>
      </c>
      <c r="F889" t="s">
        <v>249</v>
      </c>
    </row>
    <row r="890" spans="1:6" x14ac:dyDescent="0.2">
      <c r="A890" t="s">
        <v>70</v>
      </c>
      <c r="B890" t="s">
        <v>34</v>
      </c>
      <c r="C890">
        <v>794</v>
      </c>
      <c r="D890">
        <v>0.41379782310029001</v>
      </c>
      <c r="E890">
        <v>2.5188916876574298E-3</v>
      </c>
      <c r="F890" t="s">
        <v>249</v>
      </c>
    </row>
    <row r="891" spans="1:6" x14ac:dyDescent="0.2">
      <c r="A891" t="s">
        <v>74</v>
      </c>
      <c r="B891" t="s">
        <v>34</v>
      </c>
      <c r="C891">
        <v>794</v>
      </c>
      <c r="D891">
        <v>0.41379782310029001</v>
      </c>
      <c r="E891">
        <v>2.5188916876574298E-3</v>
      </c>
      <c r="F891" t="s">
        <v>249</v>
      </c>
    </row>
    <row r="892" spans="1:6" x14ac:dyDescent="0.2">
      <c r="A892" t="s">
        <v>65</v>
      </c>
      <c r="B892" t="s">
        <v>34</v>
      </c>
      <c r="C892">
        <v>794</v>
      </c>
      <c r="D892">
        <v>0.41379782310029001</v>
      </c>
      <c r="E892">
        <v>2.5188916876574298E-3</v>
      </c>
      <c r="F892" t="s">
        <v>249</v>
      </c>
    </row>
    <row r="893" spans="1:6" x14ac:dyDescent="0.2">
      <c r="A893" t="s">
        <v>116</v>
      </c>
      <c r="B893" t="s">
        <v>34</v>
      </c>
      <c r="C893">
        <v>794</v>
      </c>
      <c r="D893">
        <v>0.41379782310029001</v>
      </c>
      <c r="E893">
        <v>2.5188916876574298E-3</v>
      </c>
      <c r="F893" t="s">
        <v>249</v>
      </c>
    </row>
    <row r="894" spans="1:6" x14ac:dyDescent="0.2">
      <c r="A894" t="s">
        <v>75</v>
      </c>
      <c r="B894" t="s">
        <v>34</v>
      </c>
      <c r="C894">
        <v>794</v>
      </c>
      <c r="D894">
        <v>0.41379782310029001</v>
      </c>
      <c r="E894">
        <v>2.5188916876574298E-3</v>
      </c>
      <c r="F894" t="s">
        <v>249</v>
      </c>
    </row>
    <row r="895" spans="1:6" x14ac:dyDescent="0.2">
      <c r="A895" t="s">
        <v>98</v>
      </c>
      <c r="B895" t="s">
        <v>76</v>
      </c>
      <c r="C895">
        <v>794</v>
      </c>
      <c r="D895">
        <v>0.41379782310029001</v>
      </c>
      <c r="E895">
        <v>2.5188916876574298E-3</v>
      </c>
      <c r="F895" t="s">
        <v>249</v>
      </c>
    </row>
    <row r="896" spans="1:6" x14ac:dyDescent="0.2">
      <c r="A896" t="s">
        <v>70</v>
      </c>
      <c r="B896" t="s">
        <v>98</v>
      </c>
      <c r="C896">
        <v>794</v>
      </c>
      <c r="D896">
        <v>0.41379782310029001</v>
      </c>
      <c r="E896">
        <v>2.5188916876574298E-3</v>
      </c>
      <c r="F896" t="s">
        <v>249</v>
      </c>
    </row>
    <row r="897" spans="1:6" x14ac:dyDescent="0.2">
      <c r="A897" t="s">
        <v>73</v>
      </c>
      <c r="B897" t="s">
        <v>34</v>
      </c>
      <c r="C897">
        <v>794</v>
      </c>
      <c r="D897">
        <v>0.41379782310029001</v>
      </c>
      <c r="E897">
        <v>2.5188916876574298E-3</v>
      </c>
      <c r="F897" t="s">
        <v>249</v>
      </c>
    </row>
    <row r="898" spans="1:6" x14ac:dyDescent="0.2">
      <c r="A898" t="s">
        <v>119</v>
      </c>
      <c r="B898" t="s">
        <v>100</v>
      </c>
      <c r="C898">
        <v>794</v>
      </c>
      <c r="D898">
        <v>0.41379782310029001</v>
      </c>
      <c r="E898">
        <v>2.5188916876574298E-3</v>
      </c>
      <c r="F898" t="s">
        <v>249</v>
      </c>
    </row>
    <row r="899" spans="1:6" x14ac:dyDescent="0.2">
      <c r="A899" t="s">
        <v>75</v>
      </c>
      <c r="B899" t="s">
        <v>74</v>
      </c>
      <c r="C899">
        <v>794</v>
      </c>
      <c r="D899">
        <v>0.41379782310029001</v>
      </c>
      <c r="E899">
        <v>2.5188916876574298E-3</v>
      </c>
      <c r="F899" t="s">
        <v>249</v>
      </c>
    </row>
    <row r="900" spans="1:6" x14ac:dyDescent="0.2">
      <c r="A900" t="s">
        <v>48</v>
      </c>
      <c r="B900" t="s">
        <v>187</v>
      </c>
      <c r="C900">
        <v>794</v>
      </c>
      <c r="D900">
        <v>0.41379782310029001</v>
      </c>
      <c r="E900">
        <v>2.5188916876574298E-3</v>
      </c>
      <c r="F900" t="s">
        <v>249</v>
      </c>
    </row>
    <row r="901" spans="1:6" x14ac:dyDescent="0.2">
      <c r="A901" t="s">
        <v>17</v>
      </c>
      <c r="B901" t="s">
        <v>98</v>
      </c>
      <c r="C901">
        <v>794</v>
      </c>
      <c r="D901">
        <v>0.41379782310029001</v>
      </c>
      <c r="E901">
        <v>2.5188916876574298E-3</v>
      </c>
      <c r="F901" t="s">
        <v>249</v>
      </c>
    </row>
    <row r="902" spans="1:6" x14ac:dyDescent="0.2">
      <c r="A902" t="s">
        <v>25</v>
      </c>
      <c r="B902" t="s">
        <v>116</v>
      </c>
      <c r="C902">
        <v>794</v>
      </c>
      <c r="D902">
        <v>0.41379782310029001</v>
      </c>
      <c r="E902">
        <v>2.5188916876574298E-3</v>
      </c>
      <c r="F902" t="s">
        <v>249</v>
      </c>
    </row>
    <row r="903" spans="1:6" x14ac:dyDescent="0.2">
      <c r="A903" t="s">
        <v>75</v>
      </c>
      <c r="B903" t="s">
        <v>79</v>
      </c>
      <c r="C903">
        <v>794</v>
      </c>
      <c r="D903">
        <v>0.41379782310029001</v>
      </c>
      <c r="E903">
        <v>2.5188916876574298E-3</v>
      </c>
      <c r="F903" t="s">
        <v>249</v>
      </c>
    </row>
    <row r="904" spans="1:6" x14ac:dyDescent="0.2">
      <c r="A904" t="s">
        <v>100</v>
      </c>
      <c r="B904" t="s">
        <v>98</v>
      </c>
      <c r="C904">
        <v>794</v>
      </c>
      <c r="D904">
        <v>0.41379782310029001</v>
      </c>
      <c r="E904">
        <v>2.5188916876574298E-3</v>
      </c>
      <c r="F904" t="s">
        <v>249</v>
      </c>
    </row>
    <row r="905" spans="1:6" x14ac:dyDescent="0.2">
      <c r="A905" t="s">
        <v>100</v>
      </c>
      <c r="B905" t="s">
        <v>189</v>
      </c>
      <c r="C905">
        <v>794</v>
      </c>
      <c r="D905">
        <v>0.41379782310029001</v>
      </c>
      <c r="E905">
        <v>2.5188916876574298E-3</v>
      </c>
      <c r="F905" t="s">
        <v>249</v>
      </c>
    </row>
    <row r="906" spans="1:6" x14ac:dyDescent="0.2">
      <c r="A906" t="s">
        <v>25</v>
      </c>
      <c r="B906" t="s">
        <v>79</v>
      </c>
      <c r="C906">
        <v>794</v>
      </c>
      <c r="D906">
        <v>0.41379782310029001</v>
      </c>
      <c r="E906">
        <v>2.5188916876574298E-3</v>
      </c>
      <c r="F906" t="s">
        <v>249</v>
      </c>
    </row>
    <row r="907" spans="1:6" x14ac:dyDescent="0.2">
      <c r="A907" t="s">
        <v>102</v>
      </c>
      <c r="B907" t="s">
        <v>34</v>
      </c>
      <c r="C907">
        <v>794</v>
      </c>
      <c r="D907">
        <v>0.41379782310029001</v>
      </c>
      <c r="E907">
        <v>2.5188916876574298E-3</v>
      </c>
      <c r="F907" t="s">
        <v>249</v>
      </c>
    </row>
    <row r="908" spans="1:6" x14ac:dyDescent="0.2">
      <c r="A908" t="s">
        <v>68</v>
      </c>
      <c r="B908" t="s">
        <v>98</v>
      </c>
      <c r="C908">
        <v>794</v>
      </c>
      <c r="D908">
        <v>0.41379782310029001</v>
      </c>
      <c r="E908">
        <v>2.5188916876574298E-3</v>
      </c>
      <c r="F908" t="s">
        <v>249</v>
      </c>
    </row>
    <row r="909" spans="1:6" x14ac:dyDescent="0.2">
      <c r="A909" t="s">
        <v>73</v>
      </c>
      <c r="B909" t="s">
        <v>98</v>
      </c>
      <c r="C909">
        <v>794</v>
      </c>
      <c r="D909">
        <v>0.41379782310029001</v>
      </c>
      <c r="E909">
        <v>2.5188916876574298E-3</v>
      </c>
      <c r="F909" t="s">
        <v>249</v>
      </c>
    </row>
    <row r="910" spans="1:6" x14ac:dyDescent="0.2">
      <c r="A910" t="s">
        <v>79</v>
      </c>
      <c r="B910" t="s">
        <v>34</v>
      </c>
      <c r="C910">
        <v>794</v>
      </c>
      <c r="D910">
        <v>0.41379782310029001</v>
      </c>
      <c r="E910">
        <v>2.5188916876574298E-3</v>
      </c>
      <c r="F910" t="s">
        <v>249</v>
      </c>
    </row>
    <row r="911" spans="1:6" x14ac:dyDescent="0.2">
      <c r="A911" t="s">
        <v>25</v>
      </c>
      <c r="B911" t="s">
        <v>65</v>
      </c>
      <c r="C911">
        <v>794</v>
      </c>
      <c r="D911">
        <v>0.41379782310029001</v>
      </c>
      <c r="E911">
        <v>2.5188916876574298E-3</v>
      </c>
      <c r="F911" t="s">
        <v>249</v>
      </c>
    </row>
    <row r="912" spans="1:6" x14ac:dyDescent="0.2">
      <c r="A912" t="s">
        <v>119</v>
      </c>
      <c r="B912" t="s">
        <v>34</v>
      </c>
      <c r="C912">
        <v>794</v>
      </c>
      <c r="D912">
        <v>0.41379782310029001</v>
      </c>
      <c r="E912">
        <v>2.5188916876574298E-3</v>
      </c>
      <c r="F912" t="s">
        <v>249</v>
      </c>
    </row>
    <row r="913" spans="1:6" x14ac:dyDescent="0.2">
      <c r="A913" t="s">
        <v>100</v>
      </c>
      <c r="B913" t="s">
        <v>17</v>
      </c>
      <c r="C913">
        <v>794</v>
      </c>
      <c r="D913">
        <v>0.41379782310029001</v>
      </c>
      <c r="E913">
        <v>2.5188916876574298E-3</v>
      </c>
      <c r="F913" t="s">
        <v>249</v>
      </c>
    </row>
    <row r="914" spans="1:6" x14ac:dyDescent="0.2">
      <c r="A914" t="s">
        <v>102</v>
      </c>
      <c r="B914" t="s">
        <v>120</v>
      </c>
      <c r="C914">
        <v>794</v>
      </c>
      <c r="D914">
        <v>0.41379782310029001</v>
      </c>
      <c r="E914">
        <v>2.5188916876574298E-3</v>
      </c>
      <c r="F914" t="s">
        <v>249</v>
      </c>
    </row>
    <row r="915" spans="1:6" x14ac:dyDescent="0.2">
      <c r="A915" t="s">
        <v>68</v>
      </c>
      <c r="B915" t="s">
        <v>48</v>
      </c>
      <c r="C915">
        <v>794</v>
      </c>
      <c r="D915">
        <v>0.41379782310029001</v>
      </c>
      <c r="E915">
        <v>2.5188916876574298E-3</v>
      </c>
      <c r="F915" t="s">
        <v>249</v>
      </c>
    </row>
    <row r="916" spans="1:6" x14ac:dyDescent="0.2">
      <c r="A916" t="s">
        <v>70</v>
      </c>
      <c r="B916" t="s">
        <v>79</v>
      </c>
      <c r="C916">
        <v>794</v>
      </c>
      <c r="D916">
        <v>0.41379782310029001</v>
      </c>
      <c r="E916">
        <v>2.5188916876574298E-3</v>
      </c>
      <c r="F916" t="s">
        <v>249</v>
      </c>
    </row>
    <row r="917" spans="1:6" x14ac:dyDescent="0.2">
      <c r="A917" t="s">
        <v>100</v>
      </c>
      <c r="B917" t="s">
        <v>79</v>
      </c>
      <c r="C917">
        <v>794</v>
      </c>
      <c r="D917">
        <v>0.41379782310029001</v>
      </c>
      <c r="E917">
        <v>2.5188916876574298E-3</v>
      </c>
      <c r="F917" t="s">
        <v>249</v>
      </c>
    </row>
    <row r="918" spans="1:6" x14ac:dyDescent="0.2">
      <c r="A918" t="s">
        <v>48</v>
      </c>
      <c r="B918" t="s">
        <v>98</v>
      </c>
      <c r="C918">
        <v>794</v>
      </c>
      <c r="D918">
        <v>0.41379782310029001</v>
      </c>
      <c r="E918">
        <v>2.5188916876574298E-3</v>
      </c>
      <c r="F918" t="s">
        <v>249</v>
      </c>
    </row>
    <row r="919" spans="1:6" x14ac:dyDescent="0.2">
      <c r="A919" t="s">
        <v>98</v>
      </c>
      <c r="B919" t="s">
        <v>116</v>
      </c>
      <c r="C919">
        <v>794</v>
      </c>
      <c r="D919">
        <v>0.41379782310029001</v>
      </c>
      <c r="E919">
        <v>2.5188916876574298E-3</v>
      </c>
      <c r="F919" t="s">
        <v>249</v>
      </c>
    </row>
    <row r="920" spans="1:6" x14ac:dyDescent="0.2">
      <c r="A920" t="s">
        <v>98</v>
      </c>
      <c r="B920" t="s">
        <v>34</v>
      </c>
      <c r="C920">
        <v>794</v>
      </c>
      <c r="D920">
        <v>0.41379782310029001</v>
      </c>
      <c r="E920">
        <v>2.5188916876574298E-3</v>
      </c>
      <c r="F920" t="s">
        <v>249</v>
      </c>
    </row>
    <row r="921" spans="1:6" x14ac:dyDescent="0.2">
      <c r="A921" t="s">
        <v>189</v>
      </c>
      <c r="B921" t="s">
        <v>76</v>
      </c>
      <c r="C921">
        <v>794</v>
      </c>
      <c r="D921">
        <v>0.41379782310029001</v>
      </c>
      <c r="E921">
        <v>2.5188916876574298E-3</v>
      </c>
      <c r="F921" t="s">
        <v>249</v>
      </c>
    </row>
    <row r="922" spans="1:6" x14ac:dyDescent="0.2">
      <c r="A922" t="s">
        <v>102</v>
      </c>
      <c r="B922" t="s">
        <v>76</v>
      </c>
      <c r="C922">
        <v>794</v>
      </c>
      <c r="D922">
        <v>0.41379782310029001</v>
      </c>
      <c r="E922">
        <v>2.5188916876574298E-3</v>
      </c>
      <c r="F922" t="s">
        <v>249</v>
      </c>
    </row>
    <row r="923" spans="1:6" x14ac:dyDescent="0.2">
      <c r="A923" t="s">
        <v>48</v>
      </c>
      <c r="B923" t="s">
        <v>189</v>
      </c>
      <c r="C923">
        <v>794</v>
      </c>
      <c r="D923">
        <v>0.41379782310029001</v>
      </c>
      <c r="E923">
        <v>2.5188916876574298E-3</v>
      </c>
      <c r="F923" t="s">
        <v>249</v>
      </c>
    </row>
    <row r="924" spans="1:6" x14ac:dyDescent="0.2">
      <c r="A924" t="s">
        <v>65</v>
      </c>
      <c r="B924" t="s">
        <v>76</v>
      </c>
      <c r="C924">
        <v>794</v>
      </c>
      <c r="D924">
        <v>0.41379782310029001</v>
      </c>
      <c r="E924">
        <v>2.5188916876574298E-3</v>
      </c>
      <c r="F924" t="s">
        <v>249</v>
      </c>
    </row>
    <row r="925" spans="1:6" x14ac:dyDescent="0.2">
      <c r="A925" t="s">
        <v>120</v>
      </c>
      <c r="B925" t="s">
        <v>79</v>
      </c>
      <c r="C925">
        <v>794</v>
      </c>
      <c r="D925">
        <v>0.41379782310029001</v>
      </c>
      <c r="E925">
        <v>2.5188916876574298E-3</v>
      </c>
      <c r="F925" t="s">
        <v>249</v>
      </c>
    </row>
    <row r="926" spans="1:6" x14ac:dyDescent="0.2">
      <c r="A926" t="s">
        <v>68</v>
      </c>
      <c r="B926" t="s">
        <v>100</v>
      </c>
      <c r="C926">
        <v>794</v>
      </c>
      <c r="D926">
        <v>0.41379782310029001</v>
      </c>
      <c r="E926">
        <v>2.5188916876574298E-3</v>
      </c>
      <c r="F926" t="s">
        <v>249</v>
      </c>
    </row>
    <row r="927" spans="1:6" x14ac:dyDescent="0.2">
      <c r="A927" t="s">
        <v>68</v>
      </c>
      <c r="B927" t="s">
        <v>79</v>
      </c>
      <c r="C927">
        <v>794</v>
      </c>
      <c r="D927">
        <v>0.41379782310029001</v>
      </c>
      <c r="E927">
        <v>2.5188916876574298E-3</v>
      </c>
      <c r="F927" t="s">
        <v>249</v>
      </c>
    </row>
    <row r="928" spans="1:6" x14ac:dyDescent="0.2">
      <c r="A928" t="s">
        <v>70</v>
      </c>
      <c r="B928" t="s">
        <v>73</v>
      </c>
      <c r="C928">
        <v>794</v>
      </c>
      <c r="D928">
        <v>0.41379782310029001</v>
      </c>
      <c r="E928">
        <v>2.5188916876574298E-3</v>
      </c>
      <c r="F928" t="s">
        <v>249</v>
      </c>
    </row>
    <row r="929" spans="1:6" x14ac:dyDescent="0.2">
      <c r="A929" t="s">
        <v>102</v>
      </c>
      <c r="B929" t="s">
        <v>116</v>
      </c>
      <c r="C929">
        <v>794</v>
      </c>
      <c r="D929">
        <v>0.41379782310029001</v>
      </c>
      <c r="E929">
        <v>2.5188916876574298E-3</v>
      </c>
      <c r="F929" t="s">
        <v>249</v>
      </c>
    </row>
    <row r="930" spans="1:6" x14ac:dyDescent="0.2">
      <c r="A930" t="s">
        <v>73</v>
      </c>
      <c r="B930" t="s">
        <v>79</v>
      </c>
      <c r="C930">
        <v>794</v>
      </c>
      <c r="D930">
        <v>0.41379782310029001</v>
      </c>
      <c r="E930">
        <v>2.5188916876574298E-3</v>
      </c>
      <c r="F930" t="s">
        <v>249</v>
      </c>
    </row>
    <row r="931" spans="1:6" x14ac:dyDescent="0.2">
      <c r="A931" t="s">
        <v>187</v>
      </c>
      <c r="B931" t="s">
        <v>74</v>
      </c>
      <c r="C931">
        <v>794</v>
      </c>
      <c r="D931">
        <v>0.41379782310029001</v>
      </c>
      <c r="E931">
        <v>2.5188916876574298E-3</v>
      </c>
      <c r="F931" t="s">
        <v>249</v>
      </c>
    </row>
    <row r="932" spans="1:6" x14ac:dyDescent="0.2">
      <c r="A932" t="s">
        <v>48</v>
      </c>
      <c r="B932" t="s">
        <v>79</v>
      </c>
      <c r="C932">
        <v>794</v>
      </c>
      <c r="D932">
        <v>0.41379782310029001</v>
      </c>
      <c r="E932">
        <v>2.5188916876574298E-3</v>
      </c>
      <c r="F932" t="s">
        <v>249</v>
      </c>
    </row>
    <row r="933" spans="1:6" x14ac:dyDescent="0.2">
      <c r="A933" t="s">
        <v>70</v>
      </c>
      <c r="B933" t="s">
        <v>76</v>
      </c>
      <c r="C933">
        <v>794</v>
      </c>
      <c r="D933">
        <v>0.41379782310029001</v>
      </c>
      <c r="E933">
        <v>2.5188916876574298E-3</v>
      </c>
      <c r="F933" t="s">
        <v>249</v>
      </c>
    </row>
    <row r="934" spans="1:6" x14ac:dyDescent="0.2">
      <c r="A934" t="s">
        <v>102</v>
      </c>
      <c r="B934" t="s">
        <v>25</v>
      </c>
      <c r="C934">
        <v>794</v>
      </c>
      <c r="D934">
        <v>0.41379782310029001</v>
      </c>
      <c r="E934">
        <v>2.5188916876574298E-3</v>
      </c>
      <c r="F934" t="s">
        <v>249</v>
      </c>
    </row>
    <row r="935" spans="1:6" x14ac:dyDescent="0.2">
      <c r="A935" t="s">
        <v>100</v>
      </c>
      <c r="B935" t="s">
        <v>76</v>
      </c>
      <c r="C935">
        <v>794</v>
      </c>
      <c r="D935">
        <v>0.41379782310029001</v>
      </c>
      <c r="E935">
        <v>2.5188916876574298E-3</v>
      </c>
      <c r="F935" t="s">
        <v>249</v>
      </c>
    </row>
    <row r="936" spans="1:6" x14ac:dyDescent="0.2">
      <c r="A936" t="s">
        <v>187</v>
      </c>
      <c r="B936" t="s">
        <v>98</v>
      </c>
      <c r="C936">
        <v>794</v>
      </c>
      <c r="D936">
        <v>0.41379782310029001</v>
      </c>
      <c r="E936">
        <v>2.5188916876574298E-3</v>
      </c>
      <c r="F936" t="s">
        <v>249</v>
      </c>
    </row>
    <row r="937" spans="1:6" x14ac:dyDescent="0.2">
      <c r="A937" t="s">
        <v>65</v>
      </c>
      <c r="B937" t="s">
        <v>79</v>
      </c>
      <c r="C937">
        <v>794</v>
      </c>
      <c r="D937">
        <v>0.41379782310029001</v>
      </c>
      <c r="E937">
        <v>2.5188916876574298E-3</v>
      </c>
      <c r="F937" t="s">
        <v>249</v>
      </c>
    </row>
    <row r="938" spans="1:6" x14ac:dyDescent="0.2">
      <c r="A938" t="s">
        <v>75</v>
      </c>
      <c r="B938" t="s">
        <v>73</v>
      </c>
      <c r="C938">
        <v>794</v>
      </c>
      <c r="D938">
        <v>0.41379782310029001</v>
      </c>
      <c r="E938">
        <v>2.5188916876574298E-3</v>
      </c>
      <c r="F938" t="s">
        <v>249</v>
      </c>
    </row>
    <row r="939" spans="1:6" x14ac:dyDescent="0.2">
      <c r="A939" t="s">
        <v>100</v>
      </c>
      <c r="B939" t="s">
        <v>187</v>
      </c>
      <c r="C939">
        <v>794</v>
      </c>
      <c r="D939">
        <v>0.41379782310029001</v>
      </c>
      <c r="E939">
        <v>2.5188916876574298E-3</v>
      </c>
      <c r="F939" t="s">
        <v>249</v>
      </c>
    </row>
    <row r="940" spans="1:6" x14ac:dyDescent="0.2">
      <c r="A940" t="s">
        <v>100</v>
      </c>
      <c r="B940" t="s">
        <v>102</v>
      </c>
      <c r="C940">
        <v>794</v>
      </c>
      <c r="D940">
        <v>0.41379782310029001</v>
      </c>
      <c r="E940">
        <v>2.5188916876574298E-3</v>
      </c>
      <c r="F940" t="s">
        <v>249</v>
      </c>
    </row>
    <row r="941" spans="1:6" x14ac:dyDescent="0.2">
      <c r="A941" t="s">
        <v>48</v>
      </c>
      <c r="B941" t="s">
        <v>17</v>
      </c>
      <c r="C941">
        <v>794</v>
      </c>
      <c r="D941">
        <v>0.41379782310029001</v>
      </c>
      <c r="E941">
        <v>2.5188916876574298E-3</v>
      </c>
      <c r="F941" t="s">
        <v>249</v>
      </c>
    </row>
    <row r="942" spans="1:6" x14ac:dyDescent="0.2">
      <c r="A942" t="s">
        <v>34</v>
      </c>
      <c r="B942" t="s">
        <v>76</v>
      </c>
      <c r="C942">
        <v>794</v>
      </c>
      <c r="D942">
        <v>0.41379782310029001</v>
      </c>
      <c r="E942">
        <v>2.5188916876574298E-3</v>
      </c>
      <c r="F942" t="s">
        <v>249</v>
      </c>
    </row>
    <row r="943" spans="1:6" x14ac:dyDescent="0.2">
      <c r="A943" t="s">
        <v>102</v>
      </c>
      <c r="B943" t="s">
        <v>189</v>
      </c>
      <c r="C943">
        <v>794</v>
      </c>
      <c r="D943">
        <v>0.41379782310029001</v>
      </c>
      <c r="E943">
        <v>2.5188916876574298E-3</v>
      </c>
      <c r="F943" t="s">
        <v>249</v>
      </c>
    </row>
    <row r="944" spans="1:6" x14ac:dyDescent="0.2">
      <c r="A944" t="s">
        <v>48</v>
      </c>
      <c r="B944" t="s">
        <v>102</v>
      </c>
      <c r="C944">
        <v>794</v>
      </c>
      <c r="D944">
        <v>0.41379782310029001</v>
      </c>
      <c r="E944">
        <v>2.5188916876574298E-3</v>
      </c>
      <c r="F944" t="s">
        <v>249</v>
      </c>
    </row>
    <row r="945" spans="1:6" x14ac:dyDescent="0.2">
      <c r="A945" t="s">
        <v>25</v>
      </c>
      <c r="B945" t="s">
        <v>98</v>
      </c>
      <c r="C945">
        <v>794</v>
      </c>
      <c r="D945">
        <v>0.41379782310029001</v>
      </c>
      <c r="E945">
        <v>2.5188916876574298E-3</v>
      </c>
      <c r="F945" t="s">
        <v>249</v>
      </c>
    </row>
    <row r="946" spans="1:6" x14ac:dyDescent="0.2">
      <c r="A946" t="s">
        <v>100</v>
      </c>
      <c r="B946" t="s">
        <v>73</v>
      </c>
      <c r="C946">
        <v>794</v>
      </c>
      <c r="D946">
        <v>0.41379782310029001</v>
      </c>
      <c r="E946">
        <v>2.5188916876574298E-3</v>
      </c>
      <c r="F946" t="s">
        <v>249</v>
      </c>
    </row>
    <row r="947" spans="1:6" x14ac:dyDescent="0.2">
      <c r="A947" t="s">
        <v>68</v>
      </c>
      <c r="B947" t="s">
        <v>76</v>
      </c>
      <c r="C947">
        <v>794</v>
      </c>
      <c r="D947">
        <v>0.41379782310029001</v>
      </c>
      <c r="E947">
        <v>2.5188916876574298E-3</v>
      </c>
      <c r="F947" t="s">
        <v>249</v>
      </c>
    </row>
    <row r="948" spans="1:6" x14ac:dyDescent="0.2">
      <c r="A948" t="s">
        <v>74</v>
      </c>
      <c r="B948" t="s">
        <v>76</v>
      </c>
      <c r="C948">
        <v>794</v>
      </c>
      <c r="D948">
        <v>0.41379782310029001</v>
      </c>
      <c r="E948">
        <v>2.5188916876574298E-3</v>
      </c>
      <c r="F948" t="s">
        <v>249</v>
      </c>
    </row>
    <row r="949" spans="1:6" x14ac:dyDescent="0.2">
      <c r="A949" t="s">
        <v>189</v>
      </c>
      <c r="B949" t="s">
        <v>34</v>
      </c>
      <c r="C949">
        <v>794</v>
      </c>
      <c r="D949">
        <v>0.41379782310029001</v>
      </c>
      <c r="E949">
        <v>2.5188916876574298E-3</v>
      </c>
      <c r="F949" t="s">
        <v>249</v>
      </c>
    </row>
    <row r="950" spans="1:6" x14ac:dyDescent="0.2">
      <c r="A950" t="s">
        <v>187</v>
      </c>
      <c r="B950" t="s">
        <v>76</v>
      </c>
      <c r="C950">
        <v>794</v>
      </c>
      <c r="D950">
        <v>0.41379782310029001</v>
      </c>
      <c r="E950">
        <v>2.5188916876574298E-3</v>
      </c>
      <c r="F950" t="s">
        <v>249</v>
      </c>
    </row>
    <row r="951" spans="1:6" x14ac:dyDescent="0.2">
      <c r="A951" t="s">
        <v>100</v>
      </c>
      <c r="B951" t="s">
        <v>34</v>
      </c>
      <c r="C951">
        <v>794</v>
      </c>
      <c r="D951">
        <v>0.41379782310029001</v>
      </c>
      <c r="E951">
        <v>2.5188916876574298E-3</v>
      </c>
      <c r="F951" t="s">
        <v>249</v>
      </c>
    </row>
    <row r="952" spans="1:6" x14ac:dyDescent="0.2">
      <c r="A952" t="s">
        <v>98</v>
      </c>
      <c r="B952" t="s">
        <v>79</v>
      </c>
      <c r="C952">
        <v>794</v>
      </c>
      <c r="D952">
        <v>0.41379782310029001</v>
      </c>
      <c r="E952">
        <v>2.5188916876574298E-3</v>
      </c>
      <c r="F952" t="s">
        <v>249</v>
      </c>
    </row>
    <row r="953" spans="1:6" x14ac:dyDescent="0.2">
      <c r="A953" t="s">
        <v>187</v>
      </c>
      <c r="B953" t="s">
        <v>73</v>
      </c>
      <c r="C953">
        <v>794</v>
      </c>
      <c r="D953">
        <v>0.41379782310029001</v>
      </c>
      <c r="E953">
        <v>2.5188916876574298E-3</v>
      </c>
      <c r="F953" t="s">
        <v>249</v>
      </c>
    </row>
    <row r="954" spans="1:6" x14ac:dyDescent="0.2">
      <c r="A954" t="s">
        <v>48</v>
      </c>
      <c r="B954" t="s">
        <v>75</v>
      </c>
      <c r="C954">
        <v>794</v>
      </c>
      <c r="D954">
        <v>0.41379782310029001</v>
      </c>
      <c r="E954">
        <v>2.5188916876574298E-3</v>
      </c>
      <c r="F954" t="s">
        <v>249</v>
      </c>
    </row>
    <row r="955" spans="1:6" x14ac:dyDescent="0.2">
      <c r="A955" t="s">
        <v>120</v>
      </c>
      <c r="B955" t="s">
        <v>34</v>
      </c>
      <c r="C955">
        <v>794</v>
      </c>
      <c r="D955">
        <v>0.41379782310029001</v>
      </c>
      <c r="E955">
        <v>2.5188916876574298E-3</v>
      </c>
      <c r="F955" t="s">
        <v>249</v>
      </c>
    </row>
    <row r="956" spans="1:6" x14ac:dyDescent="0.2">
      <c r="A956" t="s">
        <v>25</v>
      </c>
      <c r="B956" t="s">
        <v>34</v>
      </c>
      <c r="C956">
        <v>794</v>
      </c>
      <c r="D956">
        <v>0.41379782310029001</v>
      </c>
      <c r="E956">
        <v>2.5188916876574298E-3</v>
      </c>
      <c r="F956" t="s">
        <v>249</v>
      </c>
    </row>
    <row r="957" spans="1:6" x14ac:dyDescent="0.2">
      <c r="A957" t="s">
        <v>68</v>
      </c>
      <c r="B957" t="s">
        <v>34</v>
      </c>
      <c r="C957">
        <v>794</v>
      </c>
      <c r="D957">
        <v>0.41379782310029001</v>
      </c>
      <c r="E957">
        <v>2.5188916876574298E-3</v>
      </c>
      <c r="F957" t="s">
        <v>249</v>
      </c>
    </row>
    <row r="958" spans="1:6" x14ac:dyDescent="0.2">
      <c r="A958" t="s">
        <v>102</v>
      </c>
      <c r="B958" t="s">
        <v>74</v>
      </c>
      <c r="C958">
        <v>794</v>
      </c>
      <c r="D958">
        <v>0.41379782310029001</v>
      </c>
      <c r="E958">
        <v>2.5188916876574298E-3</v>
      </c>
      <c r="F958" t="s">
        <v>249</v>
      </c>
    </row>
    <row r="959" spans="1:6" x14ac:dyDescent="0.2">
      <c r="A959" t="s">
        <v>116</v>
      </c>
      <c r="B959" t="s">
        <v>76</v>
      </c>
      <c r="C959">
        <v>794</v>
      </c>
      <c r="D959">
        <v>0.41379782310029001</v>
      </c>
      <c r="E959">
        <v>2.5188916876574298E-3</v>
      </c>
      <c r="F959" t="s">
        <v>249</v>
      </c>
    </row>
    <row r="960" spans="1:6" x14ac:dyDescent="0.2">
      <c r="A960" t="s">
        <v>102</v>
      </c>
      <c r="B960" t="s">
        <v>75</v>
      </c>
      <c r="C960">
        <v>794</v>
      </c>
      <c r="D960">
        <v>0.41379782310029001</v>
      </c>
      <c r="E960">
        <v>2.5188916876574298E-3</v>
      </c>
      <c r="F960" t="s">
        <v>249</v>
      </c>
    </row>
    <row r="961" spans="1:6" x14ac:dyDescent="0.2">
      <c r="A961" t="s">
        <v>189</v>
      </c>
      <c r="B961" t="s">
        <v>98</v>
      </c>
      <c r="C961">
        <v>794</v>
      </c>
      <c r="D961">
        <v>0.41379782310029001</v>
      </c>
      <c r="E961">
        <v>2.5188916876574298E-3</v>
      </c>
      <c r="F961" t="s">
        <v>249</v>
      </c>
    </row>
    <row r="962" spans="1:6" x14ac:dyDescent="0.2">
      <c r="A962" t="s">
        <v>120</v>
      </c>
      <c r="B962" t="s">
        <v>73</v>
      </c>
      <c r="C962">
        <v>794</v>
      </c>
      <c r="D962">
        <v>0.41379782310029001</v>
      </c>
      <c r="E962">
        <v>2.5188916876574298E-3</v>
      </c>
      <c r="F962" t="s">
        <v>249</v>
      </c>
    </row>
    <row r="963" spans="1:6" x14ac:dyDescent="0.2">
      <c r="A963" t="s">
        <v>48</v>
      </c>
      <c r="B963" t="s">
        <v>70</v>
      </c>
      <c r="C963">
        <v>794</v>
      </c>
      <c r="D963">
        <v>0.41379782310029001</v>
      </c>
      <c r="E963">
        <v>2.5188916876574298E-3</v>
      </c>
      <c r="F963" t="s">
        <v>249</v>
      </c>
    </row>
    <row r="964" spans="1:6" x14ac:dyDescent="0.2">
      <c r="A964" t="s">
        <v>68</v>
      </c>
      <c r="B964" t="s">
        <v>74</v>
      </c>
      <c r="C964">
        <v>794</v>
      </c>
      <c r="D964">
        <v>0.41379782310029001</v>
      </c>
      <c r="E964">
        <v>2.5188916876574298E-3</v>
      </c>
      <c r="F964" t="s">
        <v>249</v>
      </c>
    </row>
    <row r="965" spans="1:6" x14ac:dyDescent="0.2">
      <c r="A965" t="s">
        <v>189</v>
      </c>
      <c r="B965" t="s">
        <v>79</v>
      </c>
      <c r="C965">
        <v>794</v>
      </c>
      <c r="D965">
        <v>0.41379782310029001</v>
      </c>
      <c r="E965">
        <v>2.5188916876574298E-3</v>
      </c>
      <c r="F965" t="s">
        <v>249</v>
      </c>
    </row>
    <row r="966" spans="1:6" x14ac:dyDescent="0.2">
      <c r="A966" t="s">
        <v>73</v>
      </c>
      <c r="B966" t="s">
        <v>76</v>
      </c>
      <c r="C966">
        <v>794</v>
      </c>
      <c r="D966">
        <v>0.41379782310029001</v>
      </c>
      <c r="E966">
        <v>2.5188916876574298E-3</v>
      </c>
      <c r="F966" t="s">
        <v>249</v>
      </c>
    </row>
    <row r="967" spans="1:6" x14ac:dyDescent="0.2">
      <c r="A967" t="s">
        <v>100</v>
      </c>
      <c r="B967" t="s">
        <v>74</v>
      </c>
      <c r="C967">
        <v>794</v>
      </c>
      <c r="D967">
        <v>0.41379782310029001</v>
      </c>
      <c r="E967">
        <v>2.5188916876574298E-3</v>
      </c>
      <c r="F967" t="s">
        <v>249</v>
      </c>
    </row>
    <row r="968" spans="1:6" x14ac:dyDescent="0.2">
      <c r="A968" t="s">
        <v>48</v>
      </c>
      <c r="B968" t="s">
        <v>116</v>
      </c>
      <c r="C968">
        <v>794</v>
      </c>
      <c r="D968">
        <v>0.41379782310029001</v>
      </c>
      <c r="E968">
        <v>2.5188916876574298E-3</v>
      </c>
      <c r="F968" t="s">
        <v>249</v>
      </c>
    </row>
    <row r="969" spans="1:6" x14ac:dyDescent="0.2">
      <c r="A969" t="s">
        <v>17</v>
      </c>
      <c r="B969" t="s">
        <v>76</v>
      </c>
      <c r="C969">
        <v>794</v>
      </c>
      <c r="D969">
        <v>0.41379782310029001</v>
      </c>
      <c r="E969">
        <v>2.5188916876574298E-3</v>
      </c>
      <c r="F969" t="s">
        <v>249</v>
      </c>
    </row>
    <row r="970" spans="1:6" x14ac:dyDescent="0.2">
      <c r="A970" t="s">
        <v>89</v>
      </c>
      <c r="B970" t="s">
        <v>45</v>
      </c>
      <c r="C970">
        <v>1270</v>
      </c>
      <c r="D970">
        <v>-2.6941381209337301E-2</v>
      </c>
      <c r="E970">
        <v>1.5748031496063001E-3</v>
      </c>
      <c r="F970" t="s">
        <v>250</v>
      </c>
    </row>
    <row r="971" spans="1:6" x14ac:dyDescent="0.2">
      <c r="A971" t="s">
        <v>87</v>
      </c>
      <c r="B971" t="s">
        <v>50</v>
      </c>
      <c r="C971">
        <v>1270</v>
      </c>
      <c r="D971">
        <v>-2.6941381209337301E-2</v>
      </c>
      <c r="E971">
        <v>1.5748031496063001E-3</v>
      </c>
      <c r="F971" t="s">
        <v>250</v>
      </c>
    </row>
    <row r="972" spans="1:6" x14ac:dyDescent="0.2">
      <c r="A972" t="s">
        <v>57</v>
      </c>
      <c r="B972" t="s">
        <v>99</v>
      </c>
      <c r="C972">
        <v>1270</v>
      </c>
      <c r="D972">
        <v>-2.6941381209337301E-2</v>
      </c>
      <c r="E972">
        <v>1.5748031496063001E-3</v>
      </c>
      <c r="F972" t="s">
        <v>250</v>
      </c>
    </row>
    <row r="973" spans="1:6" x14ac:dyDescent="0.2">
      <c r="A973" t="s">
        <v>60</v>
      </c>
      <c r="B973" t="s">
        <v>66</v>
      </c>
      <c r="C973">
        <v>1270</v>
      </c>
      <c r="D973">
        <v>-2.6941381209337301E-2</v>
      </c>
      <c r="E973">
        <v>1.5748031496063001E-3</v>
      </c>
      <c r="F973" t="s">
        <v>250</v>
      </c>
    </row>
    <row r="974" spans="1:6" x14ac:dyDescent="0.2">
      <c r="A974" t="s">
        <v>127</v>
      </c>
      <c r="B974" t="s">
        <v>50</v>
      </c>
      <c r="C974">
        <v>1270</v>
      </c>
      <c r="D974">
        <v>-2.6941381209337301E-2</v>
      </c>
      <c r="E974">
        <v>1.5748031496063001E-3</v>
      </c>
      <c r="F974" t="s">
        <v>250</v>
      </c>
    </row>
    <row r="975" spans="1:6" x14ac:dyDescent="0.2">
      <c r="A975" t="s">
        <v>41</v>
      </c>
      <c r="B975" t="s">
        <v>129</v>
      </c>
      <c r="C975">
        <v>1270</v>
      </c>
      <c r="D975">
        <v>-2.6941381209337301E-2</v>
      </c>
      <c r="E975">
        <v>1.5748031496063001E-3</v>
      </c>
      <c r="F975" t="s">
        <v>250</v>
      </c>
    </row>
    <row r="976" spans="1:6" x14ac:dyDescent="0.2">
      <c r="A976" t="s">
        <v>47</v>
      </c>
      <c r="B976" t="s">
        <v>76</v>
      </c>
      <c r="C976">
        <v>1270</v>
      </c>
      <c r="D976">
        <v>-2.6941381209337301E-2</v>
      </c>
      <c r="E976">
        <v>1.5748031496063001E-3</v>
      </c>
      <c r="F976" t="s">
        <v>250</v>
      </c>
    </row>
    <row r="977" spans="1:6" x14ac:dyDescent="0.2">
      <c r="A977" t="s">
        <v>89</v>
      </c>
      <c r="B977" t="s">
        <v>187</v>
      </c>
      <c r="C977">
        <v>1270</v>
      </c>
      <c r="D977">
        <v>-2.6941381209337301E-2</v>
      </c>
      <c r="E977">
        <v>1.5748031496063001E-3</v>
      </c>
      <c r="F977" t="s">
        <v>250</v>
      </c>
    </row>
    <row r="978" spans="1:6" x14ac:dyDescent="0.2">
      <c r="A978" t="s">
        <v>117</v>
      </c>
      <c r="B978" t="s">
        <v>66</v>
      </c>
      <c r="C978">
        <v>1270</v>
      </c>
      <c r="D978">
        <v>-2.6941381209337301E-2</v>
      </c>
      <c r="E978">
        <v>1.5748031496063001E-3</v>
      </c>
      <c r="F978" t="s">
        <v>250</v>
      </c>
    </row>
    <row r="979" spans="1:6" x14ac:dyDescent="0.2">
      <c r="A979" t="s">
        <v>127</v>
      </c>
      <c r="B979" t="s">
        <v>34</v>
      </c>
      <c r="C979">
        <v>1270</v>
      </c>
      <c r="D979">
        <v>-2.6941381209337301E-2</v>
      </c>
      <c r="E979">
        <v>1.5748031496063001E-3</v>
      </c>
      <c r="F979" t="s">
        <v>250</v>
      </c>
    </row>
    <row r="980" spans="1:6" x14ac:dyDescent="0.2">
      <c r="A980" t="s">
        <v>119</v>
      </c>
      <c r="B980" t="s">
        <v>41</v>
      </c>
      <c r="C980">
        <v>1270</v>
      </c>
      <c r="D980">
        <v>-2.6941381209337301E-2</v>
      </c>
      <c r="E980">
        <v>1.5748031496063001E-3</v>
      </c>
      <c r="F980" t="s">
        <v>250</v>
      </c>
    </row>
    <row r="981" spans="1:6" x14ac:dyDescent="0.2">
      <c r="A981" t="s">
        <v>41</v>
      </c>
      <c r="B981" t="s">
        <v>189</v>
      </c>
      <c r="C981">
        <v>1270</v>
      </c>
      <c r="D981">
        <v>-2.6941381209337301E-2</v>
      </c>
      <c r="E981">
        <v>1.5748031496063001E-3</v>
      </c>
      <c r="F981" t="s">
        <v>250</v>
      </c>
    </row>
    <row r="982" spans="1:6" x14ac:dyDescent="0.2">
      <c r="A982" t="s">
        <v>89</v>
      </c>
      <c r="B982" t="s">
        <v>47</v>
      </c>
      <c r="C982">
        <v>1270</v>
      </c>
      <c r="D982">
        <v>-2.6941381209337301E-2</v>
      </c>
      <c r="E982">
        <v>1.5748031496063001E-3</v>
      </c>
      <c r="F982" t="s">
        <v>250</v>
      </c>
    </row>
    <row r="983" spans="1:6" x14ac:dyDescent="0.2">
      <c r="A983" t="s">
        <v>50</v>
      </c>
      <c r="B983" t="s">
        <v>116</v>
      </c>
      <c r="C983">
        <v>1270</v>
      </c>
      <c r="D983">
        <v>-2.6941381209337301E-2</v>
      </c>
      <c r="E983">
        <v>1.5748031496063001E-3</v>
      </c>
      <c r="F983" t="s">
        <v>250</v>
      </c>
    </row>
    <row r="984" spans="1:6" x14ac:dyDescent="0.2">
      <c r="A984" t="s">
        <v>66</v>
      </c>
      <c r="B984" t="s">
        <v>116</v>
      </c>
      <c r="C984">
        <v>1270</v>
      </c>
      <c r="D984">
        <v>-2.6941381209337301E-2</v>
      </c>
      <c r="E984">
        <v>1.5748031496063001E-3</v>
      </c>
      <c r="F984" t="s">
        <v>250</v>
      </c>
    </row>
    <row r="985" spans="1:6" x14ac:dyDescent="0.2">
      <c r="A985" t="s">
        <v>106</v>
      </c>
      <c r="B985" t="s">
        <v>76</v>
      </c>
      <c r="C985">
        <v>1270</v>
      </c>
      <c r="D985">
        <v>-2.6941381209337301E-2</v>
      </c>
      <c r="E985">
        <v>1.5748031496063001E-3</v>
      </c>
      <c r="F985" t="s">
        <v>250</v>
      </c>
    </row>
    <row r="986" spans="1:6" x14ac:dyDescent="0.2">
      <c r="A986" t="s">
        <v>17</v>
      </c>
      <c r="B986" t="s">
        <v>50</v>
      </c>
      <c r="C986">
        <v>1270</v>
      </c>
      <c r="D986">
        <v>-2.6941381209337301E-2</v>
      </c>
      <c r="E986">
        <v>1.5748031496063001E-3</v>
      </c>
      <c r="F986" t="s">
        <v>250</v>
      </c>
    </row>
    <row r="987" spans="1:6" x14ac:dyDescent="0.2">
      <c r="A987" t="s">
        <v>189</v>
      </c>
      <c r="B987" t="s">
        <v>50</v>
      </c>
      <c r="C987">
        <v>1270</v>
      </c>
      <c r="D987">
        <v>-2.6941381209337301E-2</v>
      </c>
      <c r="E987">
        <v>1.5748031496063001E-3</v>
      </c>
      <c r="F987" t="s">
        <v>250</v>
      </c>
    </row>
    <row r="988" spans="1:6" x14ac:dyDescent="0.2">
      <c r="A988" t="s">
        <v>106</v>
      </c>
      <c r="B988" t="s">
        <v>34</v>
      </c>
      <c r="C988">
        <v>1270</v>
      </c>
      <c r="D988">
        <v>-2.6941381209337301E-2</v>
      </c>
      <c r="E988">
        <v>1.5748031496063001E-3</v>
      </c>
      <c r="F988" t="s">
        <v>250</v>
      </c>
    </row>
    <row r="989" spans="1:6" x14ac:dyDescent="0.2">
      <c r="A989" t="s">
        <v>99</v>
      </c>
      <c r="B989" t="s">
        <v>189</v>
      </c>
      <c r="C989">
        <v>1270</v>
      </c>
      <c r="D989">
        <v>-2.6941381209337301E-2</v>
      </c>
      <c r="E989">
        <v>1.5748031496063001E-3</v>
      </c>
      <c r="F989" t="s">
        <v>250</v>
      </c>
    </row>
    <row r="990" spans="1:6" x14ac:dyDescent="0.2">
      <c r="A990" t="s">
        <v>41</v>
      </c>
      <c r="B990" t="s">
        <v>76</v>
      </c>
      <c r="C990">
        <v>1270</v>
      </c>
      <c r="D990">
        <v>-2.6941381209337301E-2</v>
      </c>
      <c r="E990">
        <v>1.5748031496063001E-3</v>
      </c>
      <c r="F990" t="s">
        <v>250</v>
      </c>
    </row>
    <row r="991" spans="1:6" x14ac:dyDescent="0.2">
      <c r="A991" t="s">
        <v>89</v>
      </c>
      <c r="B991" t="s">
        <v>110</v>
      </c>
      <c r="C991">
        <v>1270</v>
      </c>
      <c r="D991">
        <v>-2.6941381209337301E-2</v>
      </c>
      <c r="E991">
        <v>1.5748031496063001E-3</v>
      </c>
      <c r="F991" t="s">
        <v>250</v>
      </c>
    </row>
    <row r="992" spans="1:6" x14ac:dyDescent="0.2">
      <c r="A992" t="s">
        <v>89</v>
      </c>
      <c r="B992" t="s">
        <v>76</v>
      </c>
      <c r="C992">
        <v>1270</v>
      </c>
      <c r="D992">
        <v>-2.6941381209337301E-2</v>
      </c>
      <c r="E992">
        <v>1.5748031496063001E-3</v>
      </c>
      <c r="F992" t="s">
        <v>250</v>
      </c>
    </row>
    <row r="993" spans="1:6" x14ac:dyDescent="0.2">
      <c r="A993" t="s">
        <v>127</v>
      </c>
      <c r="B993" t="s">
        <v>45</v>
      </c>
      <c r="C993">
        <v>1270</v>
      </c>
      <c r="D993">
        <v>-2.6941381209337301E-2</v>
      </c>
      <c r="E993">
        <v>1.5748031496063001E-3</v>
      </c>
      <c r="F993" t="s">
        <v>250</v>
      </c>
    </row>
    <row r="994" spans="1:6" x14ac:dyDescent="0.2">
      <c r="A994" t="s">
        <v>27</v>
      </c>
      <c r="B994" t="s">
        <v>129</v>
      </c>
      <c r="C994">
        <v>1270</v>
      </c>
      <c r="D994">
        <v>-2.6941381209337301E-2</v>
      </c>
      <c r="E994">
        <v>1.5748031496063001E-3</v>
      </c>
      <c r="F994" t="s">
        <v>250</v>
      </c>
    </row>
    <row r="995" spans="1:6" x14ac:dyDescent="0.2">
      <c r="A995" t="s">
        <v>70</v>
      </c>
      <c r="B995" t="s">
        <v>121</v>
      </c>
      <c r="C995">
        <v>1270</v>
      </c>
      <c r="D995">
        <v>-2.6941381209337301E-2</v>
      </c>
      <c r="E995">
        <v>1.5748031496063001E-3</v>
      </c>
      <c r="F995" t="s">
        <v>250</v>
      </c>
    </row>
    <row r="996" spans="1:6" x14ac:dyDescent="0.2">
      <c r="A996" t="s">
        <v>41</v>
      </c>
      <c r="B996" t="s">
        <v>66</v>
      </c>
      <c r="C996">
        <v>1270</v>
      </c>
      <c r="D996">
        <v>-2.6941381209337301E-2</v>
      </c>
      <c r="E996">
        <v>1.5748031496063001E-3</v>
      </c>
      <c r="F996" t="s">
        <v>250</v>
      </c>
    </row>
    <row r="997" spans="1:6" x14ac:dyDescent="0.2">
      <c r="A997" t="s">
        <v>120</v>
      </c>
      <c r="B997" t="s">
        <v>50</v>
      </c>
      <c r="C997">
        <v>1270</v>
      </c>
      <c r="D997">
        <v>-2.6941381209337301E-2</v>
      </c>
      <c r="E997">
        <v>1.5748031496063001E-3</v>
      </c>
      <c r="F997" t="s">
        <v>250</v>
      </c>
    </row>
    <row r="998" spans="1:6" x14ac:dyDescent="0.2">
      <c r="A998" t="s">
        <v>57</v>
      </c>
      <c r="B998" t="s">
        <v>50</v>
      </c>
      <c r="C998">
        <v>1270</v>
      </c>
      <c r="D998">
        <v>-2.6941381209337301E-2</v>
      </c>
      <c r="E998">
        <v>1.5748031496063001E-3</v>
      </c>
      <c r="F998" t="s">
        <v>250</v>
      </c>
    </row>
    <row r="999" spans="1:6" x14ac:dyDescent="0.2">
      <c r="A999" t="s">
        <v>99</v>
      </c>
      <c r="B999" t="s">
        <v>116</v>
      </c>
      <c r="C999">
        <v>1270</v>
      </c>
      <c r="D999">
        <v>-2.6941381209337301E-2</v>
      </c>
      <c r="E999">
        <v>1.5748031496063001E-3</v>
      </c>
      <c r="F999" t="s">
        <v>250</v>
      </c>
    </row>
    <row r="1000" spans="1:6" x14ac:dyDescent="0.2">
      <c r="A1000" t="s">
        <v>119</v>
      </c>
      <c r="B1000" t="s">
        <v>50</v>
      </c>
      <c r="C1000">
        <v>1270</v>
      </c>
      <c r="D1000">
        <v>-2.6941381209337301E-2</v>
      </c>
      <c r="E1000">
        <v>1.5748031496063001E-3</v>
      </c>
      <c r="F1000" t="s">
        <v>250</v>
      </c>
    </row>
    <row r="1001" spans="1:6" x14ac:dyDescent="0.2">
      <c r="A1001" t="s">
        <v>68</v>
      </c>
      <c r="B1001" t="s">
        <v>129</v>
      </c>
      <c r="C1001">
        <v>1270</v>
      </c>
      <c r="D1001">
        <v>-2.6941381209337301E-2</v>
      </c>
      <c r="E1001">
        <v>1.5748031496063001E-3</v>
      </c>
      <c r="F1001" t="s">
        <v>250</v>
      </c>
    </row>
    <row r="1002" spans="1:6" x14ac:dyDescent="0.2">
      <c r="A1002" t="s">
        <v>106</v>
      </c>
      <c r="B1002" t="s">
        <v>129</v>
      </c>
      <c r="C1002">
        <v>1270</v>
      </c>
      <c r="D1002">
        <v>-2.6941381209337301E-2</v>
      </c>
      <c r="E1002">
        <v>1.5748031496063001E-3</v>
      </c>
      <c r="F1002" t="s">
        <v>250</v>
      </c>
    </row>
    <row r="1003" spans="1:6" x14ac:dyDescent="0.2">
      <c r="A1003" t="s">
        <v>129</v>
      </c>
      <c r="B1003" t="s">
        <v>55</v>
      </c>
      <c r="C1003">
        <v>1270</v>
      </c>
      <c r="D1003">
        <v>-2.6941381209337301E-2</v>
      </c>
      <c r="E1003">
        <v>1.5748031496063001E-3</v>
      </c>
      <c r="F1003" t="s">
        <v>250</v>
      </c>
    </row>
    <row r="1004" spans="1:6" x14ac:dyDescent="0.2">
      <c r="A1004" t="s">
        <v>50</v>
      </c>
      <c r="B1004" t="s">
        <v>47</v>
      </c>
      <c r="C1004">
        <v>1270</v>
      </c>
      <c r="D1004">
        <v>-2.6941381209337301E-2</v>
      </c>
      <c r="E1004">
        <v>1.5748031496063001E-3</v>
      </c>
      <c r="F1004" t="s">
        <v>250</v>
      </c>
    </row>
    <row r="1005" spans="1:6" x14ac:dyDescent="0.2">
      <c r="A1005" t="s">
        <v>45</v>
      </c>
      <c r="B1005" t="s">
        <v>120</v>
      </c>
      <c r="C1005">
        <v>1270</v>
      </c>
      <c r="D1005">
        <v>-2.6941381209337301E-2</v>
      </c>
      <c r="E1005">
        <v>1.5748031496063001E-3</v>
      </c>
      <c r="F1005" t="s">
        <v>250</v>
      </c>
    </row>
    <row r="1006" spans="1:6" x14ac:dyDescent="0.2">
      <c r="A1006" t="s">
        <v>45</v>
      </c>
      <c r="B1006" t="s">
        <v>189</v>
      </c>
      <c r="C1006">
        <v>1270</v>
      </c>
      <c r="D1006">
        <v>-2.6941381209337301E-2</v>
      </c>
      <c r="E1006">
        <v>1.5748031496063001E-3</v>
      </c>
      <c r="F1006" t="s">
        <v>250</v>
      </c>
    </row>
    <row r="1007" spans="1:6" x14ac:dyDescent="0.2">
      <c r="A1007" t="s">
        <v>57</v>
      </c>
      <c r="B1007" t="s">
        <v>34</v>
      </c>
      <c r="C1007">
        <v>1270</v>
      </c>
      <c r="D1007">
        <v>-2.6941381209337301E-2</v>
      </c>
      <c r="E1007">
        <v>1.5748031496063001E-3</v>
      </c>
      <c r="F1007" t="s">
        <v>250</v>
      </c>
    </row>
    <row r="1008" spans="1:6" x14ac:dyDescent="0.2">
      <c r="A1008" t="s">
        <v>127</v>
      </c>
      <c r="B1008" t="s">
        <v>76</v>
      </c>
      <c r="C1008">
        <v>1270</v>
      </c>
      <c r="D1008">
        <v>-2.6941381209337301E-2</v>
      </c>
      <c r="E1008">
        <v>1.5748031496063001E-3</v>
      </c>
      <c r="F1008" t="s">
        <v>250</v>
      </c>
    </row>
    <row r="1009" spans="1:6" x14ac:dyDescent="0.2">
      <c r="A1009" t="s">
        <v>41</v>
      </c>
      <c r="B1009" t="s">
        <v>117</v>
      </c>
      <c r="C1009">
        <v>1270</v>
      </c>
      <c r="D1009">
        <v>-2.6941381209337301E-2</v>
      </c>
      <c r="E1009">
        <v>1.5748031496063001E-3</v>
      </c>
      <c r="F1009" t="s">
        <v>250</v>
      </c>
    </row>
    <row r="1010" spans="1:6" x14ac:dyDescent="0.2">
      <c r="A1010" t="s">
        <v>50</v>
      </c>
      <c r="B1010" t="s">
        <v>35</v>
      </c>
      <c r="C1010">
        <v>1270</v>
      </c>
      <c r="D1010">
        <v>-2.6941381209337301E-2</v>
      </c>
      <c r="E1010">
        <v>1.5748031496063001E-3</v>
      </c>
      <c r="F1010" t="s">
        <v>250</v>
      </c>
    </row>
    <row r="1011" spans="1:6" x14ac:dyDescent="0.2">
      <c r="A1011" t="s">
        <v>129</v>
      </c>
      <c r="B1011" t="s">
        <v>75</v>
      </c>
      <c r="C1011">
        <v>1270</v>
      </c>
      <c r="D1011">
        <v>-2.6941381209337301E-2</v>
      </c>
      <c r="E1011">
        <v>1.5748031496063001E-3</v>
      </c>
      <c r="F1011" t="s">
        <v>250</v>
      </c>
    </row>
    <row r="1012" spans="1:6" x14ac:dyDescent="0.2">
      <c r="A1012" t="s">
        <v>99</v>
      </c>
      <c r="B1012" t="s">
        <v>35</v>
      </c>
      <c r="C1012">
        <v>1270</v>
      </c>
      <c r="D1012">
        <v>-2.6941381209337301E-2</v>
      </c>
      <c r="E1012">
        <v>1.5748031496063001E-3</v>
      </c>
      <c r="F1012" t="s">
        <v>250</v>
      </c>
    </row>
    <row r="1013" spans="1:6" x14ac:dyDescent="0.2">
      <c r="A1013" t="s">
        <v>57</v>
      </c>
      <c r="B1013" t="s">
        <v>66</v>
      </c>
      <c r="C1013">
        <v>1270</v>
      </c>
      <c r="D1013">
        <v>-2.6941381209337301E-2</v>
      </c>
      <c r="E1013">
        <v>1.5748031496063001E-3</v>
      </c>
      <c r="F1013" t="s">
        <v>250</v>
      </c>
    </row>
    <row r="1014" spans="1:6" x14ac:dyDescent="0.2">
      <c r="A1014" t="s">
        <v>57</v>
      </c>
      <c r="B1014" t="s">
        <v>41</v>
      </c>
      <c r="C1014">
        <v>1270</v>
      </c>
      <c r="D1014">
        <v>-2.6941381209337301E-2</v>
      </c>
      <c r="E1014">
        <v>1.5748031496063001E-3</v>
      </c>
      <c r="F1014" t="s">
        <v>250</v>
      </c>
    </row>
    <row r="1015" spans="1:6" x14ac:dyDescent="0.2">
      <c r="A1015" t="s">
        <v>35</v>
      </c>
      <c r="B1015" t="s">
        <v>34</v>
      </c>
      <c r="C1015">
        <v>1270</v>
      </c>
      <c r="D1015">
        <v>-2.6941381209337301E-2</v>
      </c>
      <c r="E1015">
        <v>1.5748031496063001E-3</v>
      </c>
      <c r="F1015" t="s">
        <v>250</v>
      </c>
    </row>
    <row r="1016" spans="1:6" x14ac:dyDescent="0.2">
      <c r="A1016" t="s">
        <v>89</v>
      </c>
      <c r="B1016" t="s">
        <v>189</v>
      </c>
      <c r="C1016">
        <v>1270</v>
      </c>
      <c r="D1016">
        <v>-2.6941381209337301E-2</v>
      </c>
      <c r="E1016">
        <v>1.5748031496063001E-3</v>
      </c>
      <c r="F1016" t="s">
        <v>250</v>
      </c>
    </row>
    <row r="1017" spans="1:6" x14ac:dyDescent="0.2">
      <c r="A1017" t="s">
        <v>121</v>
      </c>
      <c r="B1017" t="s">
        <v>65</v>
      </c>
      <c r="C1017">
        <v>1270</v>
      </c>
      <c r="D1017">
        <v>-2.6941381209337301E-2</v>
      </c>
      <c r="E1017">
        <v>1.5748031496063001E-3</v>
      </c>
      <c r="F1017" t="s">
        <v>250</v>
      </c>
    </row>
    <row r="1018" spans="1:6" x14ac:dyDescent="0.2">
      <c r="A1018" t="s">
        <v>94</v>
      </c>
      <c r="B1018" t="s">
        <v>50</v>
      </c>
      <c r="C1018">
        <v>1270</v>
      </c>
      <c r="D1018">
        <v>-2.6941381209337301E-2</v>
      </c>
      <c r="E1018">
        <v>1.5748031496063001E-3</v>
      </c>
      <c r="F1018" t="s">
        <v>250</v>
      </c>
    </row>
    <row r="1019" spans="1:6" x14ac:dyDescent="0.2">
      <c r="A1019" t="s">
        <v>95</v>
      </c>
      <c r="B1019" t="s">
        <v>41</v>
      </c>
      <c r="C1019">
        <v>1270</v>
      </c>
      <c r="D1019">
        <v>-2.6941381209337301E-2</v>
      </c>
      <c r="E1019">
        <v>1.5748031496063001E-3</v>
      </c>
      <c r="F1019" t="s">
        <v>250</v>
      </c>
    </row>
    <row r="1020" spans="1:6" x14ac:dyDescent="0.2">
      <c r="A1020" t="s">
        <v>117</v>
      </c>
      <c r="B1020" t="s">
        <v>76</v>
      </c>
      <c r="C1020">
        <v>1270</v>
      </c>
      <c r="D1020">
        <v>-2.6941381209337301E-2</v>
      </c>
      <c r="E1020">
        <v>1.5748031496063001E-3</v>
      </c>
      <c r="F1020" t="s">
        <v>250</v>
      </c>
    </row>
    <row r="1021" spans="1:6" x14ac:dyDescent="0.2">
      <c r="A1021" t="s">
        <v>89</v>
      </c>
      <c r="B1021" t="s">
        <v>94</v>
      </c>
      <c r="C1021">
        <v>1270</v>
      </c>
      <c r="D1021">
        <v>-2.6941381209337301E-2</v>
      </c>
      <c r="E1021">
        <v>1.5748031496063001E-3</v>
      </c>
      <c r="F1021" t="s">
        <v>250</v>
      </c>
    </row>
    <row r="1022" spans="1:6" x14ac:dyDescent="0.2">
      <c r="A1022" t="s">
        <v>110</v>
      </c>
      <c r="B1022" t="s">
        <v>34</v>
      </c>
      <c r="C1022">
        <v>1270</v>
      </c>
      <c r="D1022">
        <v>-2.6941381209337301E-2</v>
      </c>
      <c r="E1022">
        <v>1.5748031496063001E-3</v>
      </c>
      <c r="F1022" t="s">
        <v>250</v>
      </c>
    </row>
    <row r="1023" spans="1:6" x14ac:dyDescent="0.2">
      <c r="A1023" t="s">
        <v>99</v>
      </c>
      <c r="B1023" t="s">
        <v>45</v>
      </c>
      <c r="C1023">
        <v>1270</v>
      </c>
      <c r="D1023">
        <v>-2.6941381209337301E-2</v>
      </c>
      <c r="E1023">
        <v>1.5748031496063001E-3</v>
      </c>
      <c r="F1023" t="s">
        <v>250</v>
      </c>
    </row>
    <row r="1024" spans="1:6" x14ac:dyDescent="0.2">
      <c r="A1024" t="s">
        <v>99</v>
      </c>
      <c r="B1024" t="s">
        <v>65</v>
      </c>
      <c r="C1024">
        <v>1270</v>
      </c>
      <c r="D1024">
        <v>-2.6941381209337301E-2</v>
      </c>
      <c r="E1024">
        <v>1.5748031496063001E-3</v>
      </c>
      <c r="F1024" t="s">
        <v>250</v>
      </c>
    </row>
    <row r="1025" spans="1:6" x14ac:dyDescent="0.2">
      <c r="A1025" t="s">
        <v>99</v>
      </c>
      <c r="B1025" t="s">
        <v>76</v>
      </c>
      <c r="C1025">
        <v>1270</v>
      </c>
      <c r="D1025">
        <v>-2.6941381209337301E-2</v>
      </c>
      <c r="E1025">
        <v>1.5748031496063001E-3</v>
      </c>
      <c r="F1025" t="s">
        <v>250</v>
      </c>
    </row>
    <row r="1026" spans="1:6" x14ac:dyDescent="0.2">
      <c r="A1026" t="s">
        <v>89</v>
      </c>
      <c r="B1026" t="s">
        <v>65</v>
      </c>
      <c r="C1026">
        <v>1270</v>
      </c>
      <c r="D1026">
        <v>-2.6941381209337301E-2</v>
      </c>
      <c r="E1026">
        <v>1.5748031496063001E-3</v>
      </c>
      <c r="F1026" t="s">
        <v>250</v>
      </c>
    </row>
    <row r="1027" spans="1:6" x14ac:dyDescent="0.2">
      <c r="A1027" t="s">
        <v>129</v>
      </c>
      <c r="B1027" t="s">
        <v>50</v>
      </c>
      <c r="C1027">
        <v>1270</v>
      </c>
      <c r="D1027">
        <v>-2.6941381209337301E-2</v>
      </c>
      <c r="E1027">
        <v>1.5748031496063001E-3</v>
      </c>
      <c r="F1027" t="s">
        <v>250</v>
      </c>
    </row>
    <row r="1028" spans="1:6" x14ac:dyDescent="0.2">
      <c r="A1028" t="s">
        <v>99</v>
      </c>
      <c r="B1028" t="s">
        <v>60</v>
      </c>
      <c r="C1028">
        <v>1270</v>
      </c>
      <c r="D1028">
        <v>-2.6941381209337301E-2</v>
      </c>
      <c r="E1028">
        <v>1.5748031496063001E-3</v>
      </c>
      <c r="F1028" t="s">
        <v>250</v>
      </c>
    </row>
    <row r="1029" spans="1:6" x14ac:dyDescent="0.2">
      <c r="A1029" t="s">
        <v>94</v>
      </c>
      <c r="B1029" t="s">
        <v>129</v>
      </c>
      <c r="C1029">
        <v>1270</v>
      </c>
      <c r="D1029">
        <v>-2.6941381209337301E-2</v>
      </c>
      <c r="E1029">
        <v>1.5748031496063001E-3</v>
      </c>
      <c r="F1029" t="s">
        <v>250</v>
      </c>
    </row>
    <row r="1030" spans="1:6" x14ac:dyDescent="0.2">
      <c r="A1030" t="s">
        <v>89</v>
      </c>
      <c r="B1030" t="s">
        <v>129</v>
      </c>
      <c r="C1030">
        <v>1270</v>
      </c>
      <c r="D1030">
        <v>-2.6941381209337301E-2</v>
      </c>
      <c r="E1030">
        <v>1.5748031496063001E-3</v>
      </c>
      <c r="F1030" t="s">
        <v>250</v>
      </c>
    </row>
    <row r="1031" spans="1:6" x14ac:dyDescent="0.2">
      <c r="A1031" t="s">
        <v>121</v>
      </c>
      <c r="B1031" t="s">
        <v>116</v>
      </c>
      <c r="C1031">
        <v>1270</v>
      </c>
      <c r="D1031">
        <v>-2.6941381209337301E-2</v>
      </c>
      <c r="E1031">
        <v>1.5748031496063001E-3</v>
      </c>
      <c r="F1031" t="s">
        <v>250</v>
      </c>
    </row>
    <row r="1032" spans="1:6" x14ac:dyDescent="0.2">
      <c r="A1032" t="s">
        <v>95</v>
      </c>
      <c r="B1032" t="s">
        <v>34</v>
      </c>
      <c r="C1032">
        <v>1270</v>
      </c>
      <c r="D1032">
        <v>-2.6941381209337301E-2</v>
      </c>
      <c r="E1032">
        <v>1.5748031496063001E-3</v>
      </c>
      <c r="F1032" t="s">
        <v>250</v>
      </c>
    </row>
    <row r="1033" spans="1:6" x14ac:dyDescent="0.2">
      <c r="A1033" t="s">
        <v>99</v>
      </c>
      <c r="B1033" t="s">
        <v>94</v>
      </c>
      <c r="C1033">
        <v>1270</v>
      </c>
      <c r="D1033">
        <v>-2.6941381209337301E-2</v>
      </c>
      <c r="E1033">
        <v>1.5748031496063001E-3</v>
      </c>
      <c r="F1033" t="s">
        <v>250</v>
      </c>
    </row>
    <row r="1034" spans="1:6" x14ac:dyDescent="0.2">
      <c r="A1034" t="s">
        <v>45</v>
      </c>
      <c r="B1034" t="s">
        <v>47</v>
      </c>
      <c r="C1034">
        <v>1270</v>
      </c>
      <c r="D1034">
        <v>-2.6941381209337301E-2</v>
      </c>
      <c r="E1034">
        <v>1.5748031496063001E-3</v>
      </c>
      <c r="F1034" t="s">
        <v>250</v>
      </c>
    </row>
    <row r="1035" spans="1:6" x14ac:dyDescent="0.2">
      <c r="A1035" t="s">
        <v>87</v>
      </c>
      <c r="B1035" t="s">
        <v>76</v>
      </c>
      <c r="C1035">
        <v>1270</v>
      </c>
      <c r="D1035">
        <v>-2.6941381209337301E-2</v>
      </c>
      <c r="E1035">
        <v>1.5748031496063001E-3</v>
      </c>
      <c r="F1035" t="s">
        <v>250</v>
      </c>
    </row>
    <row r="1036" spans="1:6" x14ac:dyDescent="0.2">
      <c r="A1036" t="s">
        <v>129</v>
      </c>
      <c r="B1036" t="s">
        <v>120</v>
      </c>
      <c r="C1036">
        <v>1270</v>
      </c>
      <c r="D1036">
        <v>-2.6941381209337301E-2</v>
      </c>
      <c r="E1036">
        <v>1.5748031496063001E-3</v>
      </c>
      <c r="F1036" t="s">
        <v>250</v>
      </c>
    </row>
    <row r="1037" spans="1:6" x14ac:dyDescent="0.2">
      <c r="A1037" t="s">
        <v>68</v>
      </c>
      <c r="B1037" t="s">
        <v>50</v>
      </c>
      <c r="C1037">
        <v>1270</v>
      </c>
      <c r="D1037">
        <v>-2.6941381209337301E-2</v>
      </c>
      <c r="E1037">
        <v>1.5748031496063001E-3</v>
      </c>
      <c r="F1037" t="s">
        <v>250</v>
      </c>
    </row>
    <row r="1038" spans="1:6" x14ac:dyDescent="0.2">
      <c r="A1038" t="s">
        <v>57</v>
      </c>
      <c r="B1038" t="s">
        <v>129</v>
      </c>
      <c r="C1038">
        <v>1270</v>
      </c>
      <c r="D1038">
        <v>-2.6941381209337301E-2</v>
      </c>
      <c r="E1038">
        <v>1.5748031496063001E-3</v>
      </c>
      <c r="F1038" t="s">
        <v>250</v>
      </c>
    </row>
    <row r="1039" spans="1:6" x14ac:dyDescent="0.2">
      <c r="A1039" t="s">
        <v>45</v>
      </c>
      <c r="B1039" t="s">
        <v>118</v>
      </c>
      <c r="C1039">
        <v>1270</v>
      </c>
      <c r="D1039">
        <v>-2.6941381209337301E-2</v>
      </c>
      <c r="E1039">
        <v>1.5748031496063001E-3</v>
      </c>
      <c r="F1039" t="s">
        <v>250</v>
      </c>
    </row>
    <row r="1040" spans="1:6" x14ac:dyDescent="0.2">
      <c r="A1040" t="s">
        <v>50</v>
      </c>
      <c r="B1040" t="s">
        <v>76</v>
      </c>
      <c r="C1040">
        <v>1270</v>
      </c>
      <c r="D1040">
        <v>-2.6941381209337301E-2</v>
      </c>
      <c r="E1040">
        <v>1.5748031496063001E-3</v>
      </c>
      <c r="F1040" t="s">
        <v>250</v>
      </c>
    </row>
    <row r="1041" spans="1:6" x14ac:dyDescent="0.2">
      <c r="A1041" t="s">
        <v>60</v>
      </c>
      <c r="B1041" t="s">
        <v>45</v>
      </c>
      <c r="C1041">
        <v>1270</v>
      </c>
      <c r="D1041">
        <v>-2.6941381209337301E-2</v>
      </c>
      <c r="E1041">
        <v>1.5748031496063001E-3</v>
      </c>
      <c r="F1041" t="s">
        <v>250</v>
      </c>
    </row>
    <row r="1042" spans="1:6" x14ac:dyDescent="0.2">
      <c r="A1042" t="s">
        <v>99</v>
      </c>
      <c r="B1042" t="s">
        <v>87</v>
      </c>
      <c r="C1042">
        <v>1270</v>
      </c>
      <c r="D1042">
        <v>-2.6941381209337301E-2</v>
      </c>
      <c r="E1042">
        <v>1.5748031496063001E-3</v>
      </c>
      <c r="F1042" t="s">
        <v>250</v>
      </c>
    </row>
    <row r="1043" spans="1:6" x14ac:dyDescent="0.2">
      <c r="A1043" t="s">
        <v>99</v>
      </c>
      <c r="B1043" t="s">
        <v>129</v>
      </c>
      <c r="C1043">
        <v>1270</v>
      </c>
      <c r="D1043">
        <v>-2.6941381209337301E-2</v>
      </c>
      <c r="E1043">
        <v>1.5748031496063001E-3</v>
      </c>
      <c r="F1043" t="s">
        <v>250</v>
      </c>
    </row>
    <row r="1044" spans="1:6" x14ac:dyDescent="0.2">
      <c r="A1044" t="s">
        <v>117</v>
      </c>
      <c r="B1044" t="s">
        <v>34</v>
      </c>
      <c r="C1044">
        <v>1270</v>
      </c>
      <c r="D1044">
        <v>-2.6941381209337301E-2</v>
      </c>
      <c r="E1044">
        <v>1.5748031496063001E-3</v>
      </c>
      <c r="F1044" t="s">
        <v>250</v>
      </c>
    </row>
    <row r="1045" spans="1:6" x14ac:dyDescent="0.2">
      <c r="A1045" t="s">
        <v>99</v>
      </c>
      <c r="B1045" t="s">
        <v>17</v>
      </c>
      <c r="C1045">
        <v>1270</v>
      </c>
      <c r="D1045">
        <v>-2.6941381209337301E-2</v>
      </c>
      <c r="E1045">
        <v>1.5748031496063001E-3</v>
      </c>
      <c r="F1045" t="s">
        <v>250</v>
      </c>
    </row>
    <row r="1046" spans="1:6" x14ac:dyDescent="0.2">
      <c r="A1046" t="s">
        <v>89</v>
      </c>
      <c r="B1046" t="s">
        <v>27</v>
      </c>
      <c r="C1046">
        <v>1270</v>
      </c>
      <c r="D1046">
        <v>-2.6941381209337301E-2</v>
      </c>
      <c r="E1046">
        <v>1.5748031496063001E-3</v>
      </c>
      <c r="F1046" t="s">
        <v>250</v>
      </c>
    </row>
    <row r="1047" spans="1:6" x14ac:dyDescent="0.2">
      <c r="A1047" t="s">
        <v>94</v>
      </c>
      <c r="B1047" t="s">
        <v>76</v>
      </c>
      <c r="C1047">
        <v>1270</v>
      </c>
      <c r="D1047">
        <v>-2.6941381209337301E-2</v>
      </c>
      <c r="E1047">
        <v>1.5748031496063001E-3</v>
      </c>
      <c r="F1047" t="s">
        <v>250</v>
      </c>
    </row>
    <row r="1048" spans="1:6" x14ac:dyDescent="0.2">
      <c r="A1048" t="s">
        <v>66</v>
      </c>
      <c r="B1048" t="s">
        <v>76</v>
      </c>
      <c r="C1048">
        <v>1270</v>
      </c>
      <c r="D1048">
        <v>-2.6941381209337301E-2</v>
      </c>
      <c r="E1048">
        <v>1.5748031496063001E-3</v>
      </c>
      <c r="F1048" t="s">
        <v>250</v>
      </c>
    </row>
    <row r="1049" spans="1:6" x14ac:dyDescent="0.2">
      <c r="A1049" t="s">
        <v>57</v>
      </c>
      <c r="B1049" t="s">
        <v>121</v>
      </c>
      <c r="C1049">
        <v>1270</v>
      </c>
      <c r="D1049">
        <v>-2.6941381209337301E-2</v>
      </c>
      <c r="E1049">
        <v>1.5748031496063001E-3</v>
      </c>
      <c r="F1049" t="s">
        <v>250</v>
      </c>
    </row>
    <row r="1050" spans="1:6" x14ac:dyDescent="0.2">
      <c r="A1050" t="s">
        <v>60</v>
      </c>
      <c r="B1050" t="s">
        <v>129</v>
      </c>
      <c r="C1050">
        <v>1270</v>
      </c>
      <c r="D1050">
        <v>-2.6941381209337301E-2</v>
      </c>
      <c r="E1050">
        <v>1.5748031496063001E-3</v>
      </c>
      <c r="F1050" t="s">
        <v>250</v>
      </c>
    </row>
    <row r="1051" spans="1:6" x14ac:dyDescent="0.2">
      <c r="A1051" t="s">
        <v>75</v>
      </c>
      <c r="B1051" t="s">
        <v>121</v>
      </c>
      <c r="C1051">
        <v>1270</v>
      </c>
      <c r="D1051">
        <v>-2.6941381209337301E-2</v>
      </c>
      <c r="E1051">
        <v>1.5748031496063001E-3</v>
      </c>
      <c r="F1051" t="s">
        <v>250</v>
      </c>
    </row>
    <row r="1052" spans="1:6" x14ac:dyDescent="0.2">
      <c r="A1052" t="s">
        <v>121</v>
      </c>
      <c r="B1052" t="s">
        <v>50</v>
      </c>
      <c r="C1052">
        <v>1270</v>
      </c>
      <c r="D1052">
        <v>-2.6941381209337301E-2</v>
      </c>
      <c r="E1052">
        <v>1.5748031496063001E-3</v>
      </c>
      <c r="F1052" t="s">
        <v>250</v>
      </c>
    </row>
    <row r="1053" spans="1:6" x14ac:dyDescent="0.2">
      <c r="A1053" t="s">
        <v>106</v>
      </c>
      <c r="B1053" t="s">
        <v>41</v>
      </c>
      <c r="C1053">
        <v>1270</v>
      </c>
      <c r="D1053">
        <v>-2.6941381209337301E-2</v>
      </c>
      <c r="E1053">
        <v>1.5748031496063001E-3</v>
      </c>
      <c r="F1053" t="s">
        <v>250</v>
      </c>
    </row>
    <row r="1054" spans="1:6" x14ac:dyDescent="0.2">
      <c r="A1054" t="s">
        <v>99</v>
      </c>
      <c r="B1054" t="s">
        <v>110</v>
      </c>
      <c r="C1054">
        <v>1270</v>
      </c>
      <c r="D1054">
        <v>-2.6941381209337301E-2</v>
      </c>
      <c r="E1054">
        <v>1.5748031496063001E-3</v>
      </c>
      <c r="F1054" t="s">
        <v>250</v>
      </c>
    </row>
    <row r="1055" spans="1:6" x14ac:dyDescent="0.2">
      <c r="A1055" t="s">
        <v>27</v>
      </c>
      <c r="B1055" t="s">
        <v>76</v>
      </c>
      <c r="C1055">
        <v>1270</v>
      </c>
      <c r="D1055">
        <v>-2.6941381209337301E-2</v>
      </c>
      <c r="E1055">
        <v>1.5748031496063001E-3</v>
      </c>
      <c r="F1055" t="s">
        <v>250</v>
      </c>
    </row>
    <row r="1056" spans="1:6" x14ac:dyDescent="0.2">
      <c r="A1056" t="s">
        <v>17</v>
      </c>
      <c r="B1056" t="s">
        <v>45</v>
      </c>
      <c r="C1056">
        <v>1270</v>
      </c>
      <c r="D1056">
        <v>-2.6941381209337301E-2</v>
      </c>
      <c r="E1056">
        <v>1.5748031496063001E-3</v>
      </c>
      <c r="F1056" t="s">
        <v>250</v>
      </c>
    </row>
    <row r="1057" spans="1:6" x14ac:dyDescent="0.2">
      <c r="A1057" t="s">
        <v>41</v>
      </c>
      <c r="B1057" t="s">
        <v>70</v>
      </c>
      <c r="C1057">
        <v>1270</v>
      </c>
      <c r="D1057">
        <v>-2.6941381209337301E-2</v>
      </c>
      <c r="E1057">
        <v>1.5748031496063001E-3</v>
      </c>
      <c r="F1057" t="s">
        <v>250</v>
      </c>
    </row>
    <row r="1058" spans="1:6" x14ac:dyDescent="0.2">
      <c r="A1058" t="s">
        <v>129</v>
      </c>
      <c r="B1058" t="s">
        <v>110</v>
      </c>
      <c r="C1058">
        <v>1270</v>
      </c>
      <c r="D1058">
        <v>-2.6941381209337301E-2</v>
      </c>
      <c r="E1058">
        <v>1.5748031496063001E-3</v>
      </c>
      <c r="F1058" t="s">
        <v>250</v>
      </c>
    </row>
    <row r="1059" spans="1:6" x14ac:dyDescent="0.2">
      <c r="A1059" t="s">
        <v>68</v>
      </c>
      <c r="B1059" t="s">
        <v>121</v>
      </c>
      <c r="C1059">
        <v>1270</v>
      </c>
      <c r="D1059">
        <v>-2.6941381209337301E-2</v>
      </c>
      <c r="E1059">
        <v>1.5748031496063001E-3</v>
      </c>
      <c r="F1059" t="s">
        <v>250</v>
      </c>
    </row>
    <row r="1060" spans="1:6" x14ac:dyDescent="0.2">
      <c r="A1060" t="s">
        <v>45</v>
      </c>
      <c r="B1060" t="s">
        <v>34</v>
      </c>
      <c r="C1060">
        <v>1270</v>
      </c>
      <c r="D1060">
        <v>-2.6941381209337301E-2</v>
      </c>
      <c r="E1060">
        <v>1.5748031496063001E-3</v>
      </c>
      <c r="F1060" t="s">
        <v>250</v>
      </c>
    </row>
    <row r="1061" spans="1:6" x14ac:dyDescent="0.2">
      <c r="A1061" t="s">
        <v>189</v>
      </c>
      <c r="B1061" t="s">
        <v>121</v>
      </c>
      <c r="C1061">
        <v>1270</v>
      </c>
      <c r="D1061">
        <v>-2.6941381209337301E-2</v>
      </c>
      <c r="E1061">
        <v>1.5748031496063001E-3</v>
      </c>
      <c r="F1061" t="s">
        <v>250</v>
      </c>
    </row>
    <row r="1062" spans="1:6" x14ac:dyDescent="0.2">
      <c r="A1062" t="s">
        <v>99</v>
      </c>
      <c r="B1062" t="s">
        <v>66</v>
      </c>
      <c r="C1062">
        <v>1270</v>
      </c>
      <c r="D1062">
        <v>-2.6941381209337301E-2</v>
      </c>
      <c r="E1062">
        <v>1.5748031496063001E-3</v>
      </c>
      <c r="F1062" t="s">
        <v>250</v>
      </c>
    </row>
    <row r="1063" spans="1:6" x14ac:dyDescent="0.2">
      <c r="A1063" t="s">
        <v>60</v>
      </c>
      <c r="B1063" t="s">
        <v>89</v>
      </c>
      <c r="C1063">
        <v>1270</v>
      </c>
      <c r="D1063">
        <v>-2.6941381209337301E-2</v>
      </c>
      <c r="E1063">
        <v>1.5748031496063001E-3</v>
      </c>
      <c r="F1063" t="s">
        <v>250</v>
      </c>
    </row>
    <row r="1064" spans="1:6" x14ac:dyDescent="0.2">
      <c r="A1064" t="s">
        <v>41</v>
      </c>
      <c r="B1064" t="s">
        <v>50</v>
      </c>
      <c r="C1064">
        <v>1270</v>
      </c>
      <c r="D1064">
        <v>-2.6941381209337301E-2</v>
      </c>
      <c r="E1064">
        <v>1.5748031496063001E-3</v>
      </c>
      <c r="F1064" t="s">
        <v>250</v>
      </c>
    </row>
    <row r="1065" spans="1:6" x14ac:dyDescent="0.2">
      <c r="A1065" t="s">
        <v>66</v>
      </c>
      <c r="B1065" t="s">
        <v>110</v>
      </c>
      <c r="C1065">
        <v>1270</v>
      </c>
      <c r="D1065">
        <v>-2.6941381209337301E-2</v>
      </c>
      <c r="E1065">
        <v>1.5748031496063001E-3</v>
      </c>
      <c r="F1065" t="s">
        <v>250</v>
      </c>
    </row>
    <row r="1066" spans="1:6" x14ac:dyDescent="0.2">
      <c r="A1066" t="s">
        <v>75</v>
      </c>
      <c r="B1066" t="s">
        <v>50</v>
      </c>
      <c r="C1066">
        <v>1270</v>
      </c>
      <c r="D1066">
        <v>-2.6941381209337301E-2</v>
      </c>
      <c r="E1066">
        <v>1.5748031496063001E-3</v>
      </c>
      <c r="F1066" t="s">
        <v>250</v>
      </c>
    </row>
    <row r="1067" spans="1:6" x14ac:dyDescent="0.2">
      <c r="A1067" t="s">
        <v>57</v>
      </c>
      <c r="B1067" t="s">
        <v>89</v>
      </c>
      <c r="C1067">
        <v>1270</v>
      </c>
      <c r="D1067">
        <v>-2.6941381209337301E-2</v>
      </c>
      <c r="E1067">
        <v>1.5748031496063001E-3</v>
      </c>
      <c r="F1067" t="s">
        <v>250</v>
      </c>
    </row>
    <row r="1068" spans="1:6" x14ac:dyDescent="0.2">
      <c r="A1068" t="s">
        <v>89</v>
      </c>
      <c r="B1068" t="s">
        <v>120</v>
      </c>
      <c r="C1068">
        <v>1270</v>
      </c>
      <c r="D1068">
        <v>-2.6941381209337301E-2</v>
      </c>
      <c r="E1068">
        <v>1.5748031496063001E-3</v>
      </c>
      <c r="F1068" t="s">
        <v>250</v>
      </c>
    </row>
    <row r="1069" spans="1:6" x14ac:dyDescent="0.2">
      <c r="A1069" t="s">
        <v>127</v>
      </c>
      <c r="B1069" t="s">
        <v>129</v>
      </c>
      <c r="C1069">
        <v>1270</v>
      </c>
      <c r="D1069">
        <v>-2.6941381209337301E-2</v>
      </c>
      <c r="E1069">
        <v>1.5748031496063001E-3</v>
      </c>
      <c r="F1069" t="s">
        <v>250</v>
      </c>
    </row>
    <row r="1070" spans="1:6" x14ac:dyDescent="0.2">
      <c r="A1070" t="s">
        <v>127</v>
      </c>
      <c r="B1070" t="s">
        <v>121</v>
      </c>
      <c r="C1070">
        <v>1270</v>
      </c>
      <c r="D1070">
        <v>-2.6941381209337301E-2</v>
      </c>
      <c r="E1070">
        <v>1.5748031496063001E-3</v>
      </c>
      <c r="F1070" t="s">
        <v>250</v>
      </c>
    </row>
    <row r="1071" spans="1:6" x14ac:dyDescent="0.2">
      <c r="A1071" t="s">
        <v>45</v>
      </c>
      <c r="B1071" t="s">
        <v>117</v>
      </c>
      <c r="C1071">
        <v>1270</v>
      </c>
      <c r="D1071">
        <v>-2.6941381209337301E-2</v>
      </c>
      <c r="E1071">
        <v>1.5748031496063001E-3</v>
      </c>
      <c r="F1071" t="s">
        <v>250</v>
      </c>
    </row>
    <row r="1072" spans="1:6" x14ac:dyDescent="0.2">
      <c r="A1072" t="s">
        <v>55</v>
      </c>
      <c r="B1072" t="s">
        <v>34</v>
      </c>
      <c r="C1072">
        <v>1270</v>
      </c>
      <c r="D1072">
        <v>-2.6941381209337301E-2</v>
      </c>
      <c r="E1072">
        <v>1.5748031496063001E-3</v>
      </c>
      <c r="F1072" t="s">
        <v>250</v>
      </c>
    </row>
    <row r="1073" spans="1:6" x14ac:dyDescent="0.2">
      <c r="A1073" t="s">
        <v>99</v>
      </c>
      <c r="B1073" t="s">
        <v>95</v>
      </c>
      <c r="C1073">
        <v>1270</v>
      </c>
      <c r="D1073">
        <v>-2.6941381209337301E-2</v>
      </c>
      <c r="E1073">
        <v>1.5748031496063001E-3</v>
      </c>
      <c r="F1073" t="s">
        <v>250</v>
      </c>
    </row>
    <row r="1074" spans="1:6" x14ac:dyDescent="0.2">
      <c r="A1074" t="s">
        <v>45</v>
      </c>
      <c r="B1074" t="s">
        <v>87</v>
      </c>
      <c r="C1074">
        <v>1270</v>
      </c>
      <c r="D1074">
        <v>-2.6941381209337301E-2</v>
      </c>
      <c r="E1074">
        <v>1.5748031496063001E-3</v>
      </c>
      <c r="F1074" t="s">
        <v>250</v>
      </c>
    </row>
    <row r="1075" spans="1:6" x14ac:dyDescent="0.2">
      <c r="A1075" t="s">
        <v>99</v>
      </c>
      <c r="B1075" t="s">
        <v>47</v>
      </c>
      <c r="C1075">
        <v>1270</v>
      </c>
      <c r="D1075">
        <v>-2.6941381209337301E-2</v>
      </c>
      <c r="E1075">
        <v>1.5748031496063001E-3</v>
      </c>
      <c r="F1075" t="s">
        <v>250</v>
      </c>
    </row>
    <row r="1076" spans="1:6" x14ac:dyDescent="0.2">
      <c r="A1076" t="s">
        <v>99</v>
      </c>
      <c r="B1076" t="s">
        <v>106</v>
      </c>
      <c r="C1076">
        <v>1270</v>
      </c>
      <c r="D1076">
        <v>-2.6941381209337301E-2</v>
      </c>
      <c r="E1076">
        <v>1.5748031496063001E-3</v>
      </c>
      <c r="F1076" t="s">
        <v>250</v>
      </c>
    </row>
    <row r="1077" spans="1:6" x14ac:dyDescent="0.2">
      <c r="A1077" t="s">
        <v>89</v>
      </c>
      <c r="B1077" t="s">
        <v>127</v>
      </c>
      <c r="C1077">
        <v>1270</v>
      </c>
      <c r="D1077">
        <v>-2.6941381209337301E-2</v>
      </c>
      <c r="E1077">
        <v>1.5748031496063001E-3</v>
      </c>
      <c r="F1077" t="s">
        <v>250</v>
      </c>
    </row>
    <row r="1078" spans="1:6" x14ac:dyDescent="0.2">
      <c r="A1078" t="s">
        <v>35</v>
      </c>
      <c r="B1078" t="s">
        <v>76</v>
      </c>
      <c r="C1078">
        <v>1270</v>
      </c>
      <c r="D1078">
        <v>-2.6941381209337301E-2</v>
      </c>
      <c r="E1078">
        <v>1.5748031496063001E-3</v>
      </c>
      <c r="F1078" t="s">
        <v>250</v>
      </c>
    </row>
    <row r="1079" spans="1:6" x14ac:dyDescent="0.2">
      <c r="A1079" t="s">
        <v>27</v>
      </c>
      <c r="B1079" t="s">
        <v>34</v>
      </c>
      <c r="C1079">
        <v>1270</v>
      </c>
      <c r="D1079">
        <v>-2.6941381209337301E-2</v>
      </c>
      <c r="E1079">
        <v>1.5748031496063001E-3</v>
      </c>
      <c r="F1079" t="s">
        <v>250</v>
      </c>
    </row>
    <row r="1080" spans="1:6" x14ac:dyDescent="0.2">
      <c r="A1080" t="s">
        <v>60</v>
      </c>
      <c r="B1080" t="s">
        <v>121</v>
      </c>
      <c r="C1080">
        <v>1270</v>
      </c>
      <c r="D1080">
        <v>-2.6941381209337301E-2</v>
      </c>
      <c r="E1080">
        <v>1.5748031496063001E-3</v>
      </c>
      <c r="F1080" t="s">
        <v>250</v>
      </c>
    </row>
    <row r="1081" spans="1:6" x14ac:dyDescent="0.2">
      <c r="A1081" t="s">
        <v>120</v>
      </c>
      <c r="B1081" t="s">
        <v>66</v>
      </c>
      <c r="C1081">
        <v>1270</v>
      </c>
      <c r="D1081">
        <v>-2.6941381209337301E-2</v>
      </c>
      <c r="E1081">
        <v>1.5748031496063001E-3</v>
      </c>
      <c r="F1081" t="s">
        <v>250</v>
      </c>
    </row>
    <row r="1082" spans="1:6" x14ac:dyDescent="0.2">
      <c r="A1082" t="s">
        <v>106</v>
      </c>
      <c r="B1082" t="s">
        <v>121</v>
      </c>
      <c r="C1082">
        <v>1270</v>
      </c>
      <c r="D1082">
        <v>-2.6941381209337301E-2</v>
      </c>
      <c r="E1082">
        <v>1.5748031496063001E-3</v>
      </c>
      <c r="F1082" t="s">
        <v>250</v>
      </c>
    </row>
    <row r="1083" spans="1:6" x14ac:dyDescent="0.2">
      <c r="A1083" t="s">
        <v>129</v>
      </c>
      <c r="B1083" t="s">
        <v>189</v>
      </c>
      <c r="C1083">
        <v>1270</v>
      </c>
      <c r="D1083">
        <v>-2.6941381209337301E-2</v>
      </c>
      <c r="E1083">
        <v>1.5748031496063001E-3</v>
      </c>
      <c r="F1083" t="s">
        <v>250</v>
      </c>
    </row>
    <row r="1084" spans="1:6" x14ac:dyDescent="0.2">
      <c r="A1084" t="s">
        <v>55</v>
      </c>
      <c r="B1084" t="s">
        <v>76</v>
      </c>
      <c r="C1084">
        <v>1270</v>
      </c>
      <c r="D1084">
        <v>-2.6941381209337301E-2</v>
      </c>
      <c r="E1084">
        <v>1.5748031496063001E-3</v>
      </c>
      <c r="F1084" t="s">
        <v>250</v>
      </c>
    </row>
    <row r="1085" spans="1:6" x14ac:dyDescent="0.2">
      <c r="A1085" t="s">
        <v>129</v>
      </c>
      <c r="B1085" t="s">
        <v>116</v>
      </c>
      <c r="C1085">
        <v>1270</v>
      </c>
      <c r="D1085">
        <v>-2.6941381209337301E-2</v>
      </c>
      <c r="E1085">
        <v>1.5748031496063001E-3</v>
      </c>
      <c r="F1085" t="s">
        <v>250</v>
      </c>
    </row>
    <row r="1086" spans="1:6" x14ac:dyDescent="0.2">
      <c r="A1086" t="s">
        <v>45</v>
      </c>
      <c r="B1086" t="s">
        <v>70</v>
      </c>
      <c r="C1086">
        <v>1270</v>
      </c>
      <c r="D1086">
        <v>-2.6941381209337301E-2</v>
      </c>
      <c r="E1086">
        <v>1.5748031496063001E-3</v>
      </c>
      <c r="F1086" t="s">
        <v>250</v>
      </c>
    </row>
    <row r="1087" spans="1:6" x14ac:dyDescent="0.2">
      <c r="A1087" t="s">
        <v>129</v>
      </c>
      <c r="B1087" t="s">
        <v>70</v>
      </c>
      <c r="C1087">
        <v>1270</v>
      </c>
      <c r="D1087">
        <v>-2.6941381209337301E-2</v>
      </c>
      <c r="E1087">
        <v>1.5748031496063001E-3</v>
      </c>
      <c r="F1087" t="s">
        <v>250</v>
      </c>
    </row>
    <row r="1088" spans="1:6" x14ac:dyDescent="0.2">
      <c r="A1088" t="s">
        <v>45</v>
      </c>
      <c r="B1088" t="s">
        <v>66</v>
      </c>
      <c r="C1088">
        <v>1270</v>
      </c>
      <c r="D1088">
        <v>-2.6941381209337301E-2</v>
      </c>
      <c r="E1088">
        <v>1.5748031496063001E-3</v>
      </c>
      <c r="F1088" t="s">
        <v>250</v>
      </c>
    </row>
    <row r="1089" spans="1:6" x14ac:dyDescent="0.2">
      <c r="A1089" t="s">
        <v>41</v>
      </c>
      <c r="B1089" t="s">
        <v>120</v>
      </c>
      <c r="C1089">
        <v>1270</v>
      </c>
      <c r="D1089">
        <v>-2.6941381209337301E-2</v>
      </c>
      <c r="E1089">
        <v>1.5748031496063001E-3</v>
      </c>
      <c r="F1089" t="s">
        <v>250</v>
      </c>
    </row>
    <row r="1090" spans="1:6" x14ac:dyDescent="0.2">
      <c r="A1090" t="s">
        <v>89</v>
      </c>
      <c r="B1090" t="s">
        <v>35</v>
      </c>
      <c r="C1090">
        <v>1270</v>
      </c>
      <c r="D1090">
        <v>-2.6941381209337301E-2</v>
      </c>
      <c r="E1090">
        <v>1.5748031496063001E-3</v>
      </c>
      <c r="F1090" t="s">
        <v>250</v>
      </c>
    </row>
    <row r="1091" spans="1:6" x14ac:dyDescent="0.2">
      <c r="A1091" t="s">
        <v>127</v>
      </c>
      <c r="B1091" t="s">
        <v>66</v>
      </c>
      <c r="C1091">
        <v>1270</v>
      </c>
      <c r="D1091">
        <v>-2.6941381209337301E-2</v>
      </c>
      <c r="E1091">
        <v>1.5748031496063001E-3</v>
      </c>
      <c r="F1091" t="s">
        <v>250</v>
      </c>
    </row>
    <row r="1092" spans="1:6" x14ac:dyDescent="0.2">
      <c r="A1092" t="s">
        <v>121</v>
      </c>
      <c r="B1092" t="s">
        <v>118</v>
      </c>
      <c r="C1092">
        <v>1270</v>
      </c>
      <c r="D1092">
        <v>-2.6941381209337301E-2</v>
      </c>
      <c r="E1092">
        <v>1.5748031496063001E-3</v>
      </c>
      <c r="F1092" t="s">
        <v>250</v>
      </c>
    </row>
    <row r="1093" spans="1:6" x14ac:dyDescent="0.2">
      <c r="A1093" t="s">
        <v>60</v>
      </c>
      <c r="B1093" t="s">
        <v>76</v>
      </c>
      <c r="C1093">
        <v>1270</v>
      </c>
      <c r="D1093">
        <v>-2.6941381209337301E-2</v>
      </c>
      <c r="E1093">
        <v>1.5748031496063001E-3</v>
      </c>
      <c r="F1093" t="s">
        <v>250</v>
      </c>
    </row>
    <row r="1094" spans="1:6" x14ac:dyDescent="0.2">
      <c r="A1094" t="s">
        <v>53</v>
      </c>
      <c r="B1094" t="s">
        <v>34</v>
      </c>
      <c r="C1094">
        <v>1270</v>
      </c>
      <c r="D1094">
        <v>-2.6941381209337301E-2</v>
      </c>
      <c r="E1094">
        <v>1.5748031496063001E-3</v>
      </c>
      <c r="F1094" t="s">
        <v>250</v>
      </c>
    </row>
    <row r="1095" spans="1:6" x14ac:dyDescent="0.2">
      <c r="A1095" t="s">
        <v>99</v>
      </c>
      <c r="B1095" t="s">
        <v>120</v>
      </c>
      <c r="C1095">
        <v>1270</v>
      </c>
      <c r="D1095">
        <v>-2.6941381209337301E-2</v>
      </c>
      <c r="E1095">
        <v>1.5748031496063001E-3</v>
      </c>
      <c r="F1095" t="s">
        <v>250</v>
      </c>
    </row>
    <row r="1096" spans="1:6" x14ac:dyDescent="0.2">
      <c r="A1096" t="s">
        <v>60</v>
      </c>
      <c r="B1096" t="s">
        <v>50</v>
      </c>
      <c r="C1096">
        <v>1270</v>
      </c>
      <c r="D1096">
        <v>-2.6941381209337301E-2</v>
      </c>
      <c r="E1096">
        <v>1.5748031496063001E-3</v>
      </c>
      <c r="F1096" t="s">
        <v>250</v>
      </c>
    </row>
    <row r="1097" spans="1:6" x14ac:dyDescent="0.2">
      <c r="A1097" t="s">
        <v>129</v>
      </c>
      <c r="B1097" t="s">
        <v>47</v>
      </c>
      <c r="C1097">
        <v>1270</v>
      </c>
      <c r="D1097">
        <v>-2.6941381209337301E-2</v>
      </c>
      <c r="E1097">
        <v>1.5748031496063001E-3</v>
      </c>
      <c r="F1097" t="s">
        <v>250</v>
      </c>
    </row>
    <row r="1098" spans="1:6" x14ac:dyDescent="0.2">
      <c r="A1098" t="s">
        <v>41</v>
      </c>
      <c r="B1098" t="s">
        <v>27</v>
      </c>
      <c r="C1098">
        <v>1270</v>
      </c>
      <c r="D1098">
        <v>-2.6941381209337301E-2</v>
      </c>
      <c r="E1098">
        <v>1.5748031496063001E-3</v>
      </c>
      <c r="F1098" t="s">
        <v>250</v>
      </c>
    </row>
    <row r="1099" spans="1:6" x14ac:dyDescent="0.2">
      <c r="A1099" t="s">
        <v>129</v>
      </c>
      <c r="B1099" t="s">
        <v>121</v>
      </c>
      <c r="C1099">
        <v>1270</v>
      </c>
      <c r="D1099">
        <v>-2.6941381209337301E-2</v>
      </c>
      <c r="E1099">
        <v>1.5748031496063001E-3</v>
      </c>
      <c r="F1099" t="s">
        <v>250</v>
      </c>
    </row>
    <row r="1100" spans="1:6" x14ac:dyDescent="0.2">
      <c r="A1100" t="s">
        <v>66</v>
      </c>
      <c r="B1100" t="s">
        <v>34</v>
      </c>
      <c r="C1100">
        <v>1270</v>
      </c>
      <c r="D1100">
        <v>-2.6941381209337301E-2</v>
      </c>
      <c r="E1100">
        <v>1.5748031496063001E-3</v>
      </c>
      <c r="F1100" t="s">
        <v>250</v>
      </c>
    </row>
    <row r="1101" spans="1:6" x14ac:dyDescent="0.2">
      <c r="A1101" t="s">
        <v>27</v>
      </c>
      <c r="B1101" t="s">
        <v>66</v>
      </c>
      <c r="C1101">
        <v>1270</v>
      </c>
      <c r="D1101">
        <v>-2.6941381209337301E-2</v>
      </c>
      <c r="E1101">
        <v>1.5748031496063001E-3</v>
      </c>
      <c r="F1101" t="s">
        <v>250</v>
      </c>
    </row>
    <row r="1102" spans="1:6" x14ac:dyDescent="0.2">
      <c r="A1102" t="s">
        <v>41</v>
      </c>
      <c r="B1102" t="s">
        <v>68</v>
      </c>
      <c r="C1102">
        <v>1270</v>
      </c>
      <c r="D1102">
        <v>-2.6941381209337301E-2</v>
      </c>
      <c r="E1102">
        <v>1.5748031496063001E-3</v>
      </c>
      <c r="F1102" t="s">
        <v>250</v>
      </c>
    </row>
    <row r="1103" spans="1:6" x14ac:dyDescent="0.2">
      <c r="A1103" t="s">
        <v>89</v>
      </c>
      <c r="B1103" t="s">
        <v>55</v>
      </c>
      <c r="C1103">
        <v>1270</v>
      </c>
      <c r="D1103">
        <v>-2.6941381209337301E-2</v>
      </c>
      <c r="E1103">
        <v>1.5748031496063001E-3</v>
      </c>
      <c r="F1103" t="s">
        <v>250</v>
      </c>
    </row>
    <row r="1104" spans="1:6" x14ac:dyDescent="0.2">
      <c r="A1104" t="s">
        <v>45</v>
      </c>
      <c r="B1104" t="s">
        <v>121</v>
      </c>
      <c r="C1104">
        <v>1270</v>
      </c>
      <c r="D1104">
        <v>-2.6941381209337301E-2</v>
      </c>
      <c r="E1104">
        <v>1.5748031496063001E-3</v>
      </c>
      <c r="F1104" t="s">
        <v>250</v>
      </c>
    </row>
    <row r="1105" spans="1:6" x14ac:dyDescent="0.2">
      <c r="A1105" t="s">
        <v>68</v>
      </c>
      <c r="B1105" t="s">
        <v>45</v>
      </c>
      <c r="C1105">
        <v>1270</v>
      </c>
      <c r="D1105">
        <v>-2.6941381209337301E-2</v>
      </c>
      <c r="E1105">
        <v>1.5748031496063001E-3</v>
      </c>
      <c r="F1105" t="s">
        <v>250</v>
      </c>
    </row>
    <row r="1106" spans="1:6" x14ac:dyDescent="0.2">
      <c r="A1106" t="s">
        <v>41</v>
      </c>
      <c r="B1106" t="s">
        <v>17</v>
      </c>
      <c r="C1106">
        <v>1270</v>
      </c>
      <c r="D1106">
        <v>-2.6941381209337301E-2</v>
      </c>
      <c r="E1106">
        <v>1.5748031496063001E-3</v>
      </c>
      <c r="F1106" t="s">
        <v>250</v>
      </c>
    </row>
    <row r="1107" spans="1:6" x14ac:dyDescent="0.2">
      <c r="A1107" t="s">
        <v>89</v>
      </c>
      <c r="B1107" t="s">
        <v>116</v>
      </c>
      <c r="C1107">
        <v>1270</v>
      </c>
      <c r="D1107">
        <v>-2.6941381209337301E-2</v>
      </c>
      <c r="E1107">
        <v>1.5748031496063001E-3</v>
      </c>
      <c r="F1107" t="s">
        <v>250</v>
      </c>
    </row>
    <row r="1108" spans="1:6" x14ac:dyDescent="0.2">
      <c r="A1108" t="s">
        <v>41</v>
      </c>
      <c r="B1108" t="s">
        <v>127</v>
      </c>
      <c r="C1108">
        <v>1270</v>
      </c>
      <c r="D1108">
        <v>-2.6941381209337301E-2</v>
      </c>
      <c r="E1108">
        <v>1.5748031496063001E-3</v>
      </c>
      <c r="F1108" t="s">
        <v>250</v>
      </c>
    </row>
    <row r="1109" spans="1:6" x14ac:dyDescent="0.2">
      <c r="A1109" t="s">
        <v>106</v>
      </c>
      <c r="B1109" t="s">
        <v>66</v>
      </c>
      <c r="C1109">
        <v>1270</v>
      </c>
      <c r="D1109">
        <v>-2.6941381209337301E-2</v>
      </c>
      <c r="E1109">
        <v>1.5748031496063001E-3</v>
      </c>
      <c r="F1109" t="s">
        <v>250</v>
      </c>
    </row>
    <row r="1110" spans="1:6" x14ac:dyDescent="0.2">
      <c r="A1110" t="s">
        <v>41</v>
      </c>
      <c r="B1110" t="s">
        <v>87</v>
      </c>
      <c r="C1110">
        <v>1270</v>
      </c>
      <c r="D1110">
        <v>-2.6941381209337301E-2</v>
      </c>
      <c r="E1110">
        <v>1.5748031496063001E-3</v>
      </c>
      <c r="F1110" t="s">
        <v>250</v>
      </c>
    </row>
    <row r="1111" spans="1:6" x14ac:dyDescent="0.2">
      <c r="A1111" t="s">
        <v>41</v>
      </c>
      <c r="B1111" t="s">
        <v>47</v>
      </c>
      <c r="C1111">
        <v>1270</v>
      </c>
      <c r="D1111">
        <v>-2.6941381209337301E-2</v>
      </c>
      <c r="E1111">
        <v>1.5748031496063001E-3</v>
      </c>
      <c r="F1111" t="s">
        <v>250</v>
      </c>
    </row>
    <row r="1112" spans="1:6" x14ac:dyDescent="0.2">
      <c r="A1112" t="s">
        <v>66</v>
      </c>
      <c r="B1112" t="s">
        <v>55</v>
      </c>
      <c r="C1112">
        <v>1270</v>
      </c>
      <c r="D1112">
        <v>-2.6941381209337301E-2</v>
      </c>
      <c r="E1112">
        <v>1.5748031496063001E-3</v>
      </c>
      <c r="F1112" t="s">
        <v>250</v>
      </c>
    </row>
    <row r="1113" spans="1:6" x14ac:dyDescent="0.2">
      <c r="A1113" t="s">
        <v>99</v>
      </c>
      <c r="B1113" t="s">
        <v>27</v>
      </c>
      <c r="C1113">
        <v>1270</v>
      </c>
      <c r="D1113">
        <v>-2.6941381209337301E-2</v>
      </c>
      <c r="E1113">
        <v>1.5748031496063001E-3</v>
      </c>
      <c r="F1113" t="s">
        <v>250</v>
      </c>
    </row>
    <row r="1114" spans="1:6" x14ac:dyDescent="0.2">
      <c r="A1114" t="s">
        <v>57</v>
      </c>
      <c r="B1114" t="s">
        <v>76</v>
      </c>
      <c r="C1114">
        <v>1270</v>
      </c>
      <c r="D1114">
        <v>-2.6941381209337301E-2</v>
      </c>
      <c r="E1114">
        <v>1.5748031496063001E-3</v>
      </c>
      <c r="F1114" t="s">
        <v>250</v>
      </c>
    </row>
    <row r="1115" spans="1:6" x14ac:dyDescent="0.2">
      <c r="A1115" t="s">
        <v>99</v>
      </c>
      <c r="B1115" t="s">
        <v>127</v>
      </c>
      <c r="C1115">
        <v>1270</v>
      </c>
      <c r="D1115">
        <v>-2.6941381209337301E-2</v>
      </c>
      <c r="E1115">
        <v>1.5748031496063001E-3</v>
      </c>
      <c r="F1115" t="s">
        <v>250</v>
      </c>
    </row>
    <row r="1116" spans="1:6" x14ac:dyDescent="0.2">
      <c r="A1116" t="s">
        <v>121</v>
      </c>
      <c r="B1116" t="s">
        <v>35</v>
      </c>
      <c r="C1116">
        <v>1270</v>
      </c>
      <c r="D1116">
        <v>-2.6941381209337301E-2</v>
      </c>
      <c r="E1116">
        <v>1.5748031496063001E-3</v>
      </c>
      <c r="F1116" t="s">
        <v>250</v>
      </c>
    </row>
    <row r="1117" spans="1:6" x14ac:dyDescent="0.2">
      <c r="A1117" t="s">
        <v>41</v>
      </c>
      <c r="B1117" t="s">
        <v>116</v>
      </c>
      <c r="C1117">
        <v>1270</v>
      </c>
      <c r="D1117">
        <v>-2.6941381209337301E-2</v>
      </c>
      <c r="E1117">
        <v>1.5748031496063001E-3</v>
      </c>
      <c r="F1117" t="s">
        <v>250</v>
      </c>
    </row>
    <row r="1118" spans="1:6" x14ac:dyDescent="0.2">
      <c r="A1118" t="s">
        <v>17</v>
      </c>
      <c r="B1118" t="s">
        <v>121</v>
      </c>
      <c r="C1118">
        <v>1270</v>
      </c>
      <c r="D1118">
        <v>-2.6941381209337301E-2</v>
      </c>
      <c r="E1118">
        <v>1.5748031496063001E-3</v>
      </c>
      <c r="F1118" t="s">
        <v>250</v>
      </c>
    </row>
    <row r="1119" spans="1:6" x14ac:dyDescent="0.2">
      <c r="A1119" t="s">
        <v>41</v>
      </c>
      <c r="B1119" t="s">
        <v>94</v>
      </c>
      <c r="C1119">
        <v>1270</v>
      </c>
      <c r="D1119">
        <v>-2.6941381209337301E-2</v>
      </c>
      <c r="E1119">
        <v>1.5748031496063001E-3</v>
      </c>
      <c r="F1119" t="s">
        <v>250</v>
      </c>
    </row>
    <row r="1120" spans="1:6" x14ac:dyDescent="0.2">
      <c r="A1120" t="s">
        <v>187</v>
      </c>
      <c r="B1120" t="s">
        <v>121</v>
      </c>
      <c r="C1120">
        <v>1270</v>
      </c>
      <c r="D1120">
        <v>-2.6941381209337301E-2</v>
      </c>
      <c r="E1120">
        <v>1.5748031496063001E-3</v>
      </c>
      <c r="F1120" t="s">
        <v>250</v>
      </c>
    </row>
    <row r="1121" spans="1:6" x14ac:dyDescent="0.2">
      <c r="A1121" t="s">
        <v>99</v>
      </c>
      <c r="B1121" t="s">
        <v>187</v>
      </c>
      <c r="C1121">
        <v>1270</v>
      </c>
      <c r="D1121">
        <v>-2.6941381209337301E-2</v>
      </c>
      <c r="E1121">
        <v>1.5748031496063001E-3</v>
      </c>
      <c r="F1121" t="s">
        <v>250</v>
      </c>
    </row>
    <row r="1122" spans="1:6" x14ac:dyDescent="0.2">
      <c r="A1122" t="s">
        <v>50</v>
      </c>
      <c r="B1122" t="s">
        <v>118</v>
      </c>
      <c r="C1122">
        <v>1270</v>
      </c>
      <c r="D1122">
        <v>-2.6941381209337301E-2</v>
      </c>
      <c r="E1122">
        <v>1.5748031496063001E-3</v>
      </c>
      <c r="F1122" t="s">
        <v>250</v>
      </c>
    </row>
    <row r="1123" spans="1:6" x14ac:dyDescent="0.2">
      <c r="A1123" t="s">
        <v>94</v>
      </c>
      <c r="B1123" t="s">
        <v>66</v>
      </c>
      <c r="C1123">
        <v>1270</v>
      </c>
      <c r="D1123">
        <v>-2.6941381209337301E-2</v>
      </c>
      <c r="E1123">
        <v>1.5748031496063001E-3</v>
      </c>
      <c r="F1123" t="s">
        <v>250</v>
      </c>
    </row>
    <row r="1124" spans="1:6" x14ac:dyDescent="0.2">
      <c r="A1124" t="s">
        <v>99</v>
      </c>
      <c r="B1124" t="s">
        <v>34</v>
      </c>
      <c r="C1124">
        <v>1270</v>
      </c>
      <c r="D1124">
        <v>-2.6941381209337301E-2</v>
      </c>
      <c r="E1124">
        <v>1.5748031496063001E-3</v>
      </c>
      <c r="F1124" t="s">
        <v>250</v>
      </c>
    </row>
    <row r="1125" spans="1:6" x14ac:dyDescent="0.2">
      <c r="A1125" t="s">
        <v>41</v>
      </c>
      <c r="B1125" t="s">
        <v>45</v>
      </c>
      <c r="C1125">
        <v>1270</v>
      </c>
      <c r="D1125">
        <v>-2.6941381209337301E-2</v>
      </c>
      <c r="E1125">
        <v>1.5748031496063001E-3</v>
      </c>
      <c r="F1125" t="s">
        <v>250</v>
      </c>
    </row>
    <row r="1126" spans="1:6" x14ac:dyDescent="0.2">
      <c r="A1126" t="s">
        <v>41</v>
      </c>
      <c r="B1126" t="s">
        <v>118</v>
      </c>
      <c r="C1126">
        <v>1270</v>
      </c>
      <c r="D1126">
        <v>-2.6941381209337301E-2</v>
      </c>
      <c r="E1126">
        <v>1.5748031496063001E-3</v>
      </c>
      <c r="F1126" t="s">
        <v>250</v>
      </c>
    </row>
    <row r="1127" spans="1:6" x14ac:dyDescent="0.2">
      <c r="A1127" t="s">
        <v>87</v>
      </c>
      <c r="B1127" t="s">
        <v>121</v>
      </c>
      <c r="C1127">
        <v>1270</v>
      </c>
      <c r="D1127">
        <v>-2.6941381209337301E-2</v>
      </c>
      <c r="E1127">
        <v>1.5748031496063001E-3</v>
      </c>
      <c r="F1127" t="s">
        <v>250</v>
      </c>
    </row>
    <row r="1128" spans="1:6" x14ac:dyDescent="0.2">
      <c r="A1128" t="s">
        <v>89</v>
      </c>
      <c r="B1128" t="s">
        <v>87</v>
      </c>
      <c r="C1128">
        <v>1270</v>
      </c>
      <c r="D1128">
        <v>-2.6941381209337301E-2</v>
      </c>
      <c r="E1128">
        <v>1.5748031496063001E-3</v>
      </c>
      <c r="F1128" t="s">
        <v>250</v>
      </c>
    </row>
    <row r="1129" spans="1:6" x14ac:dyDescent="0.2">
      <c r="A1129" t="s">
        <v>95</v>
      </c>
      <c r="B1129" t="s">
        <v>50</v>
      </c>
      <c r="C1129">
        <v>1270</v>
      </c>
      <c r="D1129">
        <v>-2.6941381209337301E-2</v>
      </c>
      <c r="E1129">
        <v>1.5748031496063001E-3</v>
      </c>
      <c r="F1129" t="s">
        <v>250</v>
      </c>
    </row>
    <row r="1130" spans="1:6" x14ac:dyDescent="0.2">
      <c r="A1130" t="s">
        <v>27</v>
      </c>
      <c r="B1130" t="s">
        <v>50</v>
      </c>
      <c r="C1130">
        <v>1270</v>
      </c>
      <c r="D1130">
        <v>-2.6941381209337301E-2</v>
      </c>
      <c r="E1130">
        <v>1.5748031496063001E-3</v>
      </c>
      <c r="F1130" t="s">
        <v>250</v>
      </c>
    </row>
    <row r="1131" spans="1:6" x14ac:dyDescent="0.2">
      <c r="A1131" t="s">
        <v>41</v>
      </c>
      <c r="B1131" t="s">
        <v>53</v>
      </c>
      <c r="C1131">
        <v>1270</v>
      </c>
      <c r="D1131">
        <v>-2.6941381209337301E-2</v>
      </c>
      <c r="E1131">
        <v>1.5748031496063001E-3</v>
      </c>
      <c r="F1131" t="s">
        <v>250</v>
      </c>
    </row>
    <row r="1132" spans="1:6" x14ac:dyDescent="0.2">
      <c r="A1132" t="s">
        <v>120</v>
      </c>
      <c r="B1132" t="s">
        <v>121</v>
      </c>
      <c r="C1132">
        <v>1270</v>
      </c>
      <c r="D1132">
        <v>-2.6941381209337301E-2</v>
      </c>
      <c r="E1132">
        <v>1.5748031496063001E-3</v>
      </c>
      <c r="F1132" t="s">
        <v>250</v>
      </c>
    </row>
    <row r="1133" spans="1:6" x14ac:dyDescent="0.2">
      <c r="A1133" t="s">
        <v>99</v>
      </c>
      <c r="B1133" t="s">
        <v>68</v>
      </c>
      <c r="C1133">
        <v>1270</v>
      </c>
      <c r="D1133">
        <v>-2.6941381209337301E-2</v>
      </c>
      <c r="E1133">
        <v>1.5748031496063001E-3</v>
      </c>
      <c r="F1133" t="s">
        <v>250</v>
      </c>
    </row>
    <row r="1134" spans="1:6" x14ac:dyDescent="0.2">
      <c r="A1134" t="s">
        <v>95</v>
      </c>
      <c r="B1134" t="s">
        <v>121</v>
      </c>
      <c r="C1134">
        <v>1270</v>
      </c>
      <c r="D1134">
        <v>-2.6941381209337301E-2</v>
      </c>
      <c r="E1134">
        <v>1.5748031496063001E-3</v>
      </c>
      <c r="F1134" t="s">
        <v>250</v>
      </c>
    </row>
    <row r="1135" spans="1:6" x14ac:dyDescent="0.2">
      <c r="A1135" t="s">
        <v>41</v>
      </c>
      <c r="B1135" t="s">
        <v>187</v>
      </c>
      <c r="C1135">
        <v>1270</v>
      </c>
      <c r="D1135">
        <v>-2.6941381209337301E-2</v>
      </c>
      <c r="E1135">
        <v>1.5748031496063001E-3</v>
      </c>
      <c r="F1135" t="s">
        <v>250</v>
      </c>
    </row>
    <row r="1136" spans="1:6" x14ac:dyDescent="0.2">
      <c r="A1136" t="s">
        <v>99</v>
      </c>
      <c r="B1136" t="s">
        <v>70</v>
      </c>
      <c r="C1136">
        <v>1270</v>
      </c>
      <c r="D1136">
        <v>-2.6941381209337301E-2</v>
      </c>
      <c r="E1136">
        <v>1.5748031496063001E-3</v>
      </c>
      <c r="F1136" t="s">
        <v>250</v>
      </c>
    </row>
    <row r="1137" spans="1:6" x14ac:dyDescent="0.2">
      <c r="A1137" t="s">
        <v>187</v>
      </c>
      <c r="B1137" t="s">
        <v>50</v>
      </c>
      <c r="C1137">
        <v>1270</v>
      </c>
      <c r="D1137">
        <v>-2.6941381209337301E-2</v>
      </c>
      <c r="E1137">
        <v>1.5748031496063001E-3</v>
      </c>
      <c r="F1137" t="s">
        <v>250</v>
      </c>
    </row>
    <row r="1138" spans="1:6" x14ac:dyDescent="0.2">
      <c r="A1138" t="s">
        <v>45</v>
      </c>
      <c r="B1138" t="s">
        <v>65</v>
      </c>
      <c r="C1138">
        <v>1270</v>
      </c>
      <c r="D1138">
        <v>-2.6941381209337301E-2</v>
      </c>
      <c r="E1138">
        <v>1.5748031496063001E-3</v>
      </c>
      <c r="F1138" t="s">
        <v>250</v>
      </c>
    </row>
    <row r="1139" spans="1:6" x14ac:dyDescent="0.2">
      <c r="A1139" t="s">
        <v>118</v>
      </c>
      <c r="B1139" t="s">
        <v>34</v>
      </c>
      <c r="C1139">
        <v>1270</v>
      </c>
      <c r="D1139">
        <v>-2.6941381209337301E-2</v>
      </c>
      <c r="E1139">
        <v>1.5748031496063001E-3</v>
      </c>
      <c r="F1139" t="s">
        <v>250</v>
      </c>
    </row>
    <row r="1140" spans="1:6" x14ac:dyDescent="0.2">
      <c r="A1140" t="s">
        <v>87</v>
      </c>
      <c r="B1140" t="s">
        <v>129</v>
      </c>
      <c r="C1140">
        <v>1270</v>
      </c>
      <c r="D1140">
        <v>-2.6941381209337301E-2</v>
      </c>
      <c r="E1140">
        <v>1.5748031496063001E-3</v>
      </c>
      <c r="F1140" t="s">
        <v>250</v>
      </c>
    </row>
    <row r="1141" spans="1:6" x14ac:dyDescent="0.2">
      <c r="A1141" t="s">
        <v>41</v>
      </c>
      <c r="B1141" t="s">
        <v>65</v>
      </c>
      <c r="C1141">
        <v>1270</v>
      </c>
      <c r="D1141">
        <v>-2.6941381209337301E-2</v>
      </c>
      <c r="E1141">
        <v>1.5748031496063001E-3</v>
      </c>
      <c r="F1141" t="s">
        <v>250</v>
      </c>
    </row>
    <row r="1142" spans="1:6" x14ac:dyDescent="0.2">
      <c r="A1142" t="s">
        <v>129</v>
      </c>
      <c r="B1142" t="s">
        <v>35</v>
      </c>
      <c r="C1142">
        <v>1270</v>
      </c>
      <c r="D1142">
        <v>-2.6941381209337301E-2</v>
      </c>
      <c r="E1142">
        <v>1.5748031496063001E-3</v>
      </c>
      <c r="F1142" t="s">
        <v>250</v>
      </c>
    </row>
    <row r="1143" spans="1:6" x14ac:dyDescent="0.2">
      <c r="A1143" t="s">
        <v>99</v>
      </c>
      <c r="B1143" t="s">
        <v>117</v>
      </c>
      <c r="C1143">
        <v>1270</v>
      </c>
      <c r="D1143">
        <v>-2.6941381209337301E-2</v>
      </c>
      <c r="E1143">
        <v>1.5748031496063001E-3</v>
      </c>
      <c r="F1143" t="s">
        <v>250</v>
      </c>
    </row>
    <row r="1144" spans="1:6" x14ac:dyDescent="0.2">
      <c r="A1144" t="s">
        <v>87</v>
      </c>
      <c r="B1144" t="s">
        <v>34</v>
      </c>
      <c r="C1144">
        <v>1270</v>
      </c>
      <c r="D1144">
        <v>-2.6941381209337301E-2</v>
      </c>
      <c r="E1144">
        <v>1.5748031496063001E-3</v>
      </c>
      <c r="F1144" t="s">
        <v>250</v>
      </c>
    </row>
    <row r="1145" spans="1:6" x14ac:dyDescent="0.2">
      <c r="A1145" t="s">
        <v>121</v>
      </c>
      <c r="B1145" t="s">
        <v>47</v>
      </c>
      <c r="C1145">
        <v>1270</v>
      </c>
      <c r="D1145">
        <v>-2.6941381209337301E-2</v>
      </c>
      <c r="E1145">
        <v>1.5748031496063001E-3</v>
      </c>
      <c r="F1145" t="s">
        <v>250</v>
      </c>
    </row>
    <row r="1146" spans="1:6" x14ac:dyDescent="0.2">
      <c r="A1146" t="s">
        <v>94</v>
      </c>
      <c r="B1146" t="s">
        <v>121</v>
      </c>
      <c r="C1146">
        <v>1270</v>
      </c>
      <c r="D1146">
        <v>-2.6941381209337301E-2</v>
      </c>
      <c r="E1146">
        <v>1.5748031496063001E-3</v>
      </c>
      <c r="F1146" t="s">
        <v>250</v>
      </c>
    </row>
    <row r="1147" spans="1:6" x14ac:dyDescent="0.2">
      <c r="A1147" t="s">
        <v>53</v>
      </c>
      <c r="B1147" t="s">
        <v>76</v>
      </c>
      <c r="C1147">
        <v>1270</v>
      </c>
      <c r="D1147">
        <v>-2.6941381209337301E-2</v>
      </c>
      <c r="E1147">
        <v>1.5748031496063001E-3</v>
      </c>
      <c r="F1147" t="s">
        <v>250</v>
      </c>
    </row>
    <row r="1148" spans="1:6" x14ac:dyDescent="0.2">
      <c r="A1148" t="s">
        <v>121</v>
      </c>
      <c r="B1148" t="s">
        <v>55</v>
      </c>
      <c r="C1148">
        <v>1270</v>
      </c>
      <c r="D1148">
        <v>-2.6941381209337301E-2</v>
      </c>
      <c r="E1148">
        <v>1.5748031496063001E-3</v>
      </c>
      <c r="F1148" t="s">
        <v>250</v>
      </c>
    </row>
    <row r="1149" spans="1:6" x14ac:dyDescent="0.2">
      <c r="A1149" t="s">
        <v>70</v>
      </c>
      <c r="B1149" t="s">
        <v>50</v>
      </c>
      <c r="C1149">
        <v>1270</v>
      </c>
      <c r="D1149">
        <v>-2.6941381209337301E-2</v>
      </c>
      <c r="E1149">
        <v>1.5748031496063001E-3</v>
      </c>
      <c r="F1149" t="s">
        <v>250</v>
      </c>
    </row>
    <row r="1150" spans="1:6" x14ac:dyDescent="0.2">
      <c r="A1150" t="s">
        <v>45</v>
      </c>
      <c r="B1150" t="s">
        <v>53</v>
      </c>
      <c r="C1150">
        <v>1270</v>
      </c>
      <c r="D1150">
        <v>-2.6941381209337301E-2</v>
      </c>
      <c r="E1150">
        <v>1.5748031496063001E-3</v>
      </c>
      <c r="F1150" t="s">
        <v>250</v>
      </c>
    </row>
    <row r="1151" spans="1:6" x14ac:dyDescent="0.2">
      <c r="A1151" t="s">
        <v>50</v>
      </c>
      <c r="B1151" t="s">
        <v>34</v>
      </c>
      <c r="C1151">
        <v>1270</v>
      </c>
      <c r="D1151">
        <v>-2.6941381209337301E-2</v>
      </c>
      <c r="E1151">
        <v>1.5748031496063001E-3</v>
      </c>
      <c r="F1151" t="s">
        <v>250</v>
      </c>
    </row>
    <row r="1152" spans="1:6" x14ac:dyDescent="0.2">
      <c r="A1152" t="s">
        <v>95</v>
      </c>
      <c r="B1152" t="s">
        <v>76</v>
      </c>
      <c r="C1152">
        <v>1270</v>
      </c>
      <c r="D1152">
        <v>-2.6941381209337301E-2</v>
      </c>
      <c r="E1152">
        <v>1.5748031496063001E-3</v>
      </c>
      <c r="F1152" t="s">
        <v>250</v>
      </c>
    </row>
    <row r="1153" spans="1:6" x14ac:dyDescent="0.2">
      <c r="A1153" t="s">
        <v>45</v>
      </c>
      <c r="B1153" t="s">
        <v>75</v>
      </c>
      <c r="C1153">
        <v>1270</v>
      </c>
      <c r="D1153">
        <v>-2.6941381209337301E-2</v>
      </c>
      <c r="E1153">
        <v>1.5748031496063001E-3</v>
      </c>
      <c r="F1153" t="s">
        <v>250</v>
      </c>
    </row>
    <row r="1154" spans="1:6" x14ac:dyDescent="0.2">
      <c r="A1154" t="s">
        <v>89</v>
      </c>
      <c r="B1154" t="s">
        <v>118</v>
      </c>
      <c r="C1154">
        <v>1270</v>
      </c>
      <c r="D1154">
        <v>-2.6941381209337301E-2</v>
      </c>
      <c r="E1154">
        <v>1.5748031496063001E-3</v>
      </c>
      <c r="F1154" t="s">
        <v>250</v>
      </c>
    </row>
    <row r="1155" spans="1:6" x14ac:dyDescent="0.2">
      <c r="A1155" t="s">
        <v>41</v>
      </c>
      <c r="B1155" t="s">
        <v>34</v>
      </c>
      <c r="C1155">
        <v>1270</v>
      </c>
      <c r="D1155">
        <v>-2.6941381209337301E-2</v>
      </c>
      <c r="E1155">
        <v>1.5748031496063001E-3</v>
      </c>
      <c r="F1155" t="s">
        <v>250</v>
      </c>
    </row>
    <row r="1156" spans="1:6" x14ac:dyDescent="0.2">
      <c r="A1156" t="s">
        <v>89</v>
      </c>
      <c r="B1156" t="s">
        <v>70</v>
      </c>
      <c r="C1156">
        <v>1270</v>
      </c>
      <c r="D1156">
        <v>-2.6941381209337301E-2</v>
      </c>
      <c r="E1156">
        <v>1.5748031496063001E-3</v>
      </c>
      <c r="F1156" t="s">
        <v>250</v>
      </c>
    </row>
    <row r="1157" spans="1:6" x14ac:dyDescent="0.2">
      <c r="A1157" t="s">
        <v>118</v>
      </c>
      <c r="B1157" t="s">
        <v>76</v>
      </c>
      <c r="C1157">
        <v>1270</v>
      </c>
      <c r="D1157">
        <v>-2.6941381209337301E-2</v>
      </c>
      <c r="E1157">
        <v>1.5748031496063001E-3</v>
      </c>
      <c r="F1157" t="s">
        <v>250</v>
      </c>
    </row>
    <row r="1158" spans="1:6" x14ac:dyDescent="0.2">
      <c r="A1158" t="s">
        <v>121</v>
      </c>
      <c r="B1158" t="s">
        <v>110</v>
      </c>
      <c r="C1158">
        <v>1270</v>
      </c>
      <c r="D1158">
        <v>-2.6941381209337301E-2</v>
      </c>
      <c r="E1158">
        <v>1.5748031496063001E-3</v>
      </c>
      <c r="F1158" t="s">
        <v>250</v>
      </c>
    </row>
    <row r="1159" spans="1:6" x14ac:dyDescent="0.2">
      <c r="A1159" t="s">
        <v>65</v>
      </c>
      <c r="B1159" t="s">
        <v>50</v>
      </c>
      <c r="C1159">
        <v>1270</v>
      </c>
      <c r="D1159">
        <v>-2.6941381209337301E-2</v>
      </c>
      <c r="E1159">
        <v>1.5748031496063001E-3</v>
      </c>
      <c r="F1159" t="s">
        <v>250</v>
      </c>
    </row>
    <row r="1160" spans="1:6" x14ac:dyDescent="0.2">
      <c r="A1160" t="s">
        <v>45</v>
      </c>
      <c r="B1160" t="s">
        <v>129</v>
      </c>
      <c r="C1160">
        <v>1270</v>
      </c>
      <c r="D1160">
        <v>-2.6941381209337301E-2</v>
      </c>
      <c r="E1160">
        <v>1.5748031496063001E-3</v>
      </c>
      <c r="F1160" t="s">
        <v>250</v>
      </c>
    </row>
    <row r="1161" spans="1:6" x14ac:dyDescent="0.2">
      <c r="A1161" t="s">
        <v>117</v>
      </c>
      <c r="B1161" t="s">
        <v>121</v>
      </c>
      <c r="C1161">
        <v>1270</v>
      </c>
      <c r="D1161">
        <v>-2.6941381209337301E-2</v>
      </c>
      <c r="E1161">
        <v>1.5748031496063001E-3</v>
      </c>
      <c r="F1161" t="s">
        <v>250</v>
      </c>
    </row>
    <row r="1162" spans="1:6" x14ac:dyDescent="0.2">
      <c r="A1162" t="s">
        <v>53</v>
      </c>
      <c r="B1162" t="s">
        <v>50</v>
      </c>
      <c r="C1162">
        <v>1270</v>
      </c>
      <c r="D1162">
        <v>-2.6941381209337301E-2</v>
      </c>
      <c r="E1162">
        <v>1.5748031496063001E-3</v>
      </c>
      <c r="F1162" t="s">
        <v>250</v>
      </c>
    </row>
    <row r="1163" spans="1:6" x14ac:dyDescent="0.2">
      <c r="A1163" t="s">
        <v>41</v>
      </c>
      <c r="B1163" t="s">
        <v>75</v>
      </c>
      <c r="C1163">
        <v>1270</v>
      </c>
      <c r="D1163">
        <v>-2.6941381209337301E-2</v>
      </c>
      <c r="E1163">
        <v>1.5748031496063001E-3</v>
      </c>
      <c r="F1163" t="s">
        <v>250</v>
      </c>
    </row>
    <row r="1164" spans="1:6" x14ac:dyDescent="0.2">
      <c r="A1164" t="s">
        <v>121</v>
      </c>
      <c r="B1164" t="s">
        <v>34</v>
      </c>
      <c r="C1164">
        <v>1270</v>
      </c>
      <c r="D1164">
        <v>-2.6941381209337301E-2</v>
      </c>
      <c r="E1164">
        <v>1.5748031496063001E-3</v>
      </c>
      <c r="F1164" t="s">
        <v>250</v>
      </c>
    </row>
    <row r="1165" spans="1:6" x14ac:dyDescent="0.2">
      <c r="A1165" t="s">
        <v>121</v>
      </c>
      <c r="B1165" t="s">
        <v>76</v>
      </c>
      <c r="C1165">
        <v>1270</v>
      </c>
      <c r="D1165">
        <v>-2.6941381209337301E-2</v>
      </c>
      <c r="E1165">
        <v>1.5748031496063001E-3</v>
      </c>
      <c r="F1165" t="s">
        <v>250</v>
      </c>
    </row>
    <row r="1166" spans="1:6" x14ac:dyDescent="0.2">
      <c r="A1166" t="s">
        <v>66</v>
      </c>
      <c r="B1166" t="s">
        <v>50</v>
      </c>
      <c r="C1166">
        <v>1270</v>
      </c>
      <c r="D1166">
        <v>-2.6941381209337301E-2</v>
      </c>
      <c r="E1166">
        <v>1.5748031496063001E-3</v>
      </c>
      <c r="F1166" t="s">
        <v>250</v>
      </c>
    </row>
    <row r="1167" spans="1:6" x14ac:dyDescent="0.2">
      <c r="A1167" t="s">
        <v>50</v>
      </c>
      <c r="B1167" t="s">
        <v>110</v>
      </c>
      <c r="C1167">
        <v>1270</v>
      </c>
      <c r="D1167">
        <v>-2.6941381209337301E-2</v>
      </c>
      <c r="E1167">
        <v>1.5748031496063001E-3</v>
      </c>
      <c r="F1167" t="s">
        <v>250</v>
      </c>
    </row>
    <row r="1168" spans="1:6" x14ac:dyDescent="0.2">
      <c r="A1168" t="s">
        <v>50</v>
      </c>
      <c r="B1168" t="s">
        <v>55</v>
      </c>
      <c r="C1168">
        <v>1270</v>
      </c>
      <c r="D1168">
        <v>-2.6941381209337301E-2</v>
      </c>
      <c r="E1168">
        <v>1.5748031496063001E-3</v>
      </c>
      <c r="F1168" t="s">
        <v>250</v>
      </c>
    </row>
    <row r="1169" spans="1:6" x14ac:dyDescent="0.2">
      <c r="A1169" t="s">
        <v>89</v>
      </c>
      <c r="B1169" t="s">
        <v>75</v>
      </c>
      <c r="C1169">
        <v>1270</v>
      </c>
      <c r="D1169">
        <v>-2.6941381209337301E-2</v>
      </c>
      <c r="E1169">
        <v>1.5748031496063001E-3</v>
      </c>
      <c r="F1169" t="s">
        <v>250</v>
      </c>
    </row>
    <row r="1170" spans="1:6" x14ac:dyDescent="0.2">
      <c r="A1170" t="s">
        <v>99</v>
      </c>
      <c r="B1170" t="s">
        <v>75</v>
      </c>
      <c r="C1170">
        <v>1270</v>
      </c>
      <c r="D1170">
        <v>-2.6941381209337301E-2</v>
      </c>
      <c r="E1170">
        <v>1.5748031496063001E-3</v>
      </c>
      <c r="F1170" t="s">
        <v>250</v>
      </c>
    </row>
    <row r="1171" spans="1:6" x14ac:dyDescent="0.2">
      <c r="A1171" t="s">
        <v>41</v>
      </c>
      <c r="B1171" t="s">
        <v>35</v>
      </c>
      <c r="C1171">
        <v>1270</v>
      </c>
      <c r="D1171">
        <v>-2.6941381209337301E-2</v>
      </c>
      <c r="E1171">
        <v>1.5748031496063001E-3</v>
      </c>
      <c r="F1171" t="s">
        <v>250</v>
      </c>
    </row>
    <row r="1172" spans="1:6" x14ac:dyDescent="0.2">
      <c r="A1172" t="s">
        <v>45</v>
      </c>
      <c r="B1172" t="s">
        <v>76</v>
      </c>
      <c r="C1172">
        <v>1270</v>
      </c>
      <c r="D1172">
        <v>-2.6941381209337301E-2</v>
      </c>
      <c r="E1172">
        <v>1.5748031496063001E-3</v>
      </c>
      <c r="F1172" t="s">
        <v>250</v>
      </c>
    </row>
    <row r="1173" spans="1:6" x14ac:dyDescent="0.2">
      <c r="A1173" t="s">
        <v>89</v>
      </c>
      <c r="B1173" t="s">
        <v>117</v>
      </c>
      <c r="C1173">
        <v>1270</v>
      </c>
      <c r="D1173">
        <v>-2.6941381209337301E-2</v>
      </c>
      <c r="E1173">
        <v>1.5748031496063001E-3</v>
      </c>
      <c r="F1173" t="s">
        <v>250</v>
      </c>
    </row>
    <row r="1174" spans="1:6" x14ac:dyDescent="0.2">
      <c r="A1174" t="s">
        <v>99</v>
      </c>
      <c r="B1174" t="s">
        <v>55</v>
      </c>
      <c r="C1174">
        <v>1270</v>
      </c>
      <c r="D1174">
        <v>-2.6941381209337301E-2</v>
      </c>
      <c r="E1174">
        <v>1.5748031496063001E-3</v>
      </c>
      <c r="F1174" t="s">
        <v>250</v>
      </c>
    </row>
    <row r="1175" spans="1:6" x14ac:dyDescent="0.2">
      <c r="A1175" t="s">
        <v>60</v>
      </c>
      <c r="B1175" t="s">
        <v>41</v>
      </c>
      <c r="C1175">
        <v>1270</v>
      </c>
      <c r="D1175">
        <v>-2.6941381209337301E-2</v>
      </c>
      <c r="E1175">
        <v>1.5748031496063001E-3</v>
      </c>
      <c r="F1175" t="s">
        <v>250</v>
      </c>
    </row>
    <row r="1176" spans="1:6" x14ac:dyDescent="0.2">
      <c r="A1176" t="s">
        <v>117</v>
      </c>
      <c r="B1176" t="s">
        <v>50</v>
      </c>
      <c r="C1176">
        <v>1270</v>
      </c>
      <c r="D1176">
        <v>-2.6941381209337301E-2</v>
      </c>
      <c r="E1176">
        <v>1.5748031496063001E-3</v>
      </c>
      <c r="F1176" t="s">
        <v>250</v>
      </c>
    </row>
    <row r="1177" spans="1:6" x14ac:dyDescent="0.2">
      <c r="A1177" t="s">
        <v>68</v>
      </c>
      <c r="B1177" t="s">
        <v>89</v>
      </c>
      <c r="C1177">
        <v>1270</v>
      </c>
      <c r="D1177">
        <v>-2.6941381209337301E-2</v>
      </c>
      <c r="E1177">
        <v>1.5748031496063001E-3</v>
      </c>
      <c r="F1177" t="s">
        <v>250</v>
      </c>
    </row>
    <row r="1178" spans="1:6" x14ac:dyDescent="0.2">
      <c r="A1178" t="s">
        <v>99</v>
      </c>
      <c r="B1178" t="s">
        <v>118</v>
      </c>
      <c r="C1178">
        <v>1270</v>
      </c>
      <c r="D1178">
        <v>-2.6941381209337301E-2</v>
      </c>
      <c r="E1178">
        <v>1.5748031496063001E-3</v>
      </c>
      <c r="F1178" t="s">
        <v>250</v>
      </c>
    </row>
    <row r="1179" spans="1:6" x14ac:dyDescent="0.2">
      <c r="A1179" t="s">
        <v>53</v>
      </c>
      <c r="B1179" t="s">
        <v>121</v>
      </c>
      <c r="C1179">
        <v>1270</v>
      </c>
      <c r="D1179">
        <v>-2.6941381209337301E-2</v>
      </c>
      <c r="E1179">
        <v>1.5748031496063001E-3</v>
      </c>
      <c r="F1179" t="s">
        <v>250</v>
      </c>
    </row>
    <row r="1180" spans="1:6" x14ac:dyDescent="0.2">
      <c r="A1180" t="s">
        <v>94</v>
      </c>
      <c r="B1180" t="s">
        <v>34</v>
      </c>
      <c r="C1180">
        <v>1270</v>
      </c>
      <c r="D1180">
        <v>-2.6941381209337301E-2</v>
      </c>
      <c r="E1180">
        <v>1.5748031496063001E-3</v>
      </c>
      <c r="F1180" t="s">
        <v>250</v>
      </c>
    </row>
    <row r="1181" spans="1:6" x14ac:dyDescent="0.2">
      <c r="A1181" t="s">
        <v>89</v>
      </c>
      <c r="B1181" t="s">
        <v>50</v>
      </c>
      <c r="C1181">
        <v>1270</v>
      </c>
      <c r="D1181">
        <v>-2.6941381209337301E-2</v>
      </c>
      <c r="E1181">
        <v>1.5748031496063001E-3</v>
      </c>
      <c r="F1181" t="s">
        <v>250</v>
      </c>
    </row>
    <row r="1182" spans="1:6" x14ac:dyDescent="0.2">
      <c r="A1182" t="s">
        <v>89</v>
      </c>
      <c r="B1182" t="s">
        <v>66</v>
      </c>
      <c r="C1182">
        <v>1270</v>
      </c>
      <c r="D1182">
        <v>-2.6941381209337301E-2</v>
      </c>
      <c r="E1182">
        <v>1.5748031496063001E-3</v>
      </c>
      <c r="F1182" t="s">
        <v>250</v>
      </c>
    </row>
    <row r="1183" spans="1:6" x14ac:dyDescent="0.2">
      <c r="A1183" t="s">
        <v>106</v>
      </c>
      <c r="B1183" t="s">
        <v>89</v>
      </c>
      <c r="C1183">
        <v>1270</v>
      </c>
      <c r="D1183">
        <v>-2.6941381209337301E-2</v>
      </c>
      <c r="E1183">
        <v>1.5748031496063001E-3</v>
      </c>
      <c r="F1183" t="s">
        <v>250</v>
      </c>
    </row>
    <row r="1184" spans="1:6" x14ac:dyDescent="0.2">
      <c r="A1184" t="s">
        <v>89</v>
      </c>
      <c r="B1184" t="s">
        <v>17</v>
      </c>
      <c r="C1184">
        <v>1270</v>
      </c>
      <c r="D1184">
        <v>-2.6941381209337301E-2</v>
      </c>
      <c r="E1184">
        <v>1.5748031496063001E-3</v>
      </c>
      <c r="F1184" t="s">
        <v>250</v>
      </c>
    </row>
    <row r="1185" spans="1:6" x14ac:dyDescent="0.2">
      <c r="A1185" t="s">
        <v>41</v>
      </c>
      <c r="B1185" t="s">
        <v>55</v>
      </c>
      <c r="C1185">
        <v>1270</v>
      </c>
      <c r="D1185">
        <v>-2.6941381209337301E-2</v>
      </c>
      <c r="E1185">
        <v>1.5748031496063001E-3</v>
      </c>
      <c r="F1185" t="s">
        <v>250</v>
      </c>
    </row>
    <row r="1186" spans="1:6" x14ac:dyDescent="0.2">
      <c r="A1186" t="s">
        <v>68</v>
      </c>
      <c r="B1186" t="s">
        <v>66</v>
      </c>
      <c r="C1186">
        <v>1270</v>
      </c>
      <c r="D1186">
        <v>-2.6941381209337301E-2</v>
      </c>
      <c r="E1186">
        <v>1.5748031496063001E-3</v>
      </c>
      <c r="F1186" t="s">
        <v>250</v>
      </c>
    </row>
    <row r="1187" spans="1:6" x14ac:dyDescent="0.2">
      <c r="A1187" t="s">
        <v>121</v>
      </c>
      <c r="B1187" t="s">
        <v>66</v>
      </c>
      <c r="C1187">
        <v>1270</v>
      </c>
      <c r="D1187">
        <v>-2.6941381209337301E-2</v>
      </c>
      <c r="E1187">
        <v>1.5748031496063001E-3</v>
      </c>
      <c r="F1187" t="s">
        <v>250</v>
      </c>
    </row>
    <row r="1188" spans="1:6" x14ac:dyDescent="0.2">
      <c r="A1188" t="s">
        <v>187</v>
      </c>
      <c r="B1188" t="s">
        <v>45</v>
      </c>
      <c r="C1188">
        <v>1270</v>
      </c>
      <c r="D1188">
        <v>-2.6941381209337301E-2</v>
      </c>
      <c r="E1188">
        <v>1.5748031496063001E-3</v>
      </c>
      <c r="F1188" t="s">
        <v>250</v>
      </c>
    </row>
    <row r="1189" spans="1:6" x14ac:dyDescent="0.2">
      <c r="A1189" t="s">
        <v>47</v>
      </c>
      <c r="B1189" t="s">
        <v>34</v>
      </c>
      <c r="C1189">
        <v>1270</v>
      </c>
      <c r="D1189">
        <v>-2.6941381209337301E-2</v>
      </c>
      <c r="E1189">
        <v>1.5748031496063001E-3</v>
      </c>
      <c r="F1189" t="s">
        <v>250</v>
      </c>
    </row>
    <row r="1190" spans="1:6" x14ac:dyDescent="0.2">
      <c r="A1190" t="s">
        <v>129</v>
      </c>
      <c r="B1190" t="s">
        <v>117</v>
      </c>
      <c r="C1190">
        <v>1270</v>
      </c>
      <c r="D1190">
        <v>-2.6941381209337301E-2</v>
      </c>
      <c r="E1190">
        <v>1.5748031496063001E-3</v>
      </c>
      <c r="F1190" t="s">
        <v>250</v>
      </c>
    </row>
    <row r="1191" spans="1:6" x14ac:dyDescent="0.2">
      <c r="A1191" t="s">
        <v>95</v>
      </c>
      <c r="B1191" t="s">
        <v>45</v>
      </c>
      <c r="C1191">
        <v>1270</v>
      </c>
      <c r="D1191">
        <v>-2.6941381209337301E-2</v>
      </c>
      <c r="E1191">
        <v>1.5748031496063001E-3</v>
      </c>
      <c r="F1191" t="s">
        <v>250</v>
      </c>
    </row>
    <row r="1192" spans="1:6" x14ac:dyDescent="0.2">
      <c r="A1192" t="s">
        <v>17</v>
      </c>
      <c r="B1192" t="s">
        <v>129</v>
      </c>
      <c r="C1192">
        <v>1270</v>
      </c>
      <c r="D1192">
        <v>-2.6941381209337301E-2</v>
      </c>
      <c r="E1192">
        <v>1.5748031496063001E-3</v>
      </c>
      <c r="F1192" t="s">
        <v>250</v>
      </c>
    </row>
    <row r="1193" spans="1:6" x14ac:dyDescent="0.2">
      <c r="A1193" t="s">
        <v>41</v>
      </c>
      <c r="B1193" t="s">
        <v>110</v>
      </c>
      <c r="C1193">
        <v>1270</v>
      </c>
      <c r="D1193">
        <v>-2.6941381209337301E-2</v>
      </c>
      <c r="E1193">
        <v>1.5748031496063001E-3</v>
      </c>
      <c r="F1193" t="s">
        <v>250</v>
      </c>
    </row>
    <row r="1194" spans="1:6" x14ac:dyDescent="0.2">
      <c r="A1194" t="s">
        <v>95</v>
      </c>
      <c r="B1194" t="s">
        <v>89</v>
      </c>
      <c r="C1194">
        <v>1270</v>
      </c>
      <c r="D1194">
        <v>-2.6941381209337301E-2</v>
      </c>
      <c r="E1194">
        <v>1.5748031496063001E-3</v>
      </c>
      <c r="F1194" t="s">
        <v>250</v>
      </c>
    </row>
    <row r="1195" spans="1:6" x14ac:dyDescent="0.2">
      <c r="A1195" t="s">
        <v>87</v>
      </c>
      <c r="B1195" t="s">
        <v>66</v>
      </c>
      <c r="C1195">
        <v>1270</v>
      </c>
      <c r="D1195">
        <v>-2.6941381209337301E-2</v>
      </c>
      <c r="E1195">
        <v>1.5748031496063001E-3</v>
      </c>
      <c r="F1195" t="s">
        <v>250</v>
      </c>
    </row>
    <row r="1196" spans="1:6" x14ac:dyDescent="0.2">
      <c r="A1196" t="s">
        <v>45</v>
      </c>
      <c r="B1196" t="s">
        <v>116</v>
      </c>
      <c r="C1196">
        <v>1270</v>
      </c>
      <c r="D1196">
        <v>-2.6941381209337301E-2</v>
      </c>
      <c r="E1196">
        <v>1.5748031496063001E-3</v>
      </c>
      <c r="F1196" t="s">
        <v>250</v>
      </c>
    </row>
    <row r="1197" spans="1:6" x14ac:dyDescent="0.2">
      <c r="A1197" t="s">
        <v>99</v>
      </c>
      <c r="B1197" t="s">
        <v>53</v>
      </c>
      <c r="C1197">
        <v>1270</v>
      </c>
      <c r="D1197">
        <v>-2.6941381209337301E-2</v>
      </c>
      <c r="E1197">
        <v>1.5748031496063001E-3</v>
      </c>
      <c r="F1197" t="s">
        <v>250</v>
      </c>
    </row>
    <row r="1198" spans="1:6" x14ac:dyDescent="0.2">
      <c r="A1198" t="s">
        <v>110</v>
      </c>
      <c r="B1198" t="s">
        <v>76</v>
      </c>
      <c r="C1198">
        <v>1270</v>
      </c>
      <c r="D1198">
        <v>-2.6941381209337301E-2</v>
      </c>
      <c r="E1198">
        <v>1.5748031496063001E-3</v>
      </c>
      <c r="F1198" t="s">
        <v>250</v>
      </c>
    </row>
    <row r="1199" spans="1:6" x14ac:dyDescent="0.2">
      <c r="A1199" t="s">
        <v>95</v>
      </c>
      <c r="B1199" t="s">
        <v>129</v>
      </c>
      <c r="C1199">
        <v>1270</v>
      </c>
      <c r="D1199">
        <v>-2.6941381209337301E-2</v>
      </c>
      <c r="E1199">
        <v>1.5748031496063001E-3</v>
      </c>
      <c r="F1199" t="s">
        <v>250</v>
      </c>
    </row>
    <row r="1200" spans="1:6" x14ac:dyDescent="0.2">
      <c r="A1200" t="s">
        <v>119</v>
      </c>
      <c r="B1200" t="s">
        <v>99</v>
      </c>
      <c r="C1200">
        <v>1270</v>
      </c>
      <c r="D1200">
        <v>-2.6941381209337301E-2</v>
      </c>
      <c r="E1200">
        <v>1.5748031496063001E-3</v>
      </c>
      <c r="F1200" t="s">
        <v>250</v>
      </c>
    </row>
    <row r="1201" spans="1:6" x14ac:dyDescent="0.2">
      <c r="A1201" t="s">
        <v>129</v>
      </c>
      <c r="B1201" t="s">
        <v>34</v>
      </c>
      <c r="C1201">
        <v>1270</v>
      </c>
      <c r="D1201">
        <v>-2.6941381209337301E-2</v>
      </c>
      <c r="E1201">
        <v>1.5748031496063001E-3</v>
      </c>
      <c r="F1201" t="s">
        <v>250</v>
      </c>
    </row>
    <row r="1202" spans="1:6" x14ac:dyDescent="0.2">
      <c r="A1202" t="s">
        <v>89</v>
      </c>
      <c r="B1202" t="s">
        <v>34</v>
      </c>
      <c r="C1202">
        <v>1270</v>
      </c>
      <c r="D1202">
        <v>-2.6941381209337301E-2</v>
      </c>
      <c r="E1202">
        <v>1.5748031496063001E-3</v>
      </c>
      <c r="F1202" t="s">
        <v>250</v>
      </c>
    </row>
    <row r="1203" spans="1:6" x14ac:dyDescent="0.2">
      <c r="A1203" t="s">
        <v>99</v>
      </c>
      <c r="B1203" t="s">
        <v>50</v>
      </c>
      <c r="C1203">
        <v>1270</v>
      </c>
      <c r="D1203">
        <v>-2.6941381209337301E-2</v>
      </c>
      <c r="E1203">
        <v>1.5748031496063001E-3</v>
      </c>
      <c r="F1203" t="s">
        <v>250</v>
      </c>
    </row>
    <row r="1204" spans="1:6" x14ac:dyDescent="0.2">
      <c r="A1204" t="s">
        <v>27</v>
      </c>
      <c r="B1204" t="s">
        <v>121</v>
      </c>
      <c r="C1204">
        <v>1270</v>
      </c>
      <c r="D1204">
        <v>-2.6941381209337301E-2</v>
      </c>
      <c r="E1204">
        <v>1.5748031496063001E-3</v>
      </c>
      <c r="F1204" t="s">
        <v>250</v>
      </c>
    </row>
    <row r="1205" spans="1:6" x14ac:dyDescent="0.2">
      <c r="A1205" t="s">
        <v>106</v>
      </c>
      <c r="B1205" t="s">
        <v>45</v>
      </c>
      <c r="C1205">
        <v>1270</v>
      </c>
      <c r="D1205">
        <v>-2.6941381209337301E-2</v>
      </c>
      <c r="E1205">
        <v>1.5748031496063001E-3</v>
      </c>
      <c r="F1205" t="s">
        <v>250</v>
      </c>
    </row>
    <row r="1206" spans="1:6" x14ac:dyDescent="0.2">
      <c r="A1206" t="s">
        <v>119</v>
      </c>
      <c r="B1206" t="s">
        <v>121</v>
      </c>
      <c r="C1206">
        <v>1270</v>
      </c>
      <c r="D1206">
        <v>-2.6941381209337301E-2</v>
      </c>
      <c r="E1206">
        <v>1.5748031496063001E-3</v>
      </c>
      <c r="F1206" t="s">
        <v>250</v>
      </c>
    </row>
    <row r="1207" spans="1:6" x14ac:dyDescent="0.2">
      <c r="A1207" t="s">
        <v>106</v>
      </c>
      <c r="B1207" t="s">
        <v>50</v>
      </c>
      <c r="C1207">
        <v>1270</v>
      </c>
      <c r="D1207">
        <v>-2.6941381209337301E-2</v>
      </c>
      <c r="E1207">
        <v>1.5748031496063001E-3</v>
      </c>
      <c r="F1207" t="s">
        <v>250</v>
      </c>
    </row>
    <row r="1208" spans="1:6" x14ac:dyDescent="0.2">
      <c r="A1208" t="s">
        <v>17</v>
      </c>
      <c r="B1208" t="s">
        <v>66</v>
      </c>
      <c r="C1208">
        <v>1270</v>
      </c>
      <c r="D1208">
        <v>-2.6941381209337301E-2</v>
      </c>
      <c r="E1208">
        <v>1.5748031496063001E-3</v>
      </c>
      <c r="F1208" t="s">
        <v>250</v>
      </c>
    </row>
    <row r="1209" spans="1:6" x14ac:dyDescent="0.2">
      <c r="A1209" t="s">
        <v>89</v>
      </c>
      <c r="B1209" t="s">
        <v>53</v>
      </c>
      <c r="C1209">
        <v>1270</v>
      </c>
      <c r="D1209">
        <v>-2.6941381209337301E-2</v>
      </c>
      <c r="E1209">
        <v>1.5748031496063001E-3</v>
      </c>
      <c r="F1209" t="s">
        <v>250</v>
      </c>
    </row>
    <row r="1210" spans="1:6" x14ac:dyDescent="0.2">
      <c r="A1210" t="s">
        <v>95</v>
      </c>
      <c r="B1210" t="s">
        <v>66</v>
      </c>
      <c r="C1210">
        <v>1270</v>
      </c>
      <c r="D1210">
        <v>-2.6941381209337301E-2</v>
      </c>
      <c r="E1210">
        <v>1.5748031496063001E-3</v>
      </c>
      <c r="F1210" t="s">
        <v>250</v>
      </c>
    </row>
    <row r="1211" spans="1:6" x14ac:dyDescent="0.2">
      <c r="A1211" t="s">
        <v>119</v>
      </c>
      <c r="B1211" t="s">
        <v>89</v>
      </c>
      <c r="C1211">
        <v>1270</v>
      </c>
      <c r="D1211">
        <v>-2.6941381209337301E-2</v>
      </c>
      <c r="E1211">
        <v>1.5748031496063001E-3</v>
      </c>
      <c r="F1211" t="s">
        <v>250</v>
      </c>
    </row>
  </sheetData>
  <sortState xmlns:xlrd2="http://schemas.microsoft.com/office/spreadsheetml/2017/richdata2" ref="A2:F1211">
    <sortCondition descending="1" ref="E2:E1211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75"/>
  <sheetViews>
    <sheetView workbookViewId="0">
      <selection activeCell="K18" sqref="K18"/>
    </sheetView>
  </sheetViews>
  <sheetFormatPr baseColWidth="10" defaultColWidth="11" defaultRowHeight="16" x14ac:dyDescent="0.2"/>
  <cols>
    <col min="3" max="3" width="12.1640625" bestFit="1" customWidth="1"/>
  </cols>
  <sheetData>
    <row r="1" spans="1:6" x14ac:dyDescent="0.2">
      <c r="C1" t="s">
        <v>157</v>
      </c>
      <c r="D1" t="s">
        <v>158</v>
      </c>
      <c r="E1" t="s">
        <v>159</v>
      </c>
      <c r="F1" t="s">
        <v>160</v>
      </c>
    </row>
    <row r="2" spans="1:6" x14ac:dyDescent="0.2">
      <c r="A2" t="s">
        <v>99</v>
      </c>
      <c r="B2" t="s">
        <v>121</v>
      </c>
      <c r="C2">
        <v>2</v>
      </c>
      <c r="D2">
        <v>6.02891100926729</v>
      </c>
      <c r="E2">
        <v>1</v>
      </c>
      <c r="F2" t="s">
        <v>251</v>
      </c>
    </row>
    <row r="3" spans="1:6" x14ac:dyDescent="0.2">
      <c r="A3" t="s">
        <v>53</v>
      </c>
      <c r="B3" t="s">
        <v>66</v>
      </c>
      <c r="C3">
        <v>2</v>
      </c>
      <c r="D3">
        <v>6.02891100926729</v>
      </c>
      <c r="E3">
        <v>1</v>
      </c>
      <c r="F3" t="s">
        <v>252</v>
      </c>
    </row>
    <row r="4" spans="1:6" x14ac:dyDescent="0.2">
      <c r="A4" t="s">
        <v>35</v>
      </c>
      <c r="B4" t="s">
        <v>55</v>
      </c>
      <c r="C4">
        <v>2</v>
      </c>
      <c r="D4">
        <v>6.02891100926729</v>
      </c>
      <c r="E4">
        <v>1</v>
      </c>
      <c r="F4" t="s">
        <v>253</v>
      </c>
    </row>
    <row r="5" spans="1:6" x14ac:dyDescent="0.2">
      <c r="A5" t="s">
        <v>55</v>
      </c>
      <c r="B5" t="s">
        <v>189</v>
      </c>
      <c r="C5">
        <v>2</v>
      </c>
      <c r="D5">
        <v>6.02891100926729</v>
      </c>
      <c r="E5">
        <v>1</v>
      </c>
      <c r="F5" t="s">
        <v>254</v>
      </c>
    </row>
    <row r="6" spans="1:6" x14ac:dyDescent="0.2">
      <c r="A6" t="s">
        <v>110</v>
      </c>
      <c r="B6" t="s">
        <v>35</v>
      </c>
      <c r="C6">
        <v>2</v>
      </c>
      <c r="D6">
        <v>6.02891100926729</v>
      </c>
      <c r="E6">
        <v>1</v>
      </c>
      <c r="F6" t="s">
        <v>255</v>
      </c>
    </row>
    <row r="7" spans="1:6" x14ac:dyDescent="0.2">
      <c r="A7" t="s">
        <v>98</v>
      </c>
      <c r="B7" t="s">
        <v>25</v>
      </c>
      <c r="C7">
        <v>2</v>
      </c>
      <c r="D7">
        <v>6.02891100926729</v>
      </c>
      <c r="E7">
        <v>1</v>
      </c>
      <c r="F7" t="s">
        <v>256</v>
      </c>
    </row>
    <row r="8" spans="1:6" x14ac:dyDescent="0.2">
      <c r="A8" t="s">
        <v>53</v>
      </c>
      <c r="B8" t="s">
        <v>186</v>
      </c>
      <c r="C8">
        <v>3</v>
      </c>
      <c r="D8">
        <v>5.6484369586968004</v>
      </c>
      <c r="E8">
        <v>0.66666666666666696</v>
      </c>
      <c r="F8" t="s">
        <v>257</v>
      </c>
    </row>
    <row r="9" spans="1:6" x14ac:dyDescent="0.2">
      <c r="A9" t="s">
        <v>67</v>
      </c>
      <c r="B9" t="s">
        <v>45</v>
      </c>
      <c r="C9">
        <v>4</v>
      </c>
      <c r="D9">
        <v>5.3784863237508098</v>
      </c>
      <c r="E9">
        <v>0.5</v>
      </c>
      <c r="F9" t="s">
        <v>258</v>
      </c>
    </row>
    <row r="10" spans="1:6" x14ac:dyDescent="0.2">
      <c r="A10" t="s">
        <v>178</v>
      </c>
      <c r="B10" t="s">
        <v>38</v>
      </c>
      <c r="C10">
        <v>5</v>
      </c>
      <c r="D10">
        <v>5.1690963438747701</v>
      </c>
      <c r="E10">
        <v>0.4</v>
      </c>
      <c r="F10" t="s">
        <v>259</v>
      </c>
    </row>
    <row r="11" spans="1:6" x14ac:dyDescent="0.2">
      <c r="A11" t="s">
        <v>187</v>
      </c>
      <c r="B11" t="s">
        <v>189</v>
      </c>
      <c r="C11">
        <v>5</v>
      </c>
      <c r="D11">
        <v>5.1690963438747701</v>
      </c>
      <c r="E11">
        <v>0.4</v>
      </c>
      <c r="F11" t="s">
        <v>260</v>
      </c>
    </row>
    <row r="12" spans="1:6" x14ac:dyDescent="0.2">
      <c r="A12" t="s">
        <v>36</v>
      </c>
      <c r="B12" t="s">
        <v>97</v>
      </c>
      <c r="C12">
        <v>5</v>
      </c>
      <c r="D12">
        <v>5.1690963438747701</v>
      </c>
      <c r="E12">
        <v>0.4</v>
      </c>
      <c r="F12" t="s">
        <v>261</v>
      </c>
    </row>
    <row r="13" spans="1:6" x14ac:dyDescent="0.2">
      <c r="A13" t="s">
        <v>47</v>
      </c>
      <c r="B13" t="s">
        <v>116</v>
      </c>
      <c r="C13">
        <v>6</v>
      </c>
      <c r="D13">
        <v>4.9980122731803096</v>
      </c>
      <c r="E13">
        <v>0.33333333333333298</v>
      </c>
      <c r="F13" t="s">
        <v>262</v>
      </c>
    </row>
    <row r="14" spans="1:6" x14ac:dyDescent="0.2">
      <c r="A14" t="s">
        <v>119</v>
      </c>
      <c r="B14" t="s">
        <v>25</v>
      </c>
      <c r="C14">
        <v>7</v>
      </c>
      <c r="D14">
        <v>4.8533627524713099</v>
      </c>
      <c r="E14">
        <v>0.28571428571428598</v>
      </c>
      <c r="F14" t="s">
        <v>263</v>
      </c>
    </row>
    <row r="15" spans="1:6" x14ac:dyDescent="0.2">
      <c r="A15" t="s">
        <v>127</v>
      </c>
      <c r="B15" t="s">
        <v>186</v>
      </c>
      <c r="C15">
        <v>8</v>
      </c>
      <c r="D15">
        <v>4.7280616382343297</v>
      </c>
      <c r="E15">
        <v>0.25</v>
      </c>
      <c r="F15" t="s">
        <v>264</v>
      </c>
    </row>
    <row r="16" spans="1:6" x14ac:dyDescent="0.2">
      <c r="A16" t="s">
        <v>127</v>
      </c>
      <c r="B16" t="s">
        <v>66</v>
      </c>
      <c r="C16">
        <v>8</v>
      </c>
      <c r="D16">
        <v>4.7280616382343297</v>
      </c>
      <c r="E16">
        <v>0.25</v>
      </c>
      <c r="F16" t="s">
        <v>264</v>
      </c>
    </row>
    <row r="17" spans="1:6" x14ac:dyDescent="0.2">
      <c r="A17" t="s">
        <v>127</v>
      </c>
      <c r="B17" t="s">
        <v>53</v>
      </c>
      <c r="C17">
        <v>8</v>
      </c>
      <c r="D17">
        <v>4.7280616382343297</v>
      </c>
      <c r="E17">
        <v>0.25</v>
      </c>
      <c r="F17" t="s">
        <v>264</v>
      </c>
    </row>
    <row r="18" spans="1:6" x14ac:dyDescent="0.2">
      <c r="A18" t="s">
        <v>186</v>
      </c>
      <c r="B18" t="s">
        <v>66</v>
      </c>
      <c r="C18">
        <v>8</v>
      </c>
      <c r="D18">
        <v>4.7280616382343297</v>
      </c>
      <c r="E18">
        <v>0.25</v>
      </c>
      <c r="F18" t="s">
        <v>264</v>
      </c>
    </row>
    <row r="19" spans="1:6" x14ac:dyDescent="0.2">
      <c r="A19" t="s">
        <v>47</v>
      </c>
      <c r="B19" t="s">
        <v>65</v>
      </c>
      <c r="C19">
        <v>10</v>
      </c>
      <c r="D19">
        <v>4.51867165835829</v>
      </c>
      <c r="E19">
        <v>0.2</v>
      </c>
      <c r="F19" t="s">
        <v>265</v>
      </c>
    </row>
    <row r="20" spans="1:6" x14ac:dyDescent="0.2">
      <c r="A20" t="s">
        <v>117</v>
      </c>
      <c r="B20" t="s">
        <v>116</v>
      </c>
      <c r="C20">
        <v>10</v>
      </c>
      <c r="D20">
        <v>4.51867165835829</v>
      </c>
      <c r="E20">
        <v>0.2</v>
      </c>
      <c r="F20" t="s">
        <v>265</v>
      </c>
    </row>
    <row r="21" spans="1:6" x14ac:dyDescent="0.2">
      <c r="A21" t="s">
        <v>117</v>
      </c>
      <c r="B21" t="s">
        <v>65</v>
      </c>
      <c r="C21">
        <v>10</v>
      </c>
      <c r="D21">
        <v>4.51867165835829</v>
      </c>
      <c r="E21">
        <v>0.2</v>
      </c>
      <c r="F21" t="s">
        <v>265</v>
      </c>
    </row>
    <row r="22" spans="1:6" x14ac:dyDescent="0.2">
      <c r="A22" t="s">
        <v>47</v>
      </c>
      <c r="B22" t="s">
        <v>117</v>
      </c>
      <c r="C22">
        <v>10</v>
      </c>
      <c r="D22">
        <v>4.51867165835829</v>
      </c>
      <c r="E22">
        <v>0.2</v>
      </c>
      <c r="F22" t="s">
        <v>265</v>
      </c>
    </row>
    <row r="23" spans="1:6" x14ac:dyDescent="0.2">
      <c r="A23" t="s">
        <v>65</v>
      </c>
      <c r="B23" t="s">
        <v>116</v>
      </c>
      <c r="C23">
        <v>10</v>
      </c>
      <c r="D23">
        <v>4.51867165835829</v>
      </c>
      <c r="E23">
        <v>0.2</v>
      </c>
      <c r="F23" t="s">
        <v>265</v>
      </c>
    </row>
    <row r="24" spans="1:6" x14ac:dyDescent="0.2">
      <c r="A24" t="s">
        <v>94</v>
      </c>
      <c r="B24" t="s">
        <v>45</v>
      </c>
      <c r="C24">
        <v>11</v>
      </c>
      <c r="D24">
        <v>4.4292359721658299</v>
      </c>
      <c r="E24">
        <v>0.18181818181818199</v>
      </c>
      <c r="F24" t="s">
        <v>266</v>
      </c>
    </row>
    <row r="25" spans="1:6" x14ac:dyDescent="0.2">
      <c r="A25" t="s">
        <v>94</v>
      </c>
      <c r="B25" t="s">
        <v>55</v>
      </c>
      <c r="C25">
        <v>11</v>
      </c>
      <c r="D25">
        <v>4.4292359721658299</v>
      </c>
      <c r="E25">
        <v>0.18181818181818199</v>
      </c>
      <c r="F25" t="s">
        <v>266</v>
      </c>
    </row>
    <row r="26" spans="1:6" x14ac:dyDescent="0.2">
      <c r="A26" t="s">
        <v>45</v>
      </c>
      <c r="B26" t="s">
        <v>55</v>
      </c>
      <c r="C26">
        <v>11</v>
      </c>
      <c r="D26">
        <v>4.4292359721658299</v>
      </c>
      <c r="E26">
        <v>0.18181818181818199</v>
      </c>
      <c r="F26" t="s">
        <v>266</v>
      </c>
    </row>
    <row r="27" spans="1:6" x14ac:dyDescent="0.2">
      <c r="A27" t="s">
        <v>102</v>
      </c>
      <c r="B27" t="s">
        <v>79</v>
      </c>
      <c r="C27">
        <v>12</v>
      </c>
      <c r="D27">
        <v>4.3475875876638304</v>
      </c>
      <c r="E27">
        <v>0.16666666666666699</v>
      </c>
      <c r="F27" t="s">
        <v>267</v>
      </c>
    </row>
    <row r="28" spans="1:6" x14ac:dyDescent="0.2">
      <c r="A28" t="s">
        <v>74</v>
      </c>
      <c r="B28" t="s">
        <v>119</v>
      </c>
      <c r="C28">
        <v>13</v>
      </c>
      <c r="D28">
        <v>4.2724783548391496</v>
      </c>
      <c r="E28">
        <v>0.15384615384615399</v>
      </c>
      <c r="F28" t="s">
        <v>268</v>
      </c>
    </row>
    <row r="29" spans="1:6" x14ac:dyDescent="0.2">
      <c r="A29" t="s">
        <v>48</v>
      </c>
      <c r="B29" t="s">
        <v>55</v>
      </c>
      <c r="C29">
        <v>13</v>
      </c>
      <c r="D29">
        <v>4.2724783548391496</v>
      </c>
      <c r="E29">
        <v>0.15384615384615399</v>
      </c>
      <c r="F29" t="s">
        <v>269</v>
      </c>
    </row>
    <row r="30" spans="1:6" x14ac:dyDescent="0.2">
      <c r="A30" t="s">
        <v>110</v>
      </c>
      <c r="B30" t="s">
        <v>55</v>
      </c>
      <c r="C30">
        <v>13</v>
      </c>
      <c r="D30">
        <v>4.2724783548391496</v>
      </c>
      <c r="E30">
        <v>0.15384615384615399</v>
      </c>
      <c r="F30" t="s">
        <v>269</v>
      </c>
    </row>
    <row r="31" spans="1:6" x14ac:dyDescent="0.2">
      <c r="A31" t="s">
        <v>110</v>
      </c>
      <c r="B31" t="s">
        <v>48</v>
      </c>
      <c r="C31">
        <v>13</v>
      </c>
      <c r="D31">
        <v>4.2724783548391496</v>
      </c>
      <c r="E31">
        <v>0.15384615384615399</v>
      </c>
      <c r="F31" t="s">
        <v>269</v>
      </c>
    </row>
    <row r="32" spans="1:6" x14ac:dyDescent="0.2">
      <c r="A32" t="s">
        <v>35</v>
      </c>
      <c r="B32" t="s">
        <v>48</v>
      </c>
      <c r="C32">
        <v>13</v>
      </c>
      <c r="D32">
        <v>4.2724783548391496</v>
      </c>
      <c r="E32">
        <v>0.15384615384615399</v>
      </c>
      <c r="F32" t="s">
        <v>270</v>
      </c>
    </row>
    <row r="33" spans="1:6" x14ac:dyDescent="0.2">
      <c r="A33" t="s">
        <v>67</v>
      </c>
      <c r="B33" t="s">
        <v>120</v>
      </c>
      <c r="C33">
        <v>15</v>
      </c>
      <c r="D33">
        <v>4.1381976077878004</v>
      </c>
      <c r="E33">
        <v>0.133333333333333</v>
      </c>
      <c r="F33" t="s">
        <v>271</v>
      </c>
    </row>
    <row r="34" spans="1:6" x14ac:dyDescent="0.2">
      <c r="A34" t="s">
        <v>95</v>
      </c>
      <c r="B34" t="s">
        <v>120</v>
      </c>
      <c r="C34">
        <v>15</v>
      </c>
      <c r="D34">
        <v>4.1381976077878004</v>
      </c>
      <c r="E34">
        <v>0.133333333333333</v>
      </c>
      <c r="F34" t="s">
        <v>271</v>
      </c>
    </row>
    <row r="35" spans="1:6" x14ac:dyDescent="0.2">
      <c r="A35" t="s">
        <v>95</v>
      </c>
      <c r="B35" t="s">
        <v>45</v>
      </c>
      <c r="C35">
        <v>15</v>
      </c>
      <c r="D35">
        <v>4.1381976077878004</v>
      </c>
      <c r="E35">
        <v>0.133333333333333</v>
      </c>
      <c r="F35" t="s">
        <v>271</v>
      </c>
    </row>
    <row r="36" spans="1:6" x14ac:dyDescent="0.2">
      <c r="A36" t="s">
        <v>45</v>
      </c>
      <c r="B36" t="s">
        <v>120</v>
      </c>
      <c r="C36">
        <v>15</v>
      </c>
      <c r="D36">
        <v>4.1381976077878004</v>
      </c>
      <c r="E36">
        <v>0.133333333333333</v>
      </c>
      <c r="F36" t="s">
        <v>271</v>
      </c>
    </row>
    <row r="37" spans="1:6" x14ac:dyDescent="0.2">
      <c r="A37" t="s">
        <v>95</v>
      </c>
      <c r="B37" t="s">
        <v>67</v>
      </c>
      <c r="C37">
        <v>15</v>
      </c>
      <c r="D37">
        <v>4.1381976077878004</v>
      </c>
      <c r="E37">
        <v>0.133333333333333</v>
      </c>
      <c r="F37" t="s">
        <v>271</v>
      </c>
    </row>
    <row r="38" spans="1:6" x14ac:dyDescent="0.2">
      <c r="A38" t="s">
        <v>98</v>
      </c>
      <c r="B38" t="s">
        <v>118</v>
      </c>
      <c r="C38">
        <v>16</v>
      </c>
      <c r="D38">
        <v>4.0776369527178504</v>
      </c>
      <c r="E38">
        <v>0.125</v>
      </c>
      <c r="F38" t="s">
        <v>272</v>
      </c>
    </row>
    <row r="39" spans="1:6" x14ac:dyDescent="0.2">
      <c r="A39" t="s">
        <v>36</v>
      </c>
      <c r="B39" t="s">
        <v>129</v>
      </c>
      <c r="C39">
        <v>16</v>
      </c>
      <c r="D39">
        <v>4.0776369527178504</v>
      </c>
      <c r="E39">
        <v>0.125</v>
      </c>
      <c r="F39" t="s">
        <v>273</v>
      </c>
    </row>
    <row r="40" spans="1:6" x14ac:dyDescent="0.2">
      <c r="A40" t="s">
        <v>98</v>
      </c>
      <c r="B40" t="s">
        <v>187</v>
      </c>
      <c r="C40">
        <v>16</v>
      </c>
      <c r="D40">
        <v>4.0776369527178504</v>
      </c>
      <c r="E40">
        <v>0.125</v>
      </c>
      <c r="F40" t="s">
        <v>272</v>
      </c>
    </row>
    <row r="41" spans="1:6" x14ac:dyDescent="0.2">
      <c r="A41" t="s">
        <v>187</v>
      </c>
      <c r="B41" t="s">
        <v>118</v>
      </c>
      <c r="C41">
        <v>16</v>
      </c>
      <c r="D41">
        <v>4.0776369527178504</v>
      </c>
      <c r="E41">
        <v>0.125</v>
      </c>
      <c r="F41" t="s">
        <v>272</v>
      </c>
    </row>
    <row r="42" spans="1:6" x14ac:dyDescent="0.2">
      <c r="A42" t="s">
        <v>129</v>
      </c>
      <c r="B42" t="s">
        <v>97</v>
      </c>
      <c r="C42">
        <v>16</v>
      </c>
      <c r="D42">
        <v>4.0776369527178504</v>
      </c>
      <c r="E42">
        <v>0.125</v>
      </c>
      <c r="F42" t="s">
        <v>273</v>
      </c>
    </row>
    <row r="43" spans="1:6" x14ac:dyDescent="0.2">
      <c r="A43" t="s">
        <v>212</v>
      </c>
      <c r="B43" t="s">
        <v>59</v>
      </c>
      <c r="C43">
        <v>21</v>
      </c>
      <c r="D43">
        <v>3.82246401638433</v>
      </c>
      <c r="E43">
        <v>9.5238095238095205E-2</v>
      </c>
      <c r="F43" t="s">
        <v>274</v>
      </c>
    </row>
    <row r="44" spans="1:6" x14ac:dyDescent="0.2">
      <c r="A44" t="s">
        <v>17</v>
      </c>
      <c r="B44" t="s">
        <v>175</v>
      </c>
      <c r="C44">
        <v>25</v>
      </c>
      <c r="D44">
        <v>3.6588569929657799</v>
      </c>
      <c r="E44">
        <v>0.08</v>
      </c>
      <c r="F44" t="s">
        <v>275</v>
      </c>
    </row>
    <row r="45" spans="1:6" x14ac:dyDescent="0.2">
      <c r="A45" t="s">
        <v>34</v>
      </c>
      <c r="B45" t="s">
        <v>175</v>
      </c>
      <c r="C45">
        <v>25</v>
      </c>
      <c r="D45">
        <v>3.6588569929657799</v>
      </c>
      <c r="E45">
        <v>0.08</v>
      </c>
      <c r="F45" t="s">
        <v>275</v>
      </c>
    </row>
    <row r="46" spans="1:6" x14ac:dyDescent="0.2">
      <c r="A46" t="s">
        <v>57</v>
      </c>
      <c r="B46" t="s">
        <v>83</v>
      </c>
      <c r="C46">
        <v>25</v>
      </c>
      <c r="D46">
        <v>3.6588569929657799</v>
      </c>
      <c r="E46">
        <v>0.08</v>
      </c>
      <c r="F46" t="s">
        <v>276</v>
      </c>
    </row>
    <row r="47" spans="1:6" x14ac:dyDescent="0.2">
      <c r="A47" t="s">
        <v>57</v>
      </c>
      <c r="B47" t="s">
        <v>129</v>
      </c>
      <c r="C47">
        <v>25</v>
      </c>
      <c r="D47">
        <v>3.6588569929657799</v>
      </c>
      <c r="E47">
        <v>0.08</v>
      </c>
      <c r="F47" t="s">
        <v>276</v>
      </c>
    </row>
    <row r="48" spans="1:6" x14ac:dyDescent="0.2">
      <c r="A48" t="s">
        <v>177</v>
      </c>
      <c r="B48" t="s">
        <v>175</v>
      </c>
      <c r="C48">
        <v>25</v>
      </c>
      <c r="D48">
        <v>3.6588569929657799</v>
      </c>
      <c r="E48">
        <v>0.08</v>
      </c>
      <c r="F48" t="s">
        <v>275</v>
      </c>
    </row>
    <row r="49" spans="1:6" x14ac:dyDescent="0.2">
      <c r="A49" t="s">
        <v>34</v>
      </c>
      <c r="B49" t="s">
        <v>17</v>
      </c>
      <c r="C49">
        <v>25</v>
      </c>
      <c r="D49">
        <v>3.6588569929657799</v>
      </c>
      <c r="E49">
        <v>0.08</v>
      </c>
      <c r="F49" t="s">
        <v>275</v>
      </c>
    </row>
    <row r="50" spans="1:6" x14ac:dyDescent="0.2">
      <c r="A50" t="s">
        <v>34</v>
      </c>
      <c r="B50" t="s">
        <v>177</v>
      </c>
      <c r="C50">
        <v>25</v>
      </c>
      <c r="D50">
        <v>3.6588569929657799</v>
      </c>
      <c r="E50">
        <v>0.08</v>
      </c>
      <c r="F50" t="s">
        <v>275</v>
      </c>
    </row>
    <row r="51" spans="1:6" x14ac:dyDescent="0.2">
      <c r="A51" t="s">
        <v>83</v>
      </c>
      <c r="B51" t="s">
        <v>129</v>
      </c>
      <c r="C51">
        <v>25</v>
      </c>
      <c r="D51">
        <v>3.6588569929657799</v>
      </c>
      <c r="E51">
        <v>0.08</v>
      </c>
      <c r="F51" t="s">
        <v>276</v>
      </c>
    </row>
    <row r="52" spans="1:6" x14ac:dyDescent="0.2">
      <c r="A52" t="s">
        <v>177</v>
      </c>
      <c r="B52" t="s">
        <v>17</v>
      </c>
      <c r="C52">
        <v>25</v>
      </c>
      <c r="D52">
        <v>3.6588569929657799</v>
      </c>
      <c r="E52">
        <v>0.08</v>
      </c>
      <c r="F52" t="s">
        <v>275</v>
      </c>
    </row>
    <row r="53" spans="1:6" x14ac:dyDescent="0.2">
      <c r="A53" t="s">
        <v>68</v>
      </c>
      <c r="B53" t="s">
        <v>129</v>
      </c>
      <c r="C53">
        <v>27</v>
      </c>
      <c r="D53">
        <v>3.5866394865228499</v>
      </c>
      <c r="E53">
        <v>7.4074074074074098E-2</v>
      </c>
      <c r="F53" t="s">
        <v>277</v>
      </c>
    </row>
    <row r="54" spans="1:6" x14ac:dyDescent="0.2">
      <c r="A54" t="s">
        <v>70</v>
      </c>
      <c r="B54" t="s">
        <v>129</v>
      </c>
      <c r="C54">
        <v>27</v>
      </c>
      <c r="D54">
        <v>3.5866394865228499</v>
      </c>
      <c r="E54">
        <v>7.4074074074074098E-2</v>
      </c>
      <c r="F54" t="s">
        <v>277</v>
      </c>
    </row>
    <row r="55" spans="1:6" x14ac:dyDescent="0.2">
      <c r="A55" t="s">
        <v>68</v>
      </c>
      <c r="B55" t="s">
        <v>70</v>
      </c>
      <c r="C55">
        <v>27</v>
      </c>
      <c r="D55">
        <v>3.5866394865228499</v>
      </c>
      <c r="E55">
        <v>7.4074074074074098E-2</v>
      </c>
      <c r="F55" t="s">
        <v>277</v>
      </c>
    </row>
    <row r="56" spans="1:6" x14ac:dyDescent="0.2">
      <c r="A56" t="s">
        <v>99</v>
      </c>
      <c r="B56" t="s">
        <v>118</v>
      </c>
      <c r="C56">
        <v>41</v>
      </c>
      <c r="D56">
        <v>3.1946516170418602</v>
      </c>
      <c r="E56">
        <v>4.8780487804878099E-2</v>
      </c>
      <c r="F56" t="s">
        <v>278</v>
      </c>
    </row>
    <row r="57" spans="1:6" x14ac:dyDescent="0.2">
      <c r="A57" t="s">
        <v>178</v>
      </c>
      <c r="B57" t="s">
        <v>99</v>
      </c>
      <c r="C57">
        <v>41</v>
      </c>
      <c r="D57">
        <v>3.1946516170418602</v>
      </c>
      <c r="E57">
        <v>4.8780487804878099E-2</v>
      </c>
      <c r="F57" t="s">
        <v>278</v>
      </c>
    </row>
    <row r="58" spans="1:6" x14ac:dyDescent="0.2">
      <c r="A58" t="s">
        <v>178</v>
      </c>
      <c r="B58" t="s">
        <v>118</v>
      </c>
      <c r="C58">
        <v>41</v>
      </c>
      <c r="D58">
        <v>3.1946516170418602</v>
      </c>
      <c r="E58">
        <v>4.8780487804878099E-2</v>
      </c>
      <c r="F58" t="s">
        <v>278</v>
      </c>
    </row>
    <row r="59" spans="1:6" x14ac:dyDescent="0.2">
      <c r="A59" t="s">
        <v>58</v>
      </c>
      <c r="B59" t="s">
        <v>111</v>
      </c>
      <c r="C59">
        <v>49</v>
      </c>
      <c r="D59">
        <v>3.0273898101588399</v>
      </c>
      <c r="E59">
        <v>4.08163265306122E-2</v>
      </c>
      <c r="F59" t="s">
        <v>279</v>
      </c>
    </row>
    <row r="60" spans="1:6" x14ac:dyDescent="0.2">
      <c r="A60" t="s">
        <v>58</v>
      </c>
      <c r="B60" t="s">
        <v>59</v>
      </c>
      <c r="C60">
        <v>49</v>
      </c>
      <c r="D60">
        <v>3.0273898101588399</v>
      </c>
      <c r="E60">
        <v>4.08163265306122E-2</v>
      </c>
      <c r="F60" t="s">
        <v>279</v>
      </c>
    </row>
    <row r="61" spans="1:6" x14ac:dyDescent="0.2">
      <c r="A61" t="s">
        <v>59</v>
      </c>
      <c r="B61" t="s">
        <v>111</v>
      </c>
      <c r="C61">
        <v>49</v>
      </c>
      <c r="D61">
        <v>3.0273898101588399</v>
      </c>
      <c r="E61">
        <v>4.08163265306122E-2</v>
      </c>
      <c r="F61" t="s">
        <v>279</v>
      </c>
    </row>
    <row r="62" spans="1:6" x14ac:dyDescent="0.2">
      <c r="A62" t="s">
        <v>35</v>
      </c>
      <c r="B62" t="s">
        <v>83</v>
      </c>
      <c r="C62">
        <v>54</v>
      </c>
      <c r="D62">
        <v>2.9362148010063698</v>
      </c>
      <c r="E62">
        <v>3.7037037037037E-2</v>
      </c>
      <c r="F62" t="s">
        <v>280</v>
      </c>
    </row>
    <row r="63" spans="1:6" x14ac:dyDescent="0.2">
      <c r="A63" t="s">
        <v>94</v>
      </c>
      <c r="B63" t="s">
        <v>35</v>
      </c>
      <c r="C63">
        <v>54</v>
      </c>
      <c r="D63">
        <v>2.9362148010063698</v>
      </c>
      <c r="E63">
        <v>3.7037037037037E-2</v>
      </c>
      <c r="F63" t="s">
        <v>280</v>
      </c>
    </row>
    <row r="64" spans="1:6" x14ac:dyDescent="0.2">
      <c r="A64" t="s">
        <v>55</v>
      </c>
      <c r="B64" t="s">
        <v>83</v>
      </c>
      <c r="C64">
        <v>54</v>
      </c>
      <c r="D64">
        <v>2.9362148010063698</v>
      </c>
      <c r="E64">
        <v>3.7037037037037E-2</v>
      </c>
      <c r="F64" t="s">
        <v>280</v>
      </c>
    </row>
    <row r="65" spans="1:6" x14ac:dyDescent="0.2">
      <c r="A65" t="s">
        <v>94</v>
      </c>
      <c r="B65" t="s">
        <v>83</v>
      </c>
      <c r="C65">
        <v>54</v>
      </c>
      <c r="D65">
        <v>2.9362148010063698</v>
      </c>
      <c r="E65">
        <v>3.7037037037037E-2</v>
      </c>
      <c r="F65" t="s">
        <v>280</v>
      </c>
    </row>
    <row r="66" spans="1:6" x14ac:dyDescent="0.2">
      <c r="A66" t="s">
        <v>48</v>
      </c>
      <c r="B66" t="s">
        <v>83</v>
      </c>
      <c r="C66">
        <v>54</v>
      </c>
      <c r="D66">
        <v>2.9362148010063698</v>
      </c>
      <c r="E66">
        <v>3.7037037037037E-2</v>
      </c>
      <c r="F66" t="s">
        <v>280</v>
      </c>
    </row>
    <row r="67" spans="1:6" x14ac:dyDescent="0.2">
      <c r="A67" t="s">
        <v>94</v>
      </c>
      <c r="B67" t="s">
        <v>48</v>
      </c>
      <c r="C67">
        <v>54</v>
      </c>
      <c r="D67">
        <v>2.9362148010063698</v>
      </c>
      <c r="E67">
        <v>3.7037037037037E-2</v>
      </c>
      <c r="F67" t="s">
        <v>280</v>
      </c>
    </row>
    <row r="68" spans="1:6" x14ac:dyDescent="0.2">
      <c r="A68" t="s">
        <v>110</v>
      </c>
      <c r="B68" t="s">
        <v>83</v>
      </c>
      <c r="C68">
        <v>54</v>
      </c>
      <c r="D68">
        <v>2.9362148010063698</v>
      </c>
      <c r="E68">
        <v>3.7037037037037E-2</v>
      </c>
      <c r="F68" t="s">
        <v>280</v>
      </c>
    </row>
    <row r="69" spans="1:6" x14ac:dyDescent="0.2">
      <c r="A69" t="s">
        <v>110</v>
      </c>
      <c r="B69" t="s">
        <v>94</v>
      </c>
      <c r="C69">
        <v>54</v>
      </c>
      <c r="D69">
        <v>2.9362148010063698</v>
      </c>
      <c r="E69">
        <v>3.7037037037037E-2</v>
      </c>
      <c r="F69" t="s">
        <v>280</v>
      </c>
    </row>
    <row r="70" spans="1:6" x14ac:dyDescent="0.2">
      <c r="A70" t="s">
        <v>59</v>
      </c>
      <c r="B70" t="s">
        <v>60</v>
      </c>
      <c r="C70">
        <v>66</v>
      </c>
      <c r="D70">
        <v>2.74791255056238</v>
      </c>
      <c r="E70">
        <v>3.03030303030303E-2</v>
      </c>
      <c r="F70" t="s">
        <v>281</v>
      </c>
    </row>
    <row r="71" spans="1:6" x14ac:dyDescent="0.2">
      <c r="A71" t="s">
        <v>59</v>
      </c>
      <c r="B71" t="s">
        <v>38</v>
      </c>
      <c r="C71">
        <v>66</v>
      </c>
      <c r="D71">
        <v>2.74791255056238</v>
      </c>
      <c r="E71">
        <v>3.03030303030303E-2</v>
      </c>
      <c r="F71" t="s">
        <v>281</v>
      </c>
    </row>
    <row r="72" spans="1:6" x14ac:dyDescent="0.2">
      <c r="A72" t="s">
        <v>60</v>
      </c>
      <c r="B72" t="s">
        <v>38</v>
      </c>
      <c r="C72">
        <v>66</v>
      </c>
      <c r="D72">
        <v>2.74791255056238</v>
      </c>
      <c r="E72">
        <v>3.03030303030303E-2</v>
      </c>
      <c r="F72" t="s">
        <v>281</v>
      </c>
    </row>
    <row r="73" spans="1:6" x14ac:dyDescent="0.2">
      <c r="A73" t="s">
        <v>100</v>
      </c>
      <c r="B73" t="s">
        <v>121</v>
      </c>
      <c r="C73">
        <v>86</v>
      </c>
      <c r="D73">
        <v>2.4995344626610101</v>
      </c>
      <c r="E73">
        <v>2.32558139534884E-2</v>
      </c>
      <c r="F73" t="s">
        <v>282</v>
      </c>
    </row>
    <row r="74" spans="1:6" x14ac:dyDescent="0.2">
      <c r="A74" t="s">
        <v>99</v>
      </c>
      <c r="B74" t="s">
        <v>76</v>
      </c>
      <c r="C74">
        <v>86</v>
      </c>
      <c r="D74">
        <v>2.4995344626610101</v>
      </c>
      <c r="E74">
        <v>2.32558139534884E-2</v>
      </c>
      <c r="F74" t="s">
        <v>282</v>
      </c>
    </row>
    <row r="75" spans="1:6" x14ac:dyDescent="0.2">
      <c r="A75" t="s">
        <v>121</v>
      </c>
      <c r="B75" t="s">
        <v>76</v>
      </c>
      <c r="C75">
        <v>86</v>
      </c>
      <c r="D75">
        <v>2.4995344626610101</v>
      </c>
      <c r="E75">
        <v>2.32558139534884E-2</v>
      </c>
      <c r="F75" t="s">
        <v>282</v>
      </c>
    </row>
    <row r="76" spans="1:6" x14ac:dyDescent="0.2">
      <c r="A76" t="s">
        <v>100</v>
      </c>
      <c r="B76" t="s">
        <v>76</v>
      </c>
      <c r="C76">
        <v>86</v>
      </c>
      <c r="D76">
        <v>2.4995344626610101</v>
      </c>
      <c r="E76">
        <v>2.32558139534884E-2</v>
      </c>
      <c r="F76" t="s">
        <v>282</v>
      </c>
    </row>
    <row r="77" spans="1:6" x14ac:dyDescent="0.2">
      <c r="A77" t="s">
        <v>99</v>
      </c>
      <c r="B77" t="s">
        <v>100</v>
      </c>
      <c r="C77">
        <v>86</v>
      </c>
      <c r="D77">
        <v>2.4995344626610101</v>
      </c>
      <c r="E77">
        <v>2.32558139534884E-2</v>
      </c>
      <c r="F77" t="s">
        <v>282</v>
      </c>
    </row>
    <row r="78" spans="1:6" x14ac:dyDescent="0.2">
      <c r="A78" t="s">
        <v>37</v>
      </c>
      <c r="B78" t="s">
        <v>55</v>
      </c>
      <c r="C78">
        <v>88</v>
      </c>
      <c r="D78">
        <v>2.4779619156163899</v>
      </c>
      <c r="E78">
        <v>2.27272727272727E-2</v>
      </c>
      <c r="F78" t="s">
        <v>283</v>
      </c>
    </row>
    <row r="79" spans="1:6" x14ac:dyDescent="0.2">
      <c r="A79" t="s">
        <v>36</v>
      </c>
      <c r="B79" t="s">
        <v>83</v>
      </c>
      <c r="C79">
        <v>93</v>
      </c>
      <c r="D79">
        <v>2.4261053815264999</v>
      </c>
      <c r="E79">
        <v>2.1505376344085999E-2</v>
      </c>
      <c r="F79" t="s">
        <v>284</v>
      </c>
    </row>
    <row r="80" spans="1:6" x14ac:dyDescent="0.2">
      <c r="A80" t="s">
        <v>55</v>
      </c>
      <c r="B80" t="s">
        <v>114</v>
      </c>
      <c r="C80">
        <v>95</v>
      </c>
      <c r="D80">
        <v>2.40613942684642</v>
      </c>
      <c r="E80">
        <v>2.1052631578947399E-2</v>
      </c>
      <c r="F80" t="s">
        <v>285</v>
      </c>
    </row>
    <row r="81" spans="1:6" x14ac:dyDescent="0.2">
      <c r="A81" t="s">
        <v>163</v>
      </c>
      <c r="B81" t="s">
        <v>55</v>
      </c>
      <c r="C81">
        <v>95</v>
      </c>
      <c r="D81">
        <v>2.40613942684642</v>
      </c>
      <c r="E81">
        <v>2.1052631578947399E-2</v>
      </c>
      <c r="F81" t="s">
        <v>285</v>
      </c>
    </row>
    <row r="82" spans="1:6" x14ac:dyDescent="0.2">
      <c r="A82" t="s">
        <v>58</v>
      </c>
      <c r="B82" t="s">
        <v>163</v>
      </c>
      <c r="C82">
        <v>95</v>
      </c>
      <c r="D82">
        <v>2.40613942684642</v>
      </c>
      <c r="E82">
        <v>2.1052631578947399E-2</v>
      </c>
      <c r="F82" t="s">
        <v>285</v>
      </c>
    </row>
    <row r="83" spans="1:6" x14ac:dyDescent="0.2">
      <c r="A83" t="s">
        <v>58</v>
      </c>
      <c r="B83" t="s">
        <v>55</v>
      </c>
      <c r="C83">
        <v>95</v>
      </c>
      <c r="D83">
        <v>2.40613942684642</v>
      </c>
      <c r="E83">
        <v>2.1052631578947399E-2</v>
      </c>
      <c r="F83" t="s">
        <v>285</v>
      </c>
    </row>
    <row r="84" spans="1:6" x14ac:dyDescent="0.2">
      <c r="A84" t="s">
        <v>163</v>
      </c>
      <c r="B84" t="s">
        <v>114</v>
      </c>
      <c r="C84">
        <v>95</v>
      </c>
      <c r="D84">
        <v>2.40613942684642</v>
      </c>
      <c r="E84">
        <v>2.1052631578947399E-2</v>
      </c>
      <c r="F84" t="s">
        <v>285</v>
      </c>
    </row>
    <row r="85" spans="1:6" x14ac:dyDescent="0.2">
      <c r="A85" t="s">
        <v>58</v>
      </c>
      <c r="B85" t="s">
        <v>114</v>
      </c>
      <c r="C85">
        <v>95</v>
      </c>
      <c r="D85">
        <v>2.40613942684642</v>
      </c>
      <c r="E85">
        <v>2.1052631578947399E-2</v>
      </c>
      <c r="F85" t="s">
        <v>285</v>
      </c>
    </row>
    <row r="86" spans="1:6" x14ac:dyDescent="0.2">
      <c r="A86" t="s">
        <v>91</v>
      </c>
      <c r="B86" t="s">
        <v>85</v>
      </c>
      <c r="C86">
        <v>117</v>
      </c>
      <c r="D86">
        <v>2.2106808826652098</v>
      </c>
      <c r="E86">
        <v>1.7094017094017099E-2</v>
      </c>
      <c r="F86" t="s">
        <v>286</v>
      </c>
    </row>
    <row r="87" spans="1:6" x14ac:dyDescent="0.2">
      <c r="A87" t="s">
        <v>36</v>
      </c>
      <c r="B87" t="s">
        <v>85</v>
      </c>
      <c r="C87">
        <v>117</v>
      </c>
      <c r="D87">
        <v>2.2106808826652098</v>
      </c>
      <c r="E87">
        <v>1.7094017094017099E-2</v>
      </c>
      <c r="F87" t="s">
        <v>286</v>
      </c>
    </row>
    <row r="88" spans="1:6" x14ac:dyDescent="0.2">
      <c r="A88" t="s">
        <v>81</v>
      </c>
      <c r="B88" t="s">
        <v>85</v>
      </c>
      <c r="C88">
        <v>117</v>
      </c>
      <c r="D88">
        <v>2.2106808826652098</v>
      </c>
      <c r="E88">
        <v>1.7094017094017099E-2</v>
      </c>
      <c r="F88" t="s">
        <v>286</v>
      </c>
    </row>
    <row r="89" spans="1:6" x14ac:dyDescent="0.2">
      <c r="A89" t="s">
        <v>36</v>
      </c>
      <c r="B89" t="s">
        <v>119</v>
      </c>
      <c r="C89">
        <v>117</v>
      </c>
      <c r="D89">
        <v>2.2106808826652098</v>
      </c>
      <c r="E89">
        <v>1.7094017094017099E-2</v>
      </c>
      <c r="F89" t="s">
        <v>286</v>
      </c>
    </row>
    <row r="90" spans="1:6" x14ac:dyDescent="0.2">
      <c r="A90" t="s">
        <v>60</v>
      </c>
      <c r="B90" t="s">
        <v>17</v>
      </c>
      <c r="C90">
        <v>117</v>
      </c>
      <c r="D90">
        <v>2.2106808826652098</v>
      </c>
      <c r="E90">
        <v>1.7094017094017099E-2</v>
      </c>
      <c r="F90" t="s">
        <v>287</v>
      </c>
    </row>
    <row r="91" spans="1:6" x14ac:dyDescent="0.2">
      <c r="A91" t="s">
        <v>91</v>
      </c>
      <c r="B91" t="s">
        <v>81</v>
      </c>
      <c r="C91">
        <v>117</v>
      </c>
      <c r="D91">
        <v>2.2106808826652098</v>
      </c>
      <c r="E91">
        <v>1.7094017094017099E-2</v>
      </c>
      <c r="F91" t="s">
        <v>286</v>
      </c>
    </row>
    <row r="92" spans="1:6" x14ac:dyDescent="0.2">
      <c r="A92" t="s">
        <v>81</v>
      </c>
      <c r="B92" t="s">
        <v>119</v>
      </c>
      <c r="C92">
        <v>117</v>
      </c>
      <c r="D92">
        <v>2.2106808826652098</v>
      </c>
      <c r="E92">
        <v>1.7094017094017099E-2</v>
      </c>
      <c r="F92" t="s">
        <v>286</v>
      </c>
    </row>
    <row r="93" spans="1:6" x14ac:dyDescent="0.2">
      <c r="A93" t="s">
        <v>36</v>
      </c>
      <c r="B93" t="s">
        <v>81</v>
      </c>
      <c r="C93">
        <v>117</v>
      </c>
      <c r="D93">
        <v>2.2106808826652098</v>
      </c>
      <c r="E93">
        <v>1.7094017094017099E-2</v>
      </c>
      <c r="F93" t="s">
        <v>286</v>
      </c>
    </row>
    <row r="94" spans="1:6" x14ac:dyDescent="0.2">
      <c r="A94" t="s">
        <v>36</v>
      </c>
      <c r="B94" t="s">
        <v>91</v>
      </c>
      <c r="C94">
        <v>117</v>
      </c>
      <c r="D94">
        <v>2.2106808826652098</v>
      </c>
      <c r="E94">
        <v>1.7094017094017099E-2</v>
      </c>
      <c r="F94" t="s">
        <v>286</v>
      </c>
    </row>
    <row r="95" spans="1:6" x14ac:dyDescent="0.2">
      <c r="A95" t="s">
        <v>91</v>
      </c>
      <c r="B95" t="s">
        <v>119</v>
      </c>
      <c r="C95">
        <v>117</v>
      </c>
      <c r="D95">
        <v>2.2106808826652098</v>
      </c>
      <c r="E95">
        <v>1.7094017094017099E-2</v>
      </c>
      <c r="F95" t="s">
        <v>286</v>
      </c>
    </row>
    <row r="96" spans="1:6" x14ac:dyDescent="0.2">
      <c r="A96" t="s">
        <v>85</v>
      </c>
      <c r="B96" t="s">
        <v>119</v>
      </c>
      <c r="C96">
        <v>117</v>
      </c>
      <c r="D96">
        <v>2.2106808826652098</v>
      </c>
      <c r="E96">
        <v>1.7094017094017099E-2</v>
      </c>
      <c r="F96" t="s">
        <v>286</v>
      </c>
    </row>
    <row r="97" spans="1:6" x14ac:dyDescent="0.2">
      <c r="A97" t="s">
        <v>73</v>
      </c>
      <c r="B97" t="s">
        <v>125</v>
      </c>
      <c r="C97">
        <v>119</v>
      </c>
      <c r="D97">
        <v>2.19477601939075</v>
      </c>
      <c r="E97">
        <v>1.6806722689075598E-2</v>
      </c>
      <c r="F97" t="s">
        <v>288</v>
      </c>
    </row>
    <row r="98" spans="1:6" x14ac:dyDescent="0.2">
      <c r="A98" t="s">
        <v>65</v>
      </c>
      <c r="B98" t="s">
        <v>25</v>
      </c>
      <c r="C98">
        <v>129</v>
      </c>
      <c r="D98">
        <v>2.1190604120905201</v>
      </c>
      <c r="E98">
        <v>1.5503875968992199E-2</v>
      </c>
      <c r="F98" t="s">
        <v>289</v>
      </c>
    </row>
    <row r="99" spans="1:6" x14ac:dyDescent="0.2">
      <c r="A99" t="s">
        <v>98</v>
      </c>
      <c r="B99" t="s">
        <v>75</v>
      </c>
      <c r="C99">
        <v>129</v>
      </c>
      <c r="D99">
        <v>2.1190604120905201</v>
      </c>
      <c r="E99">
        <v>1.5503875968992199E-2</v>
      </c>
      <c r="F99" t="s">
        <v>289</v>
      </c>
    </row>
    <row r="100" spans="1:6" x14ac:dyDescent="0.2">
      <c r="A100" t="s">
        <v>76</v>
      </c>
      <c r="B100" t="s">
        <v>116</v>
      </c>
      <c r="C100">
        <v>129</v>
      </c>
      <c r="D100">
        <v>2.1190604120905201</v>
      </c>
      <c r="E100">
        <v>1.5503875968992199E-2</v>
      </c>
      <c r="F100" t="s">
        <v>289</v>
      </c>
    </row>
    <row r="101" spans="1:6" x14ac:dyDescent="0.2">
      <c r="A101" t="s">
        <v>76</v>
      </c>
      <c r="B101" t="s">
        <v>75</v>
      </c>
      <c r="C101">
        <v>129</v>
      </c>
      <c r="D101">
        <v>2.1190604120905201</v>
      </c>
      <c r="E101">
        <v>1.5503875968992199E-2</v>
      </c>
      <c r="F101" t="s">
        <v>289</v>
      </c>
    </row>
    <row r="102" spans="1:6" x14ac:dyDescent="0.2">
      <c r="A102" t="s">
        <v>74</v>
      </c>
      <c r="B102" t="s">
        <v>116</v>
      </c>
      <c r="C102">
        <v>129</v>
      </c>
      <c r="D102">
        <v>2.1190604120905201</v>
      </c>
      <c r="E102">
        <v>1.5503875968992199E-2</v>
      </c>
      <c r="F102" t="s">
        <v>289</v>
      </c>
    </row>
    <row r="103" spans="1:6" x14ac:dyDescent="0.2">
      <c r="A103" t="s">
        <v>98</v>
      </c>
      <c r="B103" t="s">
        <v>116</v>
      </c>
      <c r="C103">
        <v>129</v>
      </c>
      <c r="D103">
        <v>2.1190604120905201</v>
      </c>
      <c r="E103">
        <v>1.5503875968992199E-2</v>
      </c>
      <c r="F103" t="s">
        <v>289</v>
      </c>
    </row>
    <row r="104" spans="1:6" x14ac:dyDescent="0.2">
      <c r="A104" t="s">
        <v>75</v>
      </c>
      <c r="B104" t="s">
        <v>65</v>
      </c>
      <c r="C104">
        <v>129</v>
      </c>
      <c r="D104">
        <v>2.1190604120905201</v>
      </c>
      <c r="E104">
        <v>1.5503875968992199E-2</v>
      </c>
      <c r="F104" t="s">
        <v>289</v>
      </c>
    </row>
    <row r="105" spans="1:6" x14ac:dyDescent="0.2">
      <c r="A105" t="s">
        <v>25</v>
      </c>
      <c r="B105" t="s">
        <v>116</v>
      </c>
      <c r="C105">
        <v>129</v>
      </c>
      <c r="D105">
        <v>2.1190604120905201</v>
      </c>
      <c r="E105">
        <v>1.5503875968992199E-2</v>
      </c>
      <c r="F105" t="s">
        <v>289</v>
      </c>
    </row>
    <row r="106" spans="1:6" x14ac:dyDescent="0.2">
      <c r="A106" t="s">
        <v>75</v>
      </c>
      <c r="B106" t="s">
        <v>116</v>
      </c>
      <c r="C106">
        <v>129</v>
      </c>
      <c r="D106">
        <v>2.1190604120905201</v>
      </c>
      <c r="E106">
        <v>1.5503875968992199E-2</v>
      </c>
      <c r="F106" t="s">
        <v>289</v>
      </c>
    </row>
    <row r="107" spans="1:6" x14ac:dyDescent="0.2">
      <c r="A107" t="s">
        <v>74</v>
      </c>
      <c r="B107" t="s">
        <v>25</v>
      </c>
      <c r="C107">
        <v>129</v>
      </c>
      <c r="D107">
        <v>2.1190604120905201</v>
      </c>
      <c r="E107">
        <v>1.5503875968992199E-2</v>
      </c>
      <c r="F107" t="s">
        <v>289</v>
      </c>
    </row>
    <row r="108" spans="1:6" x14ac:dyDescent="0.2">
      <c r="A108" t="s">
        <v>98</v>
      </c>
      <c r="B108" t="s">
        <v>74</v>
      </c>
      <c r="C108">
        <v>129</v>
      </c>
      <c r="D108">
        <v>2.1190604120905201</v>
      </c>
      <c r="E108">
        <v>1.5503875968992199E-2</v>
      </c>
      <c r="F108" t="s">
        <v>289</v>
      </c>
    </row>
    <row r="109" spans="1:6" x14ac:dyDescent="0.2">
      <c r="A109" t="s">
        <v>98</v>
      </c>
      <c r="B109" t="s">
        <v>76</v>
      </c>
      <c r="C109">
        <v>129</v>
      </c>
      <c r="D109">
        <v>2.1190604120905201</v>
      </c>
      <c r="E109">
        <v>1.5503875968992199E-2</v>
      </c>
      <c r="F109" t="s">
        <v>289</v>
      </c>
    </row>
    <row r="110" spans="1:6" x14ac:dyDescent="0.2">
      <c r="A110" t="s">
        <v>76</v>
      </c>
      <c r="B110" t="s">
        <v>65</v>
      </c>
      <c r="C110">
        <v>129</v>
      </c>
      <c r="D110">
        <v>2.1190604120905201</v>
      </c>
      <c r="E110">
        <v>1.5503875968992199E-2</v>
      </c>
      <c r="F110" t="s">
        <v>289</v>
      </c>
    </row>
    <row r="111" spans="1:6" x14ac:dyDescent="0.2">
      <c r="A111" t="s">
        <v>75</v>
      </c>
      <c r="B111" t="s">
        <v>25</v>
      </c>
      <c r="C111">
        <v>129</v>
      </c>
      <c r="D111">
        <v>2.1190604120905201</v>
      </c>
      <c r="E111">
        <v>1.5503875968992199E-2</v>
      </c>
      <c r="F111" t="s">
        <v>289</v>
      </c>
    </row>
    <row r="112" spans="1:6" x14ac:dyDescent="0.2">
      <c r="A112" t="s">
        <v>98</v>
      </c>
      <c r="B112" t="s">
        <v>65</v>
      </c>
      <c r="C112">
        <v>129</v>
      </c>
      <c r="D112">
        <v>2.1190604120905201</v>
      </c>
      <c r="E112">
        <v>1.5503875968992199E-2</v>
      </c>
      <c r="F112" t="s">
        <v>289</v>
      </c>
    </row>
    <row r="113" spans="1:6" x14ac:dyDescent="0.2">
      <c r="A113" t="s">
        <v>76</v>
      </c>
      <c r="B113" t="s">
        <v>25</v>
      </c>
      <c r="C113">
        <v>129</v>
      </c>
      <c r="D113">
        <v>2.1190604120905201</v>
      </c>
      <c r="E113">
        <v>1.5503875968992199E-2</v>
      </c>
      <c r="F113" t="s">
        <v>289</v>
      </c>
    </row>
    <row r="114" spans="1:6" x14ac:dyDescent="0.2">
      <c r="A114" t="s">
        <v>74</v>
      </c>
      <c r="B114" t="s">
        <v>65</v>
      </c>
      <c r="C114">
        <v>129</v>
      </c>
      <c r="D114">
        <v>2.1190604120905201</v>
      </c>
      <c r="E114">
        <v>1.5503875968992199E-2</v>
      </c>
      <c r="F114" t="s">
        <v>289</v>
      </c>
    </row>
    <row r="115" spans="1:6" x14ac:dyDescent="0.2">
      <c r="A115" t="s">
        <v>75</v>
      </c>
      <c r="B115" t="s">
        <v>74</v>
      </c>
      <c r="C115">
        <v>129</v>
      </c>
      <c r="D115">
        <v>2.1190604120905201</v>
      </c>
      <c r="E115">
        <v>1.5503875968992199E-2</v>
      </c>
      <c r="F115" t="s">
        <v>289</v>
      </c>
    </row>
    <row r="116" spans="1:6" x14ac:dyDescent="0.2">
      <c r="A116" t="s">
        <v>76</v>
      </c>
      <c r="B116" t="s">
        <v>74</v>
      </c>
      <c r="C116">
        <v>129</v>
      </c>
      <c r="D116">
        <v>2.1190604120905201</v>
      </c>
      <c r="E116">
        <v>1.5503875968992199E-2</v>
      </c>
      <c r="F116" t="s">
        <v>289</v>
      </c>
    </row>
    <row r="117" spans="1:6" x14ac:dyDescent="0.2">
      <c r="A117" t="s">
        <v>62</v>
      </c>
      <c r="B117" t="s">
        <v>177</v>
      </c>
      <c r="C117">
        <v>132</v>
      </c>
      <c r="D117">
        <v>2.0974878650458999</v>
      </c>
      <c r="E117">
        <v>1.5151515151515201E-2</v>
      </c>
      <c r="F117" t="s">
        <v>290</v>
      </c>
    </row>
    <row r="118" spans="1:6" x14ac:dyDescent="0.2">
      <c r="A118" t="s">
        <v>79</v>
      </c>
      <c r="B118" t="s">
        <v>17</v>
      </c>
      <c r="C118">
        <v>132</v>
      </c>
      <c r="D118">
        <v>2.0974878650458999</v>
      </c>
      <c r="E118">
        <v>1.5151515151515201E-2</v>
      </c>
      <c r="F118" t="s">
        <v>290</v>
      </c>
    </row>
    <row r="119" spans="1:6" x14ac:dyDescent="0.2">
      <c r="A119" t="s">
        <v>34</v>
      </c>
      <c r="B119" t="s">
        <v>62</v>
      </c>
      <c r="C119">
        <v>132</v>
      </c>
      <c r="D119">
        <v>2.0974878650458999</v>
      </c>
      <c r="E119">
        <v>1.5151515151515201E-2</v>
      </c>
      <c r="F119" t="s">
        <v>290</v>
      </c>
    </row>
    <row r="120" spans="1:6" x14ac:dyDescent="0.2">
      <c r="A120" t="s">
        <v>62</v>
      </c>
      <c r="B120" t="s">
        <v>79</v>
      </c>
      <c r="C120">
        <v>132</v>
      </c>
      <c r="D120">
        <v>2.0974878650458999</v>
      </c>
      <c r="E120">
        <v>1.5151515151515201E-2</v>
      </c>
      <c r="F120" t="s">
        <v>290</v>
      </c>
    </row>
    <row r="121" spans="1:6" x14ac:dyDescent="0.2">
      <c r="A121" t="s">
        <v>34</v>
      </c>
      <c r="B121" t="s">
        <v>79</v>
      </c>
      <c r="C121">
        <v>132</v>
      </c>
      <c r="D121">
        <v>2.0974878650458999</v>
      </c>
      <c r="E121">
        <v>1.5151515151515201E-2</v>
      </c>
      <c r="F121" t="s">
        <v>290</v>
      </c>
    </row>
    <row r="122" spans="1:6" x14ac:dyDescent="0.2">
      <c r="A122" t="s">
        <v>62</v>
      </c>
      <c r="B122" t="s">
        <v>17</v>
      </c>
      <c r="C122">
        <v>132</v>
      </c>
      <c r="D122">
        <v>2.0974878650458999</v>
      </c>
      <c r="E122">
        <v>1.5151515151515201E-2</v>
      </c>
      <c r="F122" t="s">
        <v>290</v>
      </c>
    </row>
    <row r="123" spans="1:6" x14ac:dyDescent="0.2">
      <c r="A123" t="s">
        <v>79</v>
      </c>
      <c r="B123" t="s">
        <v>177</v>
      </c>
      <c r="C123">
        <v>132</v>
      </c>
      <c r="D123">
        <v>2.0974878650458999</v>
      </c>
      <c r="E123">
        <v>1.5151515151515201E-2</v>
      </c>
      <c r="F123" t="s">
        <v>290</v>
      </c>
    </row>
    <row r="124" spans="1:6" x14ac:dyDescent="0.2">
      <c r="A124" t="s">
        <v>125</v>
      </c>
      <c r="B124" t="s">
        <v>45</v>
      </c>
      <c r="C124">
        <v>139</v>
      </c>
      <c r="D124">
        <v>2.0490006863472199</v>
      </c>
      <c r="E124">
        <v>1.4388489208633099E-2</v>
      </c>
      <c r="F124" t="s">
        <v>291</v>
      </c>
    </row>
    <row r="125" spans="1:6" x14ac:dyDescent="0.2">
      <c r="A125" t="s">
        <v>125</v>
      </c>
      <c r="B125" t="s">
        <v>97</v>
      </c>
      <c r="C125">
        <v>139</v>
      </c>
      <c r="D125">
        <v>2.0490006863472199</v>
      </c>
      <c r="E125">
        <v>1.4388489208633099E-2</v>
      </c>
      <c r="F125" t="s">
        <v>291</v>
      </c>
    </row>
    <row r="126" spans="1:6" x14ac:dyDescent="0.2">
      <c r="A126" t="s">
        <v>45</v>
      </c>
      <c r="B126" t="s">
        <v>97</v>
      </c>
      <c r="C126">
        <v>139</v>
      </c>
      <c r="D126">
        <v>2.0490006863472199</v>
      </c>
      <c r="E126">
        <v>1.4388489208633099E-2</v>
      </c>
      <c r="F126" t="s">
        <v>291</v>
      </c>
    </row>
    <row r="127" spans="1:6" x14ac:dyDescent="0.2">
      <c r="A127" t="s">
        <v>57</v>
      </c>
      <c r="B127" t="s">
        <v>120</v>
      </c>
      <c r="C127">
        <v>163</v>
      </c>
      <c r="D127">
        <v>1.8995414961219099</v>
      </c>
      <c r="E127">
        <v>1.22699386503067E-2</v>
      </c>
      <c r="F127" t="s">
        <v>292</v>
      </c>
    </row>
    <row r="128" spans="1:6" x14ac:dyDescent="0.2">
      <c r="A128" t="s">
        <v>118</v>
      </c>
      <c r="B128" t="s">
        <v>120</v>
      </c>
      <c r="C128">
        <v>163</v>
      </c>
      <c r="D128">
        <v>1.8995414961219099</v>
      </c>
      <c r="E128">
        <v>1.22699386503067E-2</v>
      </c>
      <c r="F128" t="s">
        <v>292</v>
      </c>
    </row>
    <row r="129" spans="1:6" x14ac:dyDescent="0.2">
      <c r="A129" t="s">
        <v>57</v>
      </c>
      <c r="B129" t="s">
        <v>118</v>
      </c>
      <c r="C129">
        <v>163</v>
      </c>
      <c r="D129">
        <v>1.8995414961219099</v>
      </c>
      <c r="E129">
        <v>1.22699386503067E-2</v>
      </c>
      <c r="F129" t="s">
        <v>292</v>
      </c>
    </row>
    <row r="130" spans="1:6" x14ac:dyDescent="0.2">
      <c r="A130" t="s">
        <v>76</v>
      </c>
      <c r="B130" t="s">
        <v>118</v>
      </c>
      <c r="C130">
        <v>163</v>
      </c>
      <c r="D130">
        <v>1.8995414961219099</v>
      </c>
      <c r="E130">
        <v>1.22699386503067E-2</v>
      </c>
      <c r="F130" t="s">
        <v>292</v>
      </c>
    </row>
    <row r="131" spans="1:6" x14ac:dyDescent="0.2">
      <c r="A131" t="s">
        <v>76</v>
      </c>
      <c r="B131" t="s">
        <v>57</v>
      </c>
      <c r="C131">
        <v>163</v>
      </c>
      <c r="D131">
        <v>1.8995414961219099</v>
      </c>
      <c r="E131">
        <v>1.22699386503067E-2</v>
      </c>
      <c r="F131" t="s">
        <v>292</v>
      </c>
    </row>
    <row r="132" spans="1:6" x14ac:dyDescent="0.2">
      <c r="A132" t="s">
        <v>76</v>
      </c>
      <c r="B132" t="s">
        <v>120</v>
      </c>
      <c r="C132">
        <v>163</v>
      </c>
      <c r="D132">
        <v>1.8995414961219099</v>
      </c>
      <c r="E132">
        <v>1.22699386503067E-2</v>
      </c>
      <c r="F132" t="s">
        <v>292</v>
      </c>
    </row>
    <row r="133" spans="1:6" x14ac:dyDescent="0.2">
      <c r="A133" t="s">
        <v>99</v>
      </c>
      <c r="B133" t="s">
        <v>120</v>
      </c>
      <c r="C133">
        <v>163</v>
      </c>
      <c r="D133">
        <v>1.8995414961219099</v>
      </c>
      <c r="E133">
        <v>1.22699386503067E-2</v>
      </c>
      <c r="F133" t="s">
        <v>292</v>
      </c>
    </row>
    <row r="134" spans="1:6" x14ac:dyDescent="0.2">
      <c r="A134" t="s">
        <v>99</v>
      </c>
      <c r="B134" t="s">
        <v>57</v>
      </c>
      <c r="C134">
        <v>163</v>
      </c>
      <c r="D134">
        <v>1.8995414961219099</v>
      </c>
      <c r="E134">
        <v>1.22699386503067E-2</v>
      </c>
      <c r="F134" t="s">
        <v>292</v>
      </c>
    </row>
    <row r="135" spans="1:6" x14ac:dyDescent="0.2">
      <c r="A135" t="s">
        <v>102</v>
      </c>
      <c r="B135" t="s">
        <v>111</v>
      </c>
      <c r="C135">
        <v>168</v>
      </c>
      <c r="D135">
        <v>1.87118995983489</v>
      </c>
      <c r="E135">
        <v>1.1904761904761901E-2</v>
      </c>
      <c r="F135" t="s">
        <v>293</v>
      </c>
    </row>
    <row r="136" spans="1:6" x14ac:dyDescent="0.2">
      <c r="A136" t="s">
        <v>90</v>
      </c>
      <c r="B136" t="s">
        <v>111</v>
      </c>
      <c r="C136">
        <v>168</v>
      </c>
      <c r="D136">
        <v>1.87118995983489</v>
      </c>
      <c r="E136">
        <v>1.1904761904761901E-2</v>
      </c>
      <c r="F136" t="s">
        <v>293</v>
      </c>
    </row>
    <row r="137" spans="1:6" x14ac:dyDescent="0.2">
      <c r="A137" t="s">
        <v>79</v>
      </c>
      <c r="B137" t="s">
        <v>111</v>
      </c>
      <c r="C137">
        <v>168</v>
      </c>
      <c r="D137">
        <v>1.87118995983489</v>
      </c>
      <c r="E137">
        <v>1.1904761904761901E-2</v>
      </c>
      <c r="F137" t="s">
        <v>293</v>
      </c>
    </row>
    <row r="138" spans="1:6" x14ac:dyDescent="0.2">
      <c r="A138" t="s">
        <v>163</v>
      </c>
      <c r="B138" t="s">
        <v>104</v>
      </c>
      <c r="C138">
        <v>168</v>
      </c>
      <c r="D138">
        <v>1.87118995983489</v>
      </c>
      <c r="E138">
        <v>1.1904761904761901E-2</v>
      </c>
      <c r="F138" t="s">
        <v>293</v>
      </c>
    </row>
    <row r="139" spans="1:6" x14ac:dyDescent="0.2">
      <c r="A139" t="s">
        <v>90</v>
      </c>
      <c r="B139" t="s">
        <v>79</v>
      </c>
      <c r="C139">
        <v>168</v>
      </c>
      <c r="D139">
        <v>1.87118995983489</v>
      </c>
      <c r="E139">
        <v>1.1904761904761901E-2</v>
      </c>
      <c r="F139" t="s">
        <v>293</v>
      </c>
    </row>
    <row r="140" spans="1:6" x14ac:dyDescent="0.2">
      <c r="A140" t="s">
        <v>104</v>
      </c>
      <c r="B140" t="s">
        <v>102</v>
      </c>
      <c r="C140">
        <v>168</v>
      </c>
      <c r="D140">
        <v>1.87118995983489</v>
      </c>
      <c r="E140">
        <v>1.1904761904761901E-2</v>
      </c>
      <c r="F140" t="s">
        <v>293</v>
      </c>
    </row>
    <row r="141" spans="1:6" x14ac:dyDescent="0.2">
      <c r="A141" t="s">
        <v>163</v>
      </c>
      <c r="B141" t="s">
        <v>102</v>
      </c>
      <c r="C141">
        <v>168</v>
      </c>
      <c r="D141">
        <v>1.87118995983489</v>
      </c>
      <c r="E141">
        <v>1.1904761904761901E-2</v>
      </c>
      <c r="F141" t="s">
        <v>293</v>
      </c>
    </row>
    <row r="142" spans="1:6" x14ac:dyDescent="0.2">
      <c r="A142" t="s">
        <v>193</v>
      </c>
      <c r="B142" t="s">
        <v>79</v>
      </c>
      <c r="C142">
        <v>168</v>
      </c>
      <c r="D142">
        <v>1.87118995983489</v>
      </c>
      <c r="E142">
        <v>1.1904761904761901E-2</v>
      </c>
      <c r="F142" t="s">
        <v>293</v>
      </c>
    </row>
    <row r="143" spans="1:6" x14ac:dyDescent="0.2">
      <c r="A143" t="s">
        <v>104</v>
      </c>
      <c r="B143" t="s">
        <v>193</v>
      </c>
      <c r="C143">
        <v>168</v>
      </c>
      <c r="D143">
        <v>1.87118995983489</v>
      </c>
      <c r="E143">
        <v>1.1904761904761901E-2</v>
      </c>
      <c r="F143" t="s">
        <v>293</v>
      </c>
    </row>
    <row r="144" spans="1:6" x14ac:dyDescent="0.2">
      <c r="A144" t="s">
        <v>90</v>
      </c>
      <c r="B144" t="s">
        <v>193</v>
      </c>
      <c r="C144">
        <v>168</v>
      </c>
      <c r="D144">
        <v>1.87118995983489</v>
      </c>
      <c r="E144">
        <v>1.1904761904761901E-2</v>
      </c>
      <c r="F144" t="s">
        <v>293</v>
      </c>
    </row>
    <row r="145" spans="1:6" x14ac:dyDescent="0.2">
      <c r="A145" t="s">
        <v>90</v>
      </c>
      <c r="B145" t="s">
        <v>102</v>
      </c>
      <c r="C145">
        <v>168</v>
      </c>
      <c r="D145">
        <v>1.87118995983489</v>
      </c>
      <c r="E145">
        <v>1.1904761904761901E-2</v>
      </c>
      <c r="F145" t="s">
        <v>293</v>
      </c>
    </row>
    <row r="146" spans="1:6" x14ac:dyDescent="0.2">
      <c r="A146" t="s">
        <v>193</v>
      </c>
      <c r="B146" t="s">
        <v>111</v>
      </c>
      <c r="C146">
        <v>168</v>
      </c>
      <c r="D146">
        <v>1.87118995983489</v>
      </c>
      <c r="E146">
        <v>1.1904761904761901E-2</v>
      </c>
      <c r="F146" t="s">
        <v>293</v>
      </c>
    </row>
    <row r="147" spans="1:6" x14ac:dyDescent="0.2">
      <c r="A147" t="s">
        <v>163</v>
      </c>
      <c r="B147" t="s">
        <v>90</v>
      </c>
      <c r="C147">
        <v>168</v>
      </c>
      <c r="D147">
        <v>1.87118995983489</v>
      </c>
      <c r="E147">
        <v>1.1904761904761901E-2</v>
      </c>
      <c r="F147" t="s">
        <v>293</v>
      </c>
    </row>
    <row r="148" spans="1:6" x14ac:dyDescent="0.2">
      <c r="A148" t="s">
        <v>104</v>
      </c>
      <c r="B148" t="s">
        <v>111</v>
      </c>
      <c r="C148">
        <v>168</v>
      </c>
      <c r="D148">
        <v>1.87118995983489</v>
      </c>
      <c r="E148">
        <v>1.1904761904761901E-2</v>
      </c>
      <c r="F148" t="s">
        <v>293</v>
      </c>
    </row>
    <row r="149" spans="1:6" x14ac:dyDescent="0.2">
      <c r="A149" t="s">
        <v>163</v>
      </c>
      <c r="B149" t="s">
        <v>111</v>
      </c>
      <c r="C149">
        <v>168</v>
      </c>
      <c r="D149">
        <v>1.87118995983489</v>
      </c>
      <c r="E149">
        <v>1.1904761904761901E-2</v>
      </c>
      <c r="F149" t="s">
        <v>293</v>
      </c>
    </row>
    <row r="150" spans="1:6" x14ac:dyDescent="0.2">
      <c r="A150" t="s">
        <v>163</v>
      </c>
      <c r="B150" t="s">
        <v>193</v>
      </c>
      <c r="C150">
        <v>168</v>
      </c>
      <c r="D150">
        <v>1.87118995983489</v>
      </c>
      <c r="E150">
        <v>1.1904761904761901E-2</v>
      </c>
      <c r="F150" t="s">
        <v>293</v>
      </c>
    </row>
    <row r="151" spans="1:6" x14ac:dyDescent="0.2">
      <c r="A151" t="s">
        <v>193</v>
      </c>
      <c r="B151" t="s">
        <v>102</v>
      </c>
      <c r="C151">
        <v>168</v>
      </c>
      <c r="D151">
        <v>1.87118995983489</v>
      </c>
      <c r="E151">
        <v>1.1904761904761901E-2</v>
      </c>
      <c r="F151" t="s">
        <v>293</v>
      </c>
    </row>
    <row r="152" spans="1:6" x14ac:dyDescent="0.2">
      <c r="A152" t="s">
        <v>90</v>
      </c>
      <c r="B152" t="s">
        <v>104</v>
      </c>
      <c r="C152">
        <v>168</v>
      </c>
      <c r="D152">
        <v>1.87118995983489</v>
      </c>
      <c r="E152">
        <v>1.1904761904761901E-2</v>
      </c>
      <c r="F152" t="s">
        <v>293</v>
      </c>
    </row>
    <row r="153" spans="1:6" x14ac:dyDescent="0.2">
      <c r="A153" t="s">
        <v>104</v>
      </c>
      <c r="B153" t="s">
        <v>79</v>
      </c>
      <c r="C153">
        <v>168</v>
      </c>
      <c r="D153">
        <v>1.87118995983489</v>
      </c>
      <c r="E153">
        <v>1.1904761904761901E-2</v>
      </c>
      <c r="F153" t="s">
        <v>293</v>
      </c>
    </row>
    <row r="154" spans="1:6" x14ac:dyDescent="0.2">
      <c r="A154" t="s">
        <v>163</v>
      </c>
      <c r="B154" t="s">
        <v>79</v>
      </c>
      <c r="C154">
        <v>168</v>
      </c>
      <c r="D154">
        <v>1.87118995983489</v>
      </c>
      <c r="E154">
        <v>1.1904761904761901E-2</v>
      </c>
      <c r="F154" t="s">
        <v>293</v>
      </c>
    </row>
    <row r="155" spans="1:6" x14ac:dyDescent="0.2">
      <c r="A155" t="s">
        <v>73</v>
      </c>
      <c r="B155" t="s">
        <v>126</v>
      </c>
      <c r="C155">
        <v>231</v>
      </c>
      <c r="D155">
        <v>1.5723642937664</v>
      </c>
      <c r="E155">
        <v>8.6580086580086597E-3</v>
      </c>
      <c r="F155" t="s">
        <v>294</v>
      </c>
    </row>
    <row r="156" spans="1:6" x14ac:dyDescent="0.2">
      <c r="A156" t="s">
        <v>124</v>
      </c>
      <c r="B156" t="s">
        <v>126</v>
      </c>
      <c r="C156">
        <v>255</v>
      </c>
      <c r="D156">
        <v>1.4796108747072501</v>
      </c>
      <c r="E156">
        <v>7.8431372549019607E-3</v>
      </c>
      <c r="F156" t="s">
        <v>295</v>
      </c>
    </row>
    <row r="157" spans="1:6" x14ac:dyDescent="0.2">
      <c r="A157" t="s">
        <v>47</v>
      </c>
      <c r="B157" t="s">
        <v>129</v>
      </c>
      <c r="C157">
        <v>294</v>
      </c>
      <c r="D157">
        <v>1.3460663885553901</v>
      </c>
      <c r="E157">
        <v>6.8027210884353704E-3</v>
      </c>
      <c r="F157" t="s">
        <v>296</v>
      </c>
    </row>
    <row r="158" spans="1:6" x14ac:dyDescent="0.2">
      <c r="A158" t="s">
        <v>74</v>
      </c>
      <c r="B158" t="s">
        <v>83</v>
      </c>
      <c r="C158">
        <v>294</v>
      </c>
      <c r="D158">
        <v>1.3460663885553901</v>
      </c>
      <c r="E158">
        <v>6.8027210884353704E-3</v>
      </c>
      <c r="F158" t="s">
        <v>296</v>
      </c>
    </row>
    <row r="159" spans="1:6" x14ac:dyDescent="0.2">
      <c r="A159" t="s">
        <v>187</v>
      </c>
      <c r="B159" t="s">
        <v>68</v>
      </c>
      <c r="C159">
        <v>294</v>
      </c>
      <c r="D159">
        <v>1.3460663885553901</v>
      </c>
      <c r="E159">
        <v>6.8027210884353704E-3</v>
      </c>
      <c r="F159" t="s">
        <v>296</v>
      </c>
    </row>
    <row r="160" spans="1:6" x14ac:dyDescent="0.2">
      <c r="A160" t="s">
        <v>75</v>
      </c>
      <c r="B160" t="s">
        <v>97</v>
      </c>
      <c r="C160">
        <v>294</v>
      </c>
      <c r="D160">
        <v>1.3460663885553901</v>
      </c>
      <c r="E160">
        <v>6.8027210884353704E-3</v>
      </c>
      <c r="F160" t="s">
        <v>296</v>
      </c>
    </row>
    <row r="161" spans="1:6" x14ac:dyDescent="0.2">
      <c r="A161" t="s">
        <v>75</v>
      </c>
      <c r="B161" t="s">
        <v>186</v>
      </c>
      <c r="C161">
        <v>294</v>
      </c>
      <c r="D161">
        <v>1.3460663885553901</v>
      </c>
      <c r="E161">
        <v>6.8027210884353704E-3</v>
      </c>
      <c r="F161" t="s">
        <v>296</v>
      </c>
    </row>
    <row r="162" spans="1:6" x14ac:dyDescent="0.2">
      <c r="A162" t="s">
        <v>32</v>
      </c>
      <c r="B162" t="s">
        <v>70</v>
      </c>
      <c r="C162">
        <v>294</v>
      </c>
      <c r="D162">
        <v>1.3460663885553901</v>
      </c>
      <c r="E162">
        <v>6.8027210884353704E-3</v>
      </c>
      <c r="F162" t="s">
        <v>296</v>
      </c>
    </row>
    <row r="163" spans="1:6" x14ac:dyDescent="0.2">
      <c r="A163" t="s">
        <v>47</v>
      </c>
      <c r="B163" t="s">
        <v>70</v>
      </c>
      <c r="C163">
        <v>294</v>
      </c>
      <c r="D163">
        <v>1.3460663885553901</v>
      </c>
      <c r="E163">
        <v>6.8027210884353704E-3</v>
      </c>
      <c r="F163" t="s">
        <v>296</v>
      </c>
    </row>
    <row r="164" spans="1:6" x14ac:dyDescent="0.2">
      <c r="A164" t="s">
        <v>32</v>
      </c>
      <c r="B164" t="s">
        <v>55</v>
      </c>
      <c r="C164">
        <v>294</v>
      </c>
      <c r="D164">
        <v>1.3460663885553901</v>
      </c>
      <c r="E164">
        <v>6.8027210884353704E-3</v>
      </c>
      <c r="F164" t="s">
        <v>296</v>
      </c>
    </row>
    <row r="165" spans="1:6" x14ac:dyDescent="0.2">
      <c r="A165" t="s">
        <v>110</v>
      </c>
      <c r="B165" t="s">
        <v>85</v>
      </c>
      <c r="C165">
        <v>294</v>
      </c>
      <c r="D165">
        <v>1.3460663885553901</v>
      </c>
      <c r="E165">
        <v>6.8027210884353704E-3</v>
      </c>
      <c r="F165" t="s">
        <v>296</v>
      </c>
    </row>
    <row r="166" spans="1:6" x14ac:dyDescent="0.2">
      <c r="A166" t="s">
        <v>47</v>
      </c>
      <c r="B166" t="s">
        <v>55</v>
      </c>
      <c r="C166">
        <v>294</v>
      </c>
      <c r="D166">
        <v>1.3460663885553901</v>
      </c>
      <c r="E166">
        <v>6.8027210884353704E-3</v>
      </c>
      <c r="F166" t="s">
        <v>296</v>
      </c>
    </row>
    <row r="167" spans="1:6" x14ac:dyDescent="0.2">
      <c r="A167" t="s">
        <v>119</v>
      </c>
      <c r="B167" t="s">
        <v>129</v>
      </c>
      <c r="C167">
        <v>294</v>
      </c>
      <c r="D167">
        <v>1.3460663885553901</v>
      </c>
      <c r="E167">
        <v>6.8027210884353704E-3</v>
      </c>
      <c r="F167" t="s">
        <v>296</v>
      </c>
    </row>
    <row r="168" spans="1:6" x14ac:dyDescent="0.2">
      <c r="A168" t="s">
        <v>119</v>
      </c>
      <c r="B168" t="s">
        <v>83</v>
      </c>
      <c r="C168">
        <v>294</v>
      </c>
      <c r="D168">
        <v>1.3460663885553901</v>
      </c>
      <c r="E168">
        <v>6.8027210884353704E-3</v>
      </c>
      <c r="F168" t="s">
        <v>296</v>
      </c>
    </row>
    <row r="169" spans="1:6" x14ac:dyDescent="0.2">
      <c r="A169" t="s">
        <v>55</v>
      </c>
      <c r="B169" t="s">
        <v>87</v>
      </c>
      <c r="C169">
        <v>294</v>
      </c>
      <c r="D169">
        <v>1.3460663885553901</v>
      </c>
      <c r="E169">
        <v>6.8027210884353704E-3</v>
      </c>
      <c r="F169" t="s">
        <v>296</v>
      </c>
    </row>
    <row r="170" spans="1:6" x14ac:dyDescent="0.2">
      <c r="A170" t="s">
        <v>127</v>
      </c>
      <c r="B170" t="s">
        <v>45</v>
      </c>
      <c r="C170">
        <v>294</v>
      </c>
      <c r="D170">
        <v>1.3460663885553901</v>
      </c>
      <c r="E170">
        <v>6.8027210884353704E-3</v>
      </c>
      <c r="F170" t="s">
        <v>296</v>
      </c>
    </row>
    <row r="171" spans="1:6" x14ac:dyDescent="0.2">
      <c r="A171" t="s">
        <v>50</v>
      </c>
      <c r="B171" t="s">
        <v>119</v>
      </c>
      <c r="C171">
        <v>294</v>
      </c>
      <c r="D171">
        <v>1.3460663885553901</v>
      </c>
      <c r="E171">
        <v>6.8027210884353704E-3</v>
      </c>
      <c r="F171" t="s">
        <v>296</v>
      </c>
    </row>
    <row r="172" spans="1:6" x14ac:dyDescent="0.2">
      <c r="A172" t="s">
        <v>187</v>
      </c>
      <c r="B172" t="s">
        <v>97</v>
      </c>
      <c r="C172">
        <v>294</v>
      </c>
      <c r="D172">
        <v>1.3460663885553901</v>
      </c>
      <c r="E172">
        <v>6.8027210884353704E-3</v>
      </c>
      <c r="F172" t="s">
        <v>296</v>
      </c>
    </row>
    <row r="173" spans="1:6" x14ac:dyDescent="0.2">
      <c r="A173" t="s">
        <v>98</v>
      </c>
      <c r="B173" t="s">
        <v>57</v>
      </c>
      <c r="C173">
        <v>294</v>
      </c>
      <c r="D173">
        <v>1.3460663885553901</v>
      </c>
      <c r="E173">
        <v>6.8027210884353704E-3</v>
      </c>
      <c r="F173" t="s">
        <v>296</v>
      </c>
    </row>
    <row r="174" spans="1:6" x14ac:dyDescent="0.2">
      <c r="A174" t="s">
        <v>62</v>
      </c>
      <c r="B174" t="s">
        <v>32</v>
      </c>
      <c r="C174">
        <v>294</v>
      </c>
      <c r="D174">
        <v>1.3460663885553901</v>
      </c>
      <c r="E174">
        <v>6.8027210884353704E-3</v>
      </c>
      <c r="F174" t="s">
        <v>296</v>
      </c>
    </row>
    <row r="175" spans="1:6" x14ac:dyDescent="0.2">
      <c r="A175" t="s">
        <v>212</v>
      </c>
      <c r="B175" t="s">
        <v>66</v>
      </c>
      <c r="C175">
        <v>294</v>
      </c>
      <c r="D175">
        <v>1.3460663885553901</v>
      </c>
      <c r="E175">
        <v>6.8027210884353704E-3</v>
      </c>
      <c r="F175" t="s">
        <v>296</v>
      </c>
    </row>
    <row r="176" spans="1:6" x14ac:dyDescent="0.2">
      <c r="A176" t="s">
        <v>91</v>
      </c>
      <c r="B176" t="s">
        <v>70</v>
      </c>
      <c r="C176">
        <v>294</v>
      </c>
      <c r="D176">
        <v>1.3460663885553901</v>
      </c>
      <c r="E176">
        <v>6.8027210884353704E-3</v>
      </c>
      <c r="F176" t="s">
        <v>296</v>
      </c>
    </row>
    <row r="177" spans="1:6" x14ac:dyDescent="0.2">
      <c r="A177" t="s">
        <v>127</v>
      </c>
      <c r="B177" t="s">
        <v>129</v>
      </c>
      <c r="C177">
        <v>294</v>
      </c>
      <c r="D177">
        <v>1.3460663885553901</v>
      </c>
      <c r="E177">
        <v>6.8027210884353704E-3</v>
      </c>
      <c r="F177" t="s">
        <v>296</v>
      </c>
    </row>
    <row r="178" spans="1:6" x14ac:dyDescent="0.2">
      <c r="A178" t="s">
        <v>119</v>
      </c>
      <c r="B178" t="s">
        <v>87</v>
      </c>
      <c r="C178">
        <v>294</v>
      </c>
      <c r="D178">
        <v>1.3460663885553901</v>
      </c>
      <c r="E178">
        <v>6.8027210884353704E-3</v>
      </c>
      <c r="F178" t="s">
        <v>296</v>
      </c>
    </row>
    <row r="179" spans="1:6" x14ac:dyDescent="0.2">
      <c r="A179" t="s">
        <v>187</v>
      </c>
      <c r="B179" t="s">
        <v>70</v>
      </c>
      <c r="C179">
        <v>294</v>
      </c>
      <c r="D179">
        <v>1.3460663885553901</v>
      </c>
      <c r="E179">
        <v>6.8027210884353704E-3</v>
      </c>
      <c r="F179" t="s">
        <v>296</v>
      </c>
    </row>
    <row r="180" spans="1:6" x14ac:dyDescent="0.2">
      <c r="A180" t="s">
        <v>47</v>
      </c>
      <c r="B180" t="s">
        <v>83</v>
      </c>
      <c r="C180">
        <v>294</v>
      </c>
      <c r="D180">
        <v>1.3460663885553901</v>
      </c>
      <c r="E180">
        <v>6.8027210884353704E-3</v>
      </c>
      <c r="F180" t="s">
        <v>296</v>
      </c>
    </row>
    <row r="181" spans="1:6" x14ac:dyDescent="0.2">
      <c r="A181" t="s">
        <v>62</v>
      </c>
      <c r="B181" t="s">
        <v>70</v>
      </c>
      <c r="C181">
        <v>294</v>
      </c>
      <c r="D181">
        <v>1.3460663885553901</v>
      </c>
      <c r="E181">
        <v>6.8027210884353704E-3</v>
      </c>
      <c r="F181" t="s">
        <v>296</v>
      </c>
    </row>
    <row r="182" spans="1:6" x14ac:dyDescent="0.2">
      <c r="A182" t="s">
        <v>187</v>
      </c>
      <c r="B182" t="s">
        <v>55</v>
      </c>
      <c r="C182">
        <v>294</v>
      </c>
      <c r="D182">
        <v>1.3460663885553901</v>
      </c>
      <c r="E182">
        <v>6.8027210884353704E-3</v>
      </c>
      <c r="F182" t="s">
        <v>296</v>
      </c>
    </row>
    <row r="183" spans="1:6" x14ac:dyDescent="0.2">
      <c r="A183" t="s">
        <v>118</v>
      </c>
      <c r="B183" t="s">
        <v>186</v>
      </c>
      <c r="C183">
        <v>294</v>
      </c>
      <c r="D183">
        <v>1.3460663885553901</v>
      </c>
      <c r="E183">
        <v>6.8027210884353704E-3</v>
      </c>
      <c r="F183" t="s">
        <v>296</v>
      </c>
    </row>
    <row r="184" spans="1:6" x14ac:dyDescent="0.2">
      <c r="A184" t="s">
        <v>110</v>
      </c>
      <c r="B184" t="s">
        <v>114</v>
      </c>
      <c r="C184">
        <v>294</v>
      </c>
      <c r="D184">
        <v>1.3460663885553901</v>
      </c>
      <c r="E184">
        <v>6.8027210884353704E-3</v>
      </c>
      <c r="F184" t="s">
        <v>296</v>
      </c>
    </row>
    <row r="185" spans="1:6" x14ac:dyDescent="0.2">
      <c r="A185" t="s">
        <v>118</v>
      </c>
      <c r="B185" t="s">
        <v>70</v>
      </c>
      <c r="C185">
        <v>294</v>
      </c>
      <c r="D185">
        <v>1.3460663885553901</v>
      </c>
      <c r="E185">
        <v>6.8027210884353704E-3</v>
      </c>
      <c r="F185" t="s">
        <v>296</v>
      </c>
    </row>
    <row r="186" spans="1:6" x14ac:dyDescent="0.2">
      <c r="A186" t="s">
        <v>76</v>
      </c>
      <c r="B186" t="s">
        <v>70</v>
      </c>
      <c r="C186">
        <v>294</v>
      </c>
      <c r="D186">
        <v>1.3460663885553901</v>
      </c>
      <c r="E186">
        <v>6.8027210884353704E-3</v>
      </c>
      <c r="F186" t="s">
        <v>296</v>
      </c>
    </row>
    <row r="187" spans="1:6" x14ac:dyDescent="0.2">
      <c r="A187" t="s">
        <v>55</v>
      </c>
      <c r="B187" t="s">
        <v>97</v>
      </c>
      <c r="C187">
        <v>294</v>
      </c>
      <c r="D187">
        <v>1.3460663885553901</v>
      </c>
      <c r="E187">
        <v>6.8027210884353704E-3</v>
      </c>
      <c r="F187" t="s">
        <v>296</v>
      </c>
    </row>
    <row r="188" spans="1:6" x14ac:dyDescent="0.2">
      <c r="A188" t="s">
        <v>25</v>
      </c>
      <c r="B188" t="s">
        <v>97</v>
      </c>
      <c r="C188">
        <v>294</v>
      </c>
      <c r="D188">
        <v>1.3460663885553901</v>
      </c>
      <c r="E188">
        <v>6.8027210884353704E-3</v>
      </c>
      <c r="F188" t="s">
        <v>296</v>
      </c>
    </row>
    <row r="189" spans="1:6" x14ac:dyDescent="0.2">
      <c r="A189" t="s">
        <v>35</v>
      </c>
      <c r="B189" t="s">
        <v>187</v>
      </c>
      <c r="C189">
        <v>294</v>
      </c>
      <c r="D189">
        <v>1.3460663885553901</v>
      </c>
      <c r="E189">
        <v>6.8027210884353704E-3</v>
      </c>
      <c r="F189" t="s">
        <v>296</v>
      </c>
    </row>
    <row r="190" spans="1:6" x14ac:dyDescent="0.2">
      <c r="A190" t="s">
        <v>212</v>
      </c>
      <c r="B190" t="s">
        <v>32</v>
      </c>
      <c r="C190">
        <v>294</v>
      </c>
      <c r="D190">
        <v>1.3460663885553901</v>
      </c>
      <c r="E190">
        <v>6.8027210884353704E-3</v>
      </c>
      <c r="F190" t="s">
        <v>296</v>
      </c>
    </row>
    <row r="191" spans="1:6" x14ac:dyDescent="0.2">
      <c r="A191" t="s">
        <v>85</v>
      </c>
      <c r="B191" t="s">
        <v>55</v>
      </c>
      <c r="C191">
        <v>294</v>
      </c>
      <c r="D191">
        <v>1.3460663885553901</v>
      </c>
      <c r="E191">
        <v>6.8027210884353704E-3</v>
      </c>
      <c r="F191" t="s">
        <v>296</v>
      </c>
    </row>
    <row r="192" spans="1:6" x14ac:dyDescent="0.2">
      <c r="A192" t="s">
        <v>67</v>
      </c>
      <c r="B192" t="s">
        <v>75</v>
      </c>
      <c r="C192">
        <v>294</v>
      </c>
      <c r="D192">
        <v>1.3460663885553901</v>
      </c>
      <c r="E192">
        <v>6.8027210884353704E-3</v>
      </c>
      <c r="F192" t="s">
        <v>296</v>
      </c>
    </row>
    <row r="193" spans="1:6" x14ac:dyDescent="0.2">
      <c r="A193" t="s">
        <v>212</v>
      </c>
      <c r="B193" t="s">
        <v>25</v>
      </c>
      <c r="C193">
        <v>294</v>
      </c>
      <c r="D193">
        <v>1.3460663885553901</v>
      </c>
      <c r="E193">
        <v>6.8027210884353704E-3</v>
      </c>
      <c r="F193" t="s">
        <v>296</v>
      </c>
    </row>
    <row r="194" spans="1:6" x14ac:dyDescent="0.2">
      <c r="A194" t="s">
        <v>186</v>
      </c>
      <c r="B194" t="s">
        <v>97</v>
      </c>
      <c r="C194">
        <v>294</v>
      </c>
      <c r="D194">
        <v>1.3460663885553901</v>
      </c>
      <c r="E194">
        <v>6.8027210884353704E-3</v>
      </c>
      <c r="F194" t="s">
        <v>296</v>
      </c>
    </row>
    <row r="195" spans="1:6" x14ac:dyDescent="0.2">
      <c r="A195" t="s">
        <v>70</v>
      </c>
      <c r="B195" t="s">
        <v>97</v>
      </c>
      <c r="C195">
        <v>294</v>
      </c>
      <c r="D195">
        <v>1.3460663885553901</v>
      </c>
      <c r="E195">
        <v>6.8027210884353704E-3</v>
      </c>
      <c r="F195" t="s">
        <v>296</v>
      </c>
    </row>
    <row r="196" spans="1:6" x14ac:dyDescent="0.2">
      <c r="A196" t="s">
        <v>32</v>
      </c>
      <c r="B196" t="s">
        <v>66</v>
      </c>
      <c r="C196">
        <v>294</v>
      </c>
      <c r="D196">
        <v>1.3460663885553901</v>
      </c>
      <c r="E196">
        <v>6.8027210884353704E-3</v>
      </c>
      <c r="F196" t="s">
        <v>296</v>
      </c>
    </row>
    <row r="197" spans="1:6" x14ac:dyDescent="0.2">
      <c r="A197" t="s">
        <v>47</v>
      </c>
      <c r="B197" t="s">
        <v>50</v>
      </c>
      <c r="C197">
        <v>294</v>
      </c>
      <c r="D197">
        <v>1.3460663885553901</v>
      </c>
      <c r="E197">
        <v>6.8027210884353704E-3</v>
      </c>
      <c r="F197" t="s">
        <v>296</v>
      </c>
    </row>
    <row r="198" spans="1:6" x14ac:dyDescent="0.2">
      <c r="A198" t="s">
        <v>67</v>
      </c>
      <c r="B198" t="s">
        <v>98</v>
      </c>
      <c r="C198">
        <v>294</v>
      </c>
      <c r="D198">
        <v>1.3460663885553901</v>
      </c>
      <c r="E198">
        <v>6.8027210884353704E-3</v>
      </c>
      <c r="F198" t="s">
        <v>296</v>
      </c>
    </row>
    <row r="199" spans="1:6" x14ac:dyDescent="0.2">
      <c r="A199" t="s">
        <v>91</v>
      </c>
      <c r="B199" t="s">
        <v>118</v>
      </c>
      <c r="C199">
        <v>294</v>
      </c>
      <c r="D199">
        <v>1.3460663885553901</v>
      </c>
      <c r="E199">
        <v>6.8027210884353704E-3</v>
      </c>
      <c r="F199" t="s">
        <v>296</v>
      </c>
    </row>
    <row r="200" spans="1:6" x14ac:dyDescent="0.2">
      <c r="A200" t="s">
        <v>212</v>
      </c>
      <c r="B200" t="s">
        <v>129</v>
      </c>
      <c r="C200">
        <v>294</v>
      </c>
      <c r="D200">
        <v>1.3460663885553901</v>
      </c>
      <c r="E200">
        <v>6.8027210884353704E-3</v>
      </c>
      <c r="F200" t="s">
        <v>296</v>
      </c>
    </row>
    <row r="201" spans="1:6" x14ac:dyDescent="0.2">
      <c r="A201" t="s">
        <v>66</v>
      </c>
      <c r="B201" t="s">
        <v>97</v>
      </c>
      <c r="C201">
        <v>294</v>
      </c>
      <c r="D201">
        <v>1.3460663885553901</v>
      </c>
      <c r="E201">
        <v>6.8027210884353704E-3</v>
      </c>
      <c r="F201" t="s">
        <v>296</v>
      </c>
    </row>
    <row r="202" spans="1:6" x14ac:dyDescent="0.2">
      <c r="A202" t="s">
        <v>110</v>
      </c>
      <c r="B202" t="s">
        <v>25</v>
      </c>
      <c r="C202">
        <v>294</v>
      </c>
      <c r="D202">
        <v>1.3460663885553901</v>
      </c>
      <c r="E202">
        <v>6.8027210884353704E-3</v>
      </c>
      <c r="F202" t="s">
        <v>296</v>
      </c>
    </row>
    <row r="203" spans="1:6" x14ac:dyDescent="0.2">
      <c r="A203" t="s">
        <v>57</v>
      </c>
      <c r="B203" t="s">
        <v>87</v>
      </c>
      <c r="C203">
        <v>294</v>
      </c>
      <c r="D203">
        <v>1.3460663885553901</v>
      </c>
      <c r="E203">
        <v>6.8027210884353704E-3</v>
      </c>
      <c r="F203" t="s">
        <v>296</v>
      </c>
    </row>
    <row r="204" spans="1:6" x14ac:dyDescent="0.2">
      <c r="A204" t="s">
        <v>50</v>
      </c>
      <c r="B204" t="s">
        <v>186</v>
      </c>
      <c r="C204">
        <v>294</v>
      </c>
      <c r="D204">
        <v>1.3460663885553901</v>
      </c>
      <c r="E204">
        <v>6.8027210884353704E-3</v>
      </c>
      <c r="F204" t="s">
        <v>296</v>
      </c>
    </row>
    <row r="205" spans="1:6" x14ac:dyDescent="0.2">
      <c r="A205" t="s">
        <v>67</v>
      </c>
      <c r="B205" t="s">
        <v>186</v>
      </c>
      <c r="C205">
        <v>294</v>
      </c>
      <c r="D205">
        <v>1.3460663885553901</v>
      </c>
      <c r="E205">
        <v>6.8027210884353704E-3</v>
      </c>
      <c r="F205" t="s">
        <v>296</v>
      </c>
    </row>
    <row r="206" spans="1:6" x14ac:dyDescent="0.2">
      <c r="A206" t="s">
        <v>85</v>
      </c>
      <c r="B206" t="s">
        <v>120</v>
      </c>
      <c r="C206">
        <v>294</v>
      </c>
      <c r="D206">
        <v>1.3460663885553901</v>
      </c>
      <c r="E206">
        <v>6.8027210884353704E-3</v>
      </c>
      <c r="F206" t="s">
        <v>296</v>
      </c>
    </row>
    <row r="207" spans="1:6" x14ac:dyDescent="0.2">
      <c r="A207" t="s">
        <v>67</v>
      </c>
      <c r="B207" t="s">
        <v>76</v>
      </c>
      <c r="C207">
        <v>294</v>
      </c>
      <c r="D207">
        <v>1.3460663885553901</v>
      </c>
      <c r="E207">
        <v>6.8027210884353704E-3</v>
      </c>
      <c r="F207" t="s">
        <v>296</v>
      </c>
    </row>
    <row r="208" spans="1:6" x14ac:dyDescent="0.2">
      <c r="A208" t="s">
        <v>83</v>
      </c>
      <c r="B208" t="s">
        <v>120</v>
      </c>
      <c r="C208">
        <v>294</v>
      </c>
      <c r="D208">
        <v>1.3460663885553901</v>
      </c>
      <c r="E208">
        <v>6.8027210884353704E-3</v>
      </c>
      <c r="F208" t="s">
        <v>296</v>
      </c>
    </row>
    <row r="209" spans="1:6" x14ac:dyDescent="0.2">
      <c r="A209" t="s">
        <v>85</v>
      </c>
      <c r="B209" t="s">
        <v>87</v>
      </c>
      <c r="C209">
        <v>294</v>
      </c>
      <c r="D209">
        <v>1.3460663885553901</v>
      </c>
      <c r="E209">
        <v>6.8027210884353704E-3</v>
      </c>
      <c r="F209" t="s">
        <v>296</v>
      </c>
    </row>
    <row r="210" spans="1:6" x14ac:dyDescent="0.2">
      <c r="A210" t="s">
        <v>129</v>
      </c>
      <c r="B210" t="s">
        <v>87</v>
      </c>
      <c r="C210">
        <v>294</v>
      </c>
      <c r="D210">
        <v>1.3460663885553901</v>
      </c>
      <c r="E210">
        <v>6.8027210884353704E-3</v>
      </c>
      <c r="F210" t="s">
        <v>296</v>
      </c>
    </row>
    <row r="211" spans="1:6" x14ac:dyDescent="0.2">
      <c r="A211" t="s">
        <v>76</v>
      </c>
      <c r="B211" t="s">
        <v>114</v>
      </c>
      <c r="C211">
        <v>294</v>
      </c>
      <c r="D211">
        <v>1.3460663885553901</v>
      </c>
      <c r="E211">
        <v>6.8027210884353704E-3</v>
      </c>
      <c r="F211" t="s">
        <v>296</v>
      </c>
    </row>
    <row r="212" spans="1:6" x14ac:dyDescent="0.2">
      <c r="A212" t="s">
        <v>91</v>
      </c>
      <c r="B212" t="s">
        <v>120</v>
      </c>
      <c r="C212">
        <v>294</v>
      </c>
      <c r="D212">
        <v>1.3460663885553901</v>
      </c>
      <c r="E212">
        <v>6.8027210884353704E-3</v>
      </c>
      <c r="F212" t="s">
        <v>296</v>
      </c>
    </row>
    <row r="213" spans="1:6" x14ac:dyDescent="0.2">
      <c r="A213" t="s">
        <v>68</v>
      </c>
      <c r="B213" t="s">
        <v>45</v>
      </c>
      <c r="C213">
        <v>294</v>
      </c>
      <c r="D213">
        <v>1.3460663885553901</v>
      </c>
      <c r="E213">
        <v>6.8027210884353704E-3</v>
      </c>
      <c r="F213" t="s">
        <v>296</v>
      </c>
    </row>
    <row r="214" spans="1:6" x14ac:dyDescent="0.2">
      <c r="A214" t="s">
        <v>45</v>
      </c>
      <c r="B214" t="s">
        <v>53</v>
      </c>
      <c r="C214">
        <v>294</v>
      </c>
      <c r="D214">
        <v>1.3460663885553901</v>
      </c>
      <c r="E214">
        <v>6.8027210884353704E-3</v>
      </c>
      <c r="F214" t="s">
        <v>296</v>
      </c>
    </row>
    <row r="215" spans="1:6" x14ac:dyDescent="0.2">
      <c r="A215" t="s">
        <v>67</v>
      </c>
      <c r="B215" t="s">
        <v>68</v>
      </c>
      <c r="C215">
        <v>294</v>
      </c>
      <c r="D215">
        <v>1.3460663885553901</v>
      </c>
      <c r="E215">
        <v>6.8027210884353704E-3</v>
      </c>
      <c r="F215" t="s">
        <v>296</v>
      </c>
    </row>
    <row r="216" spans="1:6" x14ac:dyDescent="0.2">
      <c r="A216" t="s">
        <v>45</v>
      </c>
      <c r="B216" t="s">
        <v>119</v>
      </c>
      <c r="C216">
        <v>294</v>
      </c>
      <c r="D216">
        <v>1.3460663885553901</v>
      </c>
      <c r="E216">
        <v>6.8027210884353704E-3</v>
      </c>
      <c r="F216" t="s">
        <v>296</v>
      </c>
    </row>
    <row r="217" spans="1:6" x14ac:dyDescent="0.2">
      <c r="A217" t="s">
        <v>110</v>
      </c>
      <c r="B217" t="s">
        <v>91</v>
      </c>
      <c r="C217">
        <v>294</v>
      </c>
      <c r="D217">
        <v>1.3460663885553901</v>
      </c>
      <c r="E217">
        <v>6.8027210884353704E-3</v>
      </c>
      <c r="F217" t="s">
        <v>296</v>
      </c>
    </row>
    <row r="218" spans="1:6" x14ac:dyDescent="0.2">
      <c r="A218" t="s">
        <v>32</v>
      </c>
      <c r="B218" t="s">
        <v>50</v>
      </c>
      <c r="C218">
        <v>294</v>
      </c>
      <c r="D218">
        <v>1.3460663885553901</v>
      </c>
      <c r="E218">
        <v>6.8027210884353704E-3</v>
      </c>
      <c r="F218" t="s">
        <v>296</v>
      </c>
    </row>
    <row r="219" spans="1:6" x14ac:dyDescent="0.2">
      <c r="A219" t="s">
        <v>45</v>
      </c>
      <c r="B219" t="s">
        <v>57</v>
      </c>
      <c r="C219">
        <v>294</v>
      </c>
      <c r="D219">
        <v>1.3460663885553901</v>
      </c>
      <c r="E219">
        <v>6.8027210884353704E-3</v>
      </c>
      <c r="F219" t="s">
        <v>296</v>
      </c>
    </row>
    <row r="220" spans="1:6" x14ac:dyDescent="0.2">
      <c r="A220" t="s">
        <v>67</v>
      </c>
      <c r="B220" t="s">
        <v>97</v>
      </c>
      <c r="C220">
        <v>294</v>
      </c>
      <c r="D220">
        <v>1.3460663885553901</v>
      </c>
      <c r="E220">
        <v>6.8027210884353704E-3</v>
      </c>
      <c r="F220" t="s">
        <v>296</v>
      </c>
    </row>
    <row r="221" spans="1:6" x14ac:dyDescent="0.2">
      <c r="A221" t="s">
        <v>32</v>
      </c>
      <c r="B221" t="s">
        <v>186</v>
      </c>
      <c r="C221">
        <v>294</v>
      </c>
      <c r="D221">
        <v>1.3460663885553901</v>
      </c>
      <c r="E221">
        <v>6.8027210884353704E-3</v>
      </c>
      <c r="F221" t="s">
        <v>296</v>
      </c>
    </row>
    <row r="222" spans="1:6" x14ac:dyDescent="0.2">
      <c r="A222" t="s">
        <v>70</v>
      </c>
      <c r="B222" t="s">
        <v>66</v>
      </c>
      <c r="C222">
        <v>294</v>
      </c>
      <c r="D222">
        <v>1.3460663885553901</v>
      </c>
      <c r="E222">
        <v>6.8027210884353704E-3</v>
      </c>
      <c r="F222" t="s">
        <v>296</v>
      </c>
    </row>
    <row r="223" spans="1:6" x14ac:dyDescent="0.2">
      <c r="A223" t="s">
        <v>68</v>
      </c>
      <c r="B223" t="s">
        <v>85</v>
      </c>
      <c r="C223">
        <v>294</v>
      </c>
      <c r="D223">
        <v>1.3460663885553901</v>
      </c>
      <c r="E223">
        <v>6.8027210884353704E-3</v>
      </c>
      <c r="F223" t="s">
        <v>296</v>
      </c>
    </row>
    <row r="224" spans="1:6" x14ac:dyDescent="0.2">
      <c r="A224" t="s">
        <v>35</v>
      </c>
      <c r="B224" t="s">
        <v>70</v>
      </c>
      <c r="C224">
        <v>294</v>
      </c>
      <c r="D224">
        <v>1.3460663885553901</v>
      </c>
      <c r="E224">
        <v>6.8027210884353704E-3</v>
      </c>
      <c r="F224" t="s">
        <v>296</v>
      </c>
    </row>
    <row r="225" spans="1:6" x14ac:dyDescent="0.2">
      <c r="A225" t="s">
        <v>127</v>
      </c>
      <c r="B225" t="s">
        <v>35</v>
      </c>
      <c r="C225">
        <v>294</v>
      </c>
      <c r="D225">
        <v>1.3460663885553901</v>
      </c>
      <c r="E225">
        <v>6.8027210884353704E-3</v>
      </c>
      <c r="F225" t="s">
        <v>296</v>
      </c>
    </row>
    <row r="226" spans="1:6" x14ac:dyDescent="0.2">
      <c r="A226" t="s">
        <v>45</v>
      </c>
      <c r="B226" t="s">
        <v>76</v>
      </c>
      <c r="C226">
        <v>294</v>
      </c>
      <c r="D226">
        <v>1.3460663885553901</v>
      </c>
      <c r="E226">
        <v>6.8027210884353704E-3</v>
      </c>
      <c r="F226" t="s">
        <v>296</v>
      </c>
    </row>
    <row r="227" spans="1:6" x14ac:dyDescent="0.2">
      <c r="A227" t="s">
        <v>68</v>
      </c>
      <c r="B227" t="s">
        <v>57</v>
      </c>
      <c r="C227">
        <v>294</v>
      </c>
      <c r="D227">
        <v>1.3460663885553901</v>
      </c>
      <c r="E227">
        <v>6.8027210884353704E-3</v>
      </c>
      <c r="F227" t="s">
        <v>296</v>
      </c>
    </row>
    <row r="228" spans="1:6" x14ac:dyDescent="0.2">
      <c r="A228" t="s">
        <v>127</v>
      </c>
      <c r="B228" t="s">
        <v>76</v>
      </c>
      <c r="C228">
        <v>294</v>
      </c>
      <c r="D228">
        <v>1.3460663885553901</v>
      </c>
      <c r="E228">
        <v>6.8027210884353704E-3</v>
      </c>
      <c r="F228" t="s">
        <v>296</v>
      </c>
    </row>
    <row r="229" spans="1:6" x14ac:dyDescent="0.2">
      <c r="A229" t="s">
        <v>62</v>
      </c>
      <c r="B229" t="s">
        <v>53</v>
      </c>
      <c r="C229">
        <v>294</v>
      </c>
      <c r="D229">
        <v>1.3460663885553901</v>
      </c>
      <c r="E229">
        <v>6.8027210884353704E-3</v>
      </c>
      <c r="F229" t="s">
        <v>296</v>
      </c>
    </row>
    <row r="230" spans="1:6" x14ac:dyDescent="0.2">
      <c r="A230" t="s">
        <v>50</v>
      </c>
      <c r="B230" t="s">
        <v>85</v>
      </c>
      <c r="C230">
        <v>294</v>
      </c>
      <c r="D230">
        <v>1.3460663885553901</v>
      </c>
      <c r="E230">
        <v>6.8027210884353704E-3</v>
      </c>
      <c r="F230" t="s">
        <v>296</v>
      </c>
    </row>
    <row r="231" spans="1:6" x14ac:dyDescent="0.2">
      <c r="A231" t="s">
        <v>35</v>
      </c>
      <c r="B231" t="s">
        <v>85</v>
      </c>
      <c r="C231">
        <v>294</v>
      </c>
      <c r="D231">
        <v>1.3460663885553901</v>
      </c>
      <c r="E231">
        <v>6.8027210884353704E-3</v>
      </c>
      <c r="F231" t="s">
        <v>296</v>
      </c>
    </row>
    <row r="232" spans="1:6" x14ac:dyDescent="0.2">
      <c r="A232" t="s">
        <v>47</v>
      </c>
      <c r="B232" t="s">
        <v>98</v>
      </c>
      <c r="C232">
        <v>294</v>
      </c>
      <c r="D232">
        <v>1.3460663885553901</v>
      </c>
      <c r="E232">
        <v>6.8027210884353704E-3</v>
      </c>
      <c r="F232" t="s">
        <v>296</v>
      </c>
    </row>
    <row r="233" spans="1:6" x14ac:dyDescent="0.2">
      <c r="A233" t="s">
        <v>35</v>
      </c>
      <c r="B233" t="s">
        <v>74</v>
      </c>
      <c r="C233">
        <v>294</v>
      </c>
      <c r="D233">
        <v>1.3460663885553901</v>
      </c>
      <c r="E233">
        <v>6.8027210884353704E-3</v>
      </c>
      <c r="F233" t="s">
        <v>296</v>
      </c>
    </row>
    <row r="234" spans="1:6" x14ac:dyDescent="0.2">
      <c r="A234" t="s">
        <v>62</v>
      </c>
      <c r="B234" t="s">
        <v>186</v>
      </c>
      <c r="C234">
        <v>294</v>
      </c>
      <c r="D234">
        <v>1.3460663885553901</v>
      </c>
      <c r="E234">
        <v>6.8027210884353704E-3</v>
      </c>
      <c r="F234" t="s">
        <v>296</v>
      </c>
    </row>
    <row r="235" spans="1:6" x14ac:dyDescent="0.2">
      <c r="A235" t="s">
        <v>120</v>
      </c>
      <c r="B235" t="s">
        <v>87</v>
      </c>
      <c r="C235">
        <v>294</v>
      </c>
      <c r="D235">
        <v>1.3460663885553901</v>
      </c>
      <c r="E235">
        <v>6.8027210884353704E-3</v>
      </c>
      <c r="F235" t="s">
        <v>296</v>
      </c>
    </row>
    <row r="236" spans="1:6" x14ac:dyDescent="0.2">
      <c r="A236" t="s">
        <v>110</v>
      </c>
      <c r="B236" t="s">
        <v>47</v>
      </c>
      <c r="C236">
        <v>294</v>
      </c>
      <c r="D236">
        <v>1.3460663885553901</v>
      </c>
      <c r="E236">
        <v>6.8027210884353704E-3</v>
      </c>
      <c r="F236" t="s">
        <v>296</v>
      </c>
    </row>
    <row r="237" spans="1:6" x14ac:dyDescent="0.2">
      <c r="A237" t="s">
        <v>62</v>
      </c>
      <c r="B237" t="s">
        <v>74</v>
      </c>
      <c r="C237">
        <v>294</v>
      </c>
      <c r="D237">
        <v>1.3460663885553901</v>
      </c>
      <c r="E237">
        <v>6.8027210884353704E-3</v>
      </c>
      <c r="F237" t="s">
        <v>296</v>
      </c>
    </row>
    <row r="238" spans="1:6" x14ac:dyDescent="0.2">
      <c r="A238" t="s">
        <v>68</v>
      </c>
      <c r="B238" t="s">
        <v>120</v>
      </c>
      <c r="C238">
        <v>294</v>
      </c>
      <c r="D238">
        <v>1.3460663885553901</v>
      </c>
      <c r="E238">
        <v>6.8027210884353704E-3</v>
      </c>
      <c r="F238" t="s">
        <v>296</v>
      </c>
    </row>
    <row r="239" spans="1:6" x14ac:dyDescent="0.2">
      <c r="A239" t="s">
        <v>118</v>
      </c>
      <c r="B239" t="s">
        <v>97</v>
      </c>
      <c r="C239">
        <v>294</v>
      </c>
      <c r="D239">
        <v>1.3460663885553901</v>
      </c>
      <c r="E239">
        <v>6.8027210884353704E-3</v>
      </c>
      <c r="F239" t="s">
        <v>296</v>
      </c>
    </row>
    <row r="240" spans="1:6" x14ac:dyDescent="0.2">
      <c r="A240" t="s">
        <v>91</v>
      </c>
      <c r="B240" t="s">
        <v>25</v>
      </c>
      <c r="C240">
        <v>294</v>
      </c>
      <c r="D240">
        <v>1.3460663885553901</v>
      </c>
      <c r="E240">
        <v>6.8027210884353704E-3</v>
      </c>
      <c r="F240" t="s">
        <v>296</v>
      </c>
    </row>
    <row r="241" spans="1:6" x14ac:dyDescent="0.2">
      <c r="A241" t="s">
        <v>110</v>
      </c>
      <c r="B241" t="s">
        <v>68</v>
      </c>
      <c r="C241">
        <v>294</v>
      </c>
      <c r="D241">
        <v>1.3460663885553901</v>
      </c>
      <c r="E241">
        <v>6.8027210884353704E-3</v>
      </c>
      <c r="F241" t="s">
        <v>296</v>
      </c>
    </row>
    <row r="242" spans="1:6" x14ac:dyDescent="0.2">
      <c r="A242" t="s">
        <v>35</v>
      </c>
      <c r="B242" t="s">
        <v>91</v>
      </c>
      <c r="C242">
        <v>294</v>
      </c>
      <c r="D242">
        <v>1.3460663885553901</v>
      </c>
      <c r="E242">
        <v>6.8027210884353704E-3</v>
      </c>
      <c r="F242" t="s">
        <v>296</v>
      </c>
    </row>
    <row r="243" spans="1:6" x14ac:dyDescent="0.2">
      <c r="A243" t="s">
        <v>35</v>
      </c>
      <c r="B243" t="s">
        <v>119</v>
      </c>
      <c r="C243">
        <v>294</v>
      </c>
      <c r="D243">
        <v>1.3460663885553901</v>
      </c>
      <c r="E243">
        <v>6.8027210884353704E-3</v>
      </c>
      <c r="F243" t="s">
        <v>296</v>
      </c>
    </row>
    <row r="244" spans="1:6" x14ac:dyDescent="0.2">
      <c r="A244" t="s">
        <v>68</v>
      </c>
      <c r="B244" t="s">
        <v>87</v>
      </c>
      <c r="C244">
        <v>294</v>
      </c>
      <c r="D244">
        <v>1.3460663885553901</v>
      </c>
      <c r="E244">
        <v>6.8027210884353704E-3</v>
      </c>
      <c r="F244" t="s">
        <v>296</v>
      </c>
    </row>
    <row r="245" spans="1:6" x14ac:dyDescent="0.2">
      <c r="A245" t="s">
        <v>110</v>
      </c>
      <c r="B245" t="s">
        <v>87</v>
      </c>
      <c r="C245">
        <v>294</v>
      </c>
      <c r="D245">
        <v>1.3460663885553901</v>
      </c>
      <c r="E245">
        <v>6.8027210884353704E-3</v>
      </c>
      <c r="F245" t="s">
        <v>296</v>
      </c>
    </row>
    <row r="246" spans="1:6" x14ac:dyDescent="0.2">
      <c r="A246" t="s">
        <v>47</v>
      </c>
      <c r="B246" t="s">
        <v>74</v>
      </c>
      <c r="C246">
        <v>294</v>
      </c>
      <c r="D246">
        <v>1.3460663885553901</v>
      </c>
      <c r="E246">
        <v>6.8027210884353704E-3</v>
      </c>
      <c r="F246" t="s">
        <v>296</v>
      </c>
    </row>
    <row r="247" spans="1:6" x14ac:dyDescent="0.2">
      <c r="A247" t="s">
        <v>76</v>
      </c>
      <c r="B247" t="s">
        <v>55</v>
      </c>
      <c r="C247">
        <v>294</v>
      </c>
      <c r="D247">
        <v>1.3460663885553901</v>
      </c>
      <c r="E247">
        <v>6.8027210884353704E-3</v>
      </c>
      <c r="F247" t="s">
        <v>296</v>
      </c>
    </row>
    <row r="248" spans="1:6" x14ac:dyDescent="0.2">
      <c r="A248" t="s">
        <v>187</v>
      </c>
      <c r="B248" t="s">
        <v>53</v>
      </c>
      <c r="C248">
        <v>294</v>
      </c>
      <c r="D248">
        <v>1.3460663885553901</v>
      </c>
      <c r="E248">
        <v>6.8027210884353704E-3</v>
      </c>
      <c r="F248" t="s">
        <v>296</v>
      </c>
    </row>
    <row r="249" spans="1:6" x14ac:dyDescent="0.2">
      <c r="A249" t="s">
        <v>62</v>
      </c>
      <c r="B249" t="s">
        <v>76</v>
      </c>
      <c r="C249">
        <v>294</v>
      </c>
      <c r="D249">
        <v>1.3460663885553901</v>
      </c>
      <c r="E249">
        <v>6.8027210884353704E-3</v>
      </c>
      <c r="F249" t="s">
        <v>296</v>
      </c>
    </row>
    <row r="250" spans="1:6" x14ac:dyDescent="0.2">
      <c r="A250" t="s">
        <v>45</v>
      </c>
      <c r="B250" t="s">
        <v>66</v>
      </c>
      <c r="C250">
        <v>294</v>
      </c>
      <c r="D250">
        <v>1.3460663885553901</v>
      </c>
      <c r="E250">
        <v>6.8027210884353704E-3</v>
      </c>
      <c r="F250" t="s">
        <v>296</v>
      </c>
    </row>
    <row r="251" spans="1:6" x14ac:dyDescent="0.2">
      <c r="A251" t="s">
        <v>187</v>
      </c>
      <c r="B251" t="s">
        <v>119</v>
      </c>
      <c r="C251">
        <v>294</v>
      </c>
      <c r="D251">
        <v>1.3460663885553901</v>
      </c>
      <c r="E251">
        <v>6.8027210884353704E-3</v>
      </c>
      <c r="F251" t="s">
        <v>296</v>
      </c>
    </row>
    <row r="252" spans="1:6" x14ac:dyDescent="0.2">
      <c r="A252" t="s">
        <v>62</v>
      </c>
      <c r="B252" t="s">
        <v>68</v>
      </c>
      <c r="C252">
        <v>294</v>
      </c>
      <c r="D252">
        <v>1.3460663885553901</v>
      </c>
      <c r="E252">
        <v>6.8027210884353704E-3</v>
      </c>
      <c r="F252" t="s">
        <v>296</v>
      </c>
    </row>
    <row r="253" spans="1:6" x14ac:dyDescent="0.2">
      <c r="A253" t="s">
        <v>70</v>
      </c>
      <c r="B253" t="s">
        <v>85</v>
      </c>
      <c r="C253">
        <v>294</v>
      </c>
      <c r="D253">
        <v>1.3460663885553901</v>
      </c>
      <c r="E253">
        <v>6.8027210884353704E-3</v>
      </c>
      <c r="F253" t="s">
        <v>296</v>
      </c>
    </row>
    <row r="254" spans="1:6" x14ac:dyDescent="0.2">
      <c r="A254" t="s">
        <v>47</v>
      </c>
      <c r="B254" t="s">
        <v>187</v>
      </c>
      <c r="C254">
        <v>294</v>
      </c>
      <c r="D254">
        <v>1.3460663885553901</v>
      </c>
      <c r="E254">
        <v>6.8027210884353704E-3</v>
      </c>
      <c r="F254" t="s">
        <v>296</v>
      </c>
    </row>
    <row r="255" spans="1:6" x14ac:dyDescent="0.2">
      <c r="A255" t="s">
        <v>212</v>
      </c>
      <c r="B255" t="s">
        <v>75</v>
      </c>
      <c r="C255">
        <v>294</v>
      </c>
      <c r="D255">
        <v>1.3460663885553901</v>
      </c>
      <c r="E255">
        <v>6.8027210884353704E-3</v>
      </c>
      <c r="F255" t="s">
        <v>296</v>
      </c>
    </row>
    <row r="256" spans="1:6" x14ac:dyDescent="0.2">
      <c r="A256" t="s">
        <v>85</v>
      </c>
      <c r="B256" t="s">
        <v>25</v>
      </c>
      <c r="C256">
        <v>294</v>
      </c>
      <c r="D256">
        <v>1.3460663885553901</v>
      </c>
      <c r="E256">
        <v>6.8027210884353704E-3</v>
      </c>
      <c r="F256" t="s">
        <v>296</v>
      </c>
    </row>
    <row r="257" spans="1:6" x14ac:dyDescent="0.2">
      <c r="A257" t="s">
        <v>75</v>
      </c>
      <c r="B257" t="s">
        <v>114</v>
      </c>
      <c r="C257">
        <v>294</v>
      </c>
      <c r="D257">
        <v>1.3460663885553901</v>
      </c>
      <c r="E257">
        <v>6.8027210884353704E-3</v>
      </c>
      <c r="F257" t="s">
        <v>296</v>
      </c>
    </row>
    <row r="258" spans="1:6" x14ac:dyDescent="0.2">
      <c r="A258" t="s">
        <v>91</v>
      </c>
      <c r="B258" t="s">
        <v>186</v>
      </c>
      <c r="C258">
        <v>294</v>
      </c>
      <c r="D258">
        <v>1.3460663885553901</v>
      </c>
      <c r="E258">
        <v>6.8027210884353704E-3</v>
      </c>
      <c r="F258" t="s">
        <v>296</v>
      </c>
    </row>
    <row r="259" spans="1:6" x14ac:dyDescent="0.2">
      <c r="A259" t="s">
        <v>70</v>
      </c>
      <c r="B259" t="s">
        <v>25</v>
      </c>
      <c r="C259">
        <v>294</v>
      </c>
      <c r="D259">
        <v>1.3460663885553901</v>
      </c>
      <c r="E259">
        <v>6.8027210884353704E-3</v>
      </c>
      <c r="F259" t="s">
        <v>296</v>
      </c>
    </row>
    <row r="260" spans="1:6" x14ac:dyDescent="0.2">
      <c r="A260" t="s">
        <v>110</v>
      </c>
      <c r="B260" t="s">
        <v>119</v>
      </c>
      <c r="C260">
        <v>294</v>
      </c>
      <c r="D260">
        <v>1.3460663885553901</v>
      </c>
      <c r="E260">
        <v>6.8027210884353704E-3</v>
      </c>
      <c r="F260" t="s">
        <v>296</v>
      </c>
    </row>
    <row r="261" spans="1:6" x14ac:dyDescent="0.2">
      <c r="A261" t="s">
        <v>47</v>
      </c>
      <c r="B261" t="s">
        <v>120</v>
      </c>
      <c r="C261">
        <v>294</v>
      </c>
      <c r="D261">
        <v>1.3460663885553901</v>
      </c>
      <c r="E261">
        <v>6.8027210884353704E-3</v>
      </c>
      <c r="F261" t="s">
        <v>296</v>
      </c>
    </row>
    <row r="262" spans="1:6" x14ac:dyDescent="0.2">
      <c r="A262" t="s">
        <v>127</v>
      </c>
      <c r="B262" t="s">
        <v>74</v>
      </c>
      <c r="C262">
        <v>294</v>
      </c>
      <c r="D262">
        <v>1.3460663885553901</v>
      </c>
      <c r="E262">
        <v>6.8027210884353704E-3</v>
      </c>
      <c r="F262" t="s">
        <v>296</v>
      </c>
    </row>
    <row r="263" spans="1:6" x14ac:dyDescent="0.2">
      <c r="A263" t="s">
        <v>35</v>
      </c>
      <c r="B263" t="s">
        <v>32</v>
      </c>
      <c r="C263">
        <v>294</v>
      </c>
      <c r="D263">
        <v>1.3460663885553901</v>
      </c>
      <c r="E263">
        <v>6.8027210884353704E-3</v>
      </c>
      <c r="F263" t="s">
        <v>296</v>
      </c>
    </row>
    <row r="264" spans="1:6" x14ac:dyDescent="0.2">
      <c r="A264" t="s">
        <v>47</v>
      </c>
      <c r="B264" t="s">
        <v>62</v>
      </c>
      <c r="C264">
        <v>294</v>
      </c>
      <c r="D264">
        <v>1.3460663885553901</v>
      </c>
      <c r="E264">
        <v>6.8027210884353704E-3</v>
      </c>
      <c r="F264" t="s">
        <v>296</v>
      </c>
    </row>
    <row r="265" spans="1:6" x14ac:dyDescent="0.2">
      <c r="A265" t="s">
        <v>212</v>
      </c>
      <c r="B265" t="s">
        <v>50</v>
      </c>
      <c r="C265">
        <v>294</v>
      </c>
      <c r="D265">
        <v>1.3460663885553901</v>
      </c>
      <c r="E265">
        <v>6.8027210884353704E-3</v>
      </c>
      <c r="F265" t="s">
        <v>296</v>
      </c>
    </row>
    <row r="266" spans="1:6" x14ac:dyDescent="0.2">
      <c r="A266" t="s">
        <v>91</v>
      </c>
      <c r="B266" t="s">
        <v>114</v>
      </c>
      <c r="C266">
        <v>294</v>
      </c>
      <c r="D266">
        <v>1.3460663885553901</v>
      </c>
      <c r="E266">
        <v>6.8027210884353704E-3</v>
      </c>
      <c r="F266" t="s">
        <v>296</v>
      </c>
    </row>
    <row r="267" spans="1:6" x14ac:dyDescent="0.2">
      <c r="A267" t="s">
        <v>35</v>
      </c>
      <c r="B267" t="s">
        <v>97</v>
      </c>
      <c r="C267">
        <v>294</v>
      </c>
      <c r="D267">
        <v>1.3460663885553901</v>
      </c>
      <c r="E267">
        <v>6.8027210884353704E-3</v>
      </c>
      <c r="F267" t="s">
        <v>296</v>
      </c>
    </row>
    <row r="268" spans="1:6" x14ac:dyDescent="0.2">
      <c r="A268" t="s">
        <v>110</v>
      </c>
      <c r="B268" t="s">
        <v>67</v>
      </c>
      <c r="C268">
        <v>294</v>
      </c>
      <c r="D268">
        <v>1.3460663885553901</v>
      </c>
      <c r="E268">
        <v>6.8027210884353704E-3</v>
      </c>
      <c r="F268" t="s">
        <v>296</v>
      </c>
    </row>
    <row r="269" spans="1:6" x14ac:dyDescent="0.2">
      <c r="A269" t="s">
        <v>35</v>
      </c>
      <c r="B269" t="s">
        <v>87</v>
      </c>
      <c r="C269">
        <v>294</v>
      </c>
      <c r="D269">
        <v>1.3460663885553901</v>
      </c>
      <c r="E269">
        <v>6.8027210884353704E-3</v>
      </c>
      <c r="F269" t="s">
        <v>296</v>
      </c>
    </row>
    <row r="270" spans="1:6" x14ac:dyDescent="0.2">
      <c r="A270" t="s">
        <v>110</v>
      </c>
      <c r="B270" t="s">
        <v>45</v>
      </c>
      <c r="C270">
        <v>294</v>
      </c>
      <c r="D270">
        <v>1.3460663885553901</v>
      </c>
      <c r="E270">
        <v>6.8027210884353704E-3</v>
      </c>
      <c r="F270" t="s">
        <v>296</v>
      </c>
    </row>
    <row r="271" spans="1:6" x14ac:dyDescent="0.2">
      <c r="A271" t="s">
        <v>32</v>
      </c>
      <c r="B271" t="s">
        <v>119</v>
      </c>
      <c r="C271">
        <v>294</v>
      </c>
      <c r="D271">
        <v>1.3460663885553901</v>
      </c>
      <c r="E271">
        <v>6.8027210884353704E-3</v>
      </c>
      <c r="F271" t="s">
        <v>296</v>
      </c>
    </row>
    <row r="272" spans="1:6" x14ac:dyDescent="0.2">
      <c r="A272" t="s">
        <v>212</v>
      </c>
      <c r="B272" t="s">
        <v>120</v>
      </c>
      <c r="C272">
        <v>294</v>
      </c>
      <c r="D272">
        <v>1.3460663885553901</v>
      </c>
      <c r="E272">
        <v>6.8027210884353704E-3</v>
      </c>
      <c r="F272" t="s">
        <v>296</v>
      </c>
    </row>
    <row r="273" spans="1:6" x14ac:dyDescent="0.2">
      <c r="A273" t="s">
        <v>45</v>
      </c>
      <c r="B273" t="s">
        <v>25</v>
      </c>
      <c r="C273">
        <v>294</v>
      </c>
      <c r="D273">
        <v>1.3460663885553901</v>
      </c>
      <c r="E273">
        <v>6.8027210884353704E-3</v>
      </c>
      <c r="F273" t="s">
        <v>296</v>
      </c>
    </row>
    <row r="274" spans="1:6" x14ac:dyDescent="0.2">
      <c r="A274" t="s">
        <v>212</v>
      </c>
      <c r="B274" t="s">
        <v>35</v>
      </c>
      <c r="C274">
        <v>294</v>
      </c>
      <c r="D274">
        <v>1.3460663885553901</v>
      </c>
      <c r="E274">
        <v>6.8027210884353704E-3</v>
      </c>
      <c r="F274" t="s">
        <v>296</v>
      </c>
    </row>
    <row r="275" spans="1:6" x14ac:dyDescent="0.2">
      <c r="A275" t="s">
        <v>212</v>
      </c>
      <c r="B275" t="s">
        <v>127</v>
      </c>
      <c r="C275">
        <v>294</v>
      </c>
      <c r="D275">
        <v>1.3460663885553901</v>
      </c>
      <c r="E275">
        <v>6.8027210884353704E-3</v>
      </c>
      <c r="F275" t="s">
        <v>296</v>
      </c>
    </row>
    <row r="276" spans="1:6" x14ac:dyDescent="0.2">
      <c r="A276" t="s">
        <v>127</v>
      </c>
      <c r="B276" t="s">
        <v>83</v>
      </c>
      <c r="C276">
        <v>294</v>
      </c>
      <c r="D276">
        <v>1.3460663885553901</v>
      </c>
      <c r="E276">
        <v>6.8027210884353704E-3</v>
      </c>
      <c r="F276" t="s">
        <v>296</v>
      </c>
    </row>
    <row r="277" spans="1:6" x14ac:dyDescent="0.2">
      <c r="A277" t="s">
        <v>119</v>
      </c>
      <c r="B277" t="s">
        <v>66</v>
      </c>
      <c r="C277">
        <v>294</v>
      </c>
      <c r="D277">
        <v>1.3460663885553901</v>
      </c>
      <c r="E277">
        <v>6.8027210884353704E-3</v>
      </c>
      <c r="F277" t="s">
        <v>296</v>
      </c>
    </row>
    <row r="278" spans="1:6" x14ac:dyDescent="0.2">
      <c r="A278" t="s">
        <v>187</v>
      </c>
      <c r="B278" t="s">
        <v>76</v>
      </c>
      <c r="C278">
        <v>294</v>
      </c>
      <c r="D278">
        <v>1.3460663885553901</v>
      </c>
      <c r="E278">
        <v>6.8027210884353704E-3</v>
      </c>
      <c r="F278" t="s">
        <v>296</v>
      </c>
    </row>
    <row r="279" spans="1:6" x14ac:dyDescent="0.2">
      <c r="A279" t="s">
        <v>127</v>
      </c>
      <c r="B279" t="s">
        <v>97</v>
      </c>
      <c r="C279">
        <v>294</v>
      </c>
      <c r="D279">
        <v>1.3460663885553901</v>
      </c>
      <c r="E279">
        <v>6.8027210884353704E-3</v>
      </c>
      <c r="F279" t="s">
        <v>296</v>
      </c>
    </row>
    <row r="280" spans="1:6" x14ac:dyDescent="0.2">
      <c r="A280" t="s">
        <v>186</v>
      </c>
      <c r="B280" t="s">
        <v>119</v>
      </c>
      <c r="C280">
        <v>294</v>
      </c>
      <c r="D280">
        <v>1.3460663885553901</v>
      </c>
      <c r="E280">
        <v>6.8027210884353704E-3</v>
      </c>
      <c r="F280" t="s">
        <v>296</v>
      </c>
    </row>
    <row r="281" spans="1:6" x14ac:dyDescent="0.2">
      <c r="A281" t="s">
        <v>76</v>
      </c>
      <c r="B281" t="s">
        <v>50</v>
      </c>
      <c r="C281">
        <v>294</v>
      </c>
      <c r="D281">
        <v>1.3460663885553901</v>
      </c>
      <c r="E281">
        <v>6.8027210884353704E-3</v>
      </c>
      <c r="F281" t="s">
        <v>296</v>
      </c>
    </row>
    <row r="282" spans="1:6" x14ac:dyDescent="0.2">
      <c r="A282" t="s">
        <v>57</v>
      </c>
      <c r="B282" t="s">
        <v>50</v>
      </c>
      <c r="C282">
        <v>294</v>
      </c>
      <c r="D282">
        <v>1.3460663885553901</v>
      </c>
      <c r="E282">
        <v>6.8027210884353704E-3</v>
      </c>
      <c r="F282" t="s">
        <v>296</v>
      </c>
    </row>
    <row r="283" spans="1:6" x14ac:dyDescent="0.2">
      <c r="A283" t="s">
        <v>98</v>
      </c>
      <c r="B283" t="s">
        <v>45</v>
      </c>
      <c r="C283">
        <v>294</v>
      </c>
      <c r="D283">
        <v>1.3460663885553901</v>
      </c>
      <c r="E283">
        <v>6.8027210884353704E-3</v>
      </c>
      <c r="F283" t="s">
        <v>296</v>
      </c>
    </row>
    <row r="284" spans="1:6" x14ac:dyDescent="0.2">
      <c r="A284" t="s">
        <v>127</v>
      </c>
      <c r="B284" t="s">
        <v>68</v>
      </c>
      <c r="C284">
        <v>294</v>
      </c>
      <c r="D284">
        <v>1.3460663885553901</v>
      </c>
      <c r="E284">
        <v>6.8027210884353704E-3</v>
      </c>
      <c r="F284" t="s">
        <v>296</v>
      </c>
    </row>
    <row r="285" spans="1:6" x14ac:dyDescent="0.2">
      <c r="A285" t="s">
        <v>127</v>
      </c>
      <c r="B285" t="s">
        <v>75</v>
      </c>
      <c r="C285">
        <v>294</v>
      </c>
      <c r="D285">
        <v>1.3460663885553901</v>
      </c>
      <c r="E285">
        <v>6.8027210884353704E-3</v>
      </c>
      <c r="F285" t="s">
        <v>296</v>
      </c>
    </row>
    <row r="286" spans="1:6" x14ac:dyDescent="0.2">
      <c r="A286" t="s">
        <v>35</v>
      </c>
      <c r="B286" t="s">
        <v>118</v>
      </c>
      <c r="C286">
        <v>294</v>
      </c>
      <c r="D286">
        <v>1.3460663885553901</v>
      </c>
      <c r="E286">
        <v>6.8027210884353704E-3</v>
      </c>
      <c r="F286" t="s">
        <v>296</v>
      </c>
    </row>
    <row r="287" spans="1:6" x14ac:dyDescent="0.2">
      <c r="A287" t="s">
        <v>186</v>
      </c>
      <c r="B287" t="s">
        <v>83</v>
      </c>
      <c r="C287">
        <v>294</v>
      </c>
      <c r="D287">
        <v>1.3460663885553901</v>
      </c>
      <c r="E287">
        <v>6.8027210884353704E-3</v>
      </c>
      <c r="F287" t="s">
        <v>296</v>
      </c>
    </row>
    <row r="288" spans="1:6" x14ac:dyDescent="0.2">
      <c r="A288" t="s">
        <v>118</v>
      </c>
      <c r="B288" t="s">
        <v>66</v>
      </c>
      <c r="C288">
        <v>294</v>
      </c>
      <c r="D288">
        <v>1.3460663885553901</v>
      </c>
      <c r="E288">
        <v>6.8027210884353704E-3</v>
      </c>
      <c r="F288" t="s">
        <v>296</v>
      </c>
    </row>
    <row r="289" spans="1:6" x14ac:dyDescent="0.2">
      <c r="A289" t="s">
        <v>62</v>
      </c>
      <c r="B289" t="s">
        <v>66</v>
      </c>
      <c r="C289">
        <v>294</v>
      </c>
      <c r="D289">
        <v>1.3460663885553901</v>
      </c>
      <c r="E289">
        <v>6.8027210884353704E-3</v>
      </c>
      <c r="F289" t="s">
        <v>296</v>
      </c>
    </row>
    <row r="290" spans="1:6" x14ac:dyDescent="0.2">
      <c r="A290" t="s">
        <v>91</v>
      </c>
      <c r="B290" t="s">
        <v>74</v>
      </c>
      <c r="C290">
        <v>294</v>
      </c>
      <c r="D290">
        <v>1.3460663885553901</v>
      </c>
      <c r="E290">
        <v>6.8027210884353704E-3</v>
      </c>
      <c r="F290" t="s">
        <v>296</v>
      </c>
    </row>
    <row r="291" spans="1:6" x14ac:dyDescent="0.2">
      <c r="A291" t="s">
        <v>45</v>
      </c>
      <c r="B291" t="s">
        <v>75</v>
      </c>
      <c r="C291">
        <v>294</v>
      </c>
      <c r="D291">
        <v>1.3460663885553901</v>
      </c>
      <c r="E291">
        <v>6.8027210884353704E-3</v>
      </c>
      <c r="F291" t="s">
        <v>296</v>
      </c>
    </row>
    <row r="292" spans="1:6" x14ac:dyDescent="0.2">
      <c r="A292" t="s">
        <v>98</v>
      </c>
      <c r="B292" t="s">
        <v>85</v>
      </c>
      <c r="C292">
        <v>294</v>
      </c>
      <c r="D292">
        <v>1.3460663885553901</v>
      </c>
      <c r="E292">
        <v>6.8027210884353704E-3</v>
      </c>
      <c r="F292" t="s">
        <v>296</v>
      </c>
    </row>
    <row r="293" spans="1:6" x14ac:dyDescent="0.2">
      <c r="A293" t="s">
        <v>127</v>
      </c>
      <c r="B293" t="s">
        <v>62</v>
      </c>
      <c r="C293">
        <v>294</v>
      </c>
      <c r="D293">
        <v>1.3460663885553901</v>
      </c>
      <c r="E293">
        <v>6.8027210884353704E-3</v>
      </c>
      <c r="F293" t="s">
        <v>296</v>
      </c>
    </row>
    <row r="294" spans="1:6" x14ac:dyDescent="0.2">
      <c r="A294" t="s">
        <v>45</v>
      </c>
      <c r="B294" t="s">
        <v>74</v>
      </c>
      <c r="C294">
        <v>294</v>
      </c>
      <c r="D294">
        <v>1.3460663885553901</v>
      </c>
      <c r="E294">
        <v>6.8027210884353704E-3</v>
      </c>
      <c r="F294" t="s">
        <v>296</v>
      </c>
    </row>
    <row r="295" spans="1:6" x14ac:dyDescent="0.2">
      <c r="A295" t="s">
        <v>32</v>
      </c>
      <c r="B295" t="s">
        <v>87</v>
      </c>
      <c r="C295">
        <v>294</v>
      </c>
      <c r="D295">
        <v>1.3460663885553901</v>
      </c>
      <c r="E295">
        <v>6.8027210884353704E-3</v>
      </c>
      <c r="F295" t="s">
        <v>296</v>
      </c>
    </row>
    <row r="296" spans="1:6" x14ac:dyDescent="0.2">
      <c r="A296" t="s">
        <v>50</v>
      </c>
      <c r="B296" t="s">
        <v>129</v>
      </c>
      <c r="C296">
        <v>294</v>
      </c>
      <c r="D296">
        <v>1.3460663885553901</v>
      </c>
      <c r="E296">
        <v>6.8027210884353704E-3</v>
      </c>
      <c r="F296" t="s">
        <v>296</v>
      </c>
    </row>
    <row r="297" spans="1:6" x14ac:dyDescent="0.2">
      <c r="A297" t="s">
        <v>45</v>
      </c>
      <c r="B297" t="s">
        <v>50</v>
      </c>
      <c r="C297">
        <v>294</v>
      </c>
      <c r="D297">
        <v>1.3460663885553901</v>
      </c>
      <c r="E297">
        <v>6.8027210884353704E-3</v>
      </c>
      <c r="F297" t="s">
        <v>296</v>
      </c>
    </row>
    <row r="298" spans="1:6" x14ac:dyDescent="0.2">
      <c r="A298" t="s">
        <v>35</v>
      </c>
      <c r="B298" t="s">
        <v>120</v>
      </c>
      <c r="C298">
        <v>294</v>
      </c>
      <c r="D298">
        <v>1.3460663885553901</v>
      </c>
      <c r="E298">
        <v>6.8027210884353704E-3</v>
      </c>
      <c r="F298" t="s">
        <v>296</v>
      </c>
    </row>
    <row r="299" spans="1:6" x14ac:dyDescent="0.2">
      <c r="A299" t="s">
        <v>53</v>
      </c>
      <c r="B299" t="s">
        <v>50</v>
      </c>
      <c r="C299">
        <v>294</v>
      </c>
      <c r="D299">
        <v>1.3460663885553901</v>
      </c>
      <c r="E299">
        <v>6.8027210884353704E-3</v>
      </c>
      <c r="F299" t="s">
        <v>296</v>
      </c>
    </row>
    <row r="300" spans="1:6" x14ac:dyDescent="0.2">
      <c r="A300" t="s">
        <v>67</v>
      </c>
      <c r="B300" t="s">
        <v>25</v>
      </c>
      <c r="C300">
        <v>294</v>
      </c>
      <c r="D300">
        <v>1.3460663885553901</v>
      </c>
      <c r="E300">
        <v>6.8027210884353704E-3</v>
      </c>
      <c r="F300" t="s">
        <v>296</v>
      </c>
    </row>
    <row r="301" spans="1:6" x14ac:dyDescent="0.2">
      <c r="A301" t="s">
        <v>75</v>
      </c>
      <c r="B301" t="s">
        <v>53</v>
      </c>
      <c r="C301">
        <v>294</v>
      </c>
      <c r="D301">
        <v>1.3460663885553901</v>
      </c>
      <c r="E301">
        <v>6.8027210884353704E-3</v>
      </c>
      <c r="F301" t="s">
        <v>296</v>
      </c>
    </row>
    <row r="302" spans="1:6" x14ac:dyDescent="0.2">
      <c r="A302" t="s">
        <v>53</v>
      </c>
      <c r="B302" t="s">
        <v>114</v>
      </c>
      <c r="C302">
        <v>294</v>
      </c>
      <c r="D302">
        <v>1.3460663885553901</v>
      </c>
      <c r="E302">
        <v>6.8027210884353704E-3</v>
      </c>
      <c r="F302" t="s">
        <v>296</v>
      </c>
    </row>
    <row r="303" spans="1:6" x14ac:dyDescent="0.2">
      <c r="A303" t="s">
        <v>47</v>
      </c>
      <c r="B303" t="s">
        <v>114</v>
      </c>
      <c r="C303">
        <v>294</v>
      </c>
      <c r="D303">
        <v>1.3460663885553901</v>
      </c>
      <c r="E303">
        <v>6.8027210884353704E-3</v>
      </c>
      <c r="F303" t="s">
        <v>296</v>
      </c>
    </row>
    <row r="304" spans="1:6" x14ac:dyDescent="0.2">
      <c r="A304" t="s">
        <v>114</v>
      </c>
      <c r="B304" t="s">
        <v>87</v>
      </c>
      <c r="C304">
        <v>294</v>
      </c>
      <c r="D304">
        <v>1.3460663885553901</v>
      </c>
      <c r="E304">
        <v>6.8027210884353704E-3</v>
      </c>
      <c r="F304" t="s">
        <v>296</v>
      </c>
    </row>
    <row r="305" spans="1:6" x14ac:dyDescent="0.2">
      <c r="A305" t="s">
        <v>25</v>
      </c>
      <c r="B305" t="s">
        <v>66</v>
      </c>
      <c r="C305">
        <v>294</v>
      </c>
      <c r="D305">
        <v>1.3460663885553901</v>
      </c>
      <c r="E305">
        <v>6.8027210884353704E-3</v>
      </c>
      <c r="F305" t="s">
        <v>296</v>
      </c>
    </row>
    <row r="306" spans="1:6" x14ac:dyDescent="0.2">
      <c r="A306" t="s">
        <v>83</v>
      </c>
      <c r="B306" t="s">
        <v>114</v>
      </c>
      <c r="C306">
        <v>294</v>
      </c>
      <c r="D306">
        <v>1.3460663885553901</v>
      </c>
      <c r="E306">
        <v>6.8027210884353704E-3</v>
      </c>
      <c r="F306" t="s">
        <v>296</v>
      </c>
    </row>
    <row r="307" spans="1:6" x14ac:dyDescent="0.2">
      <c r="A307" t="s">
        <v>68</v>
      </c>
      <c r="B307" t="s">
        <v>32</v>
      </c>
      <c r="C307">
        <v>294</v>
      </c>
      <c r="D307">
        <v>1.3460663885553901</v>
      </c>
      <c r="E307">
        <v>6.8027210884353704E-3</v>
      </c>
      <c r="F307" t="s">
        <v>296</v>
      </c>
    </row>
    <row r="308" spans="1:6" x14ac:dyDescent="0.2">
      <c r="A308" t="s">
        <v>98</v>
      </c>
      <c r="B308" t="s">
        <v>120</v>
      </c>
      <c r="C308">
        <v>294</v>
      </c>
      <c r="D308">
        <v>1.3460663885553901</v>
      </c>
      <c r="E308">
        <v>6.8027210884353704E-3</v>
      </c>
      <c r="F308" t="s">
        <v>296</v>
      </c>
    </row>
    <row r="309" spans="1:6" x14ac:dyDescent="0.2">
      <c r="A309" t="s">
        <v>120</v>
      </c>
      <c r="B309" t="s">
        <v>97</v>
      </c>
      <c r="C309">
        <v>294</v>
      </c>
      <c r="D309">
        <v>1.3460663885553901</v>
      </c>
      <c r="E309">
        <v>6.8027210884353704E-3</v>
      </c>
      <c r="F309" t="s">
        <v>296</v>
      </c>
    </row>
    <row r="310" spans="1:6" x14ac:dyDescent="0.2">
      <c r="A310" t="s">
        <v>50</v>
      </c>
      <c r="B310" t="s">
        <v>55</v>
      </c>
      <c r="C310">
        <v>294</v>
      </c>
      <c r="D310">
        <v>1.3460663885553901</v>
      </c>
      <c r="E310">
        <v>6.8027210884353704E-3</v>
      </c>
      <c r="F310" t="s">
        <v>296</v>
      </c>
    </row>
    <row r="311" spans="1:6" x14ac:dyDescent="0.2">
      <c r="A311" t="s">
        <v>47</v>
      </c>
      <c r="B311" t="s">
        <v>35</v>
      </c>
      <c r="C311">
        <v>294</v>
      </c>
      <c r="D311">
        <v>1.3460663885553901</v>
      </c>
      <c r="E311">
        <v>6.8027210884353704E-3</v>
      </c>
      <c r="F311" t="s">
        <v>296</v>
      </c>
    </row>
    <row r="312" spans="1:6" x14ac:dyDescent="0.2">
      <c r="A312" t="s">
        <v>110</v>
      </c>
      <c r="B312" t="s">
        <v>76</v>
      </c>
      <c r="C312">
        <v>294</v>
      </c>
      <c r="D312">
        <v>1.3460663885553901</v>
      </c>
      <c r="E312">
        <v>6.8027210884353704E-3</v>
      </c>
      <c r="F312" t="s">
        <v>296</v>
      </c>
    </row>
    <row r="313" spans="1:6" x14ac:dyDescent="0.2">
      <c r="A313" t="s">
        <v>62</v>
      </c>
      <c r="B313" t="s">
        <v>75</v>
      </c>
      <c r="C313">
        <v>294</v>
      </c>
      <c r="D313">
        <v>1.3460663885553901</v>
      </c>
      <c r="E313">
        <v>6.8027210884353704E-3</v>
      </c>
      <c r="F313" t="s">
        <v>296</v>
      </c>
    </row>
    <row r="314" spans="1:6" x14ac:dyDescent="0.2">
      <c r="A314" t="s">
        <v>50</v>
      </c>
      <c r="B314" t="s">
        <v>114</v>
      </c>
      <c r="C314">
        <v>294</v>
      </c>
      <c r="D314">
        <v>1.3460663885553901</v>
      </c>
      <c r="E314">
        <v>6.8027210884353704E-3</v>
      </c>
      <c r="F314" t="s">
        <v>296</v>
      </c>
    </row>
    <row r="315" spans="1:6" x14ac:dyDescent="0.2">
      <c r="A315" t="s">
        <v>74</v>
      </c>
      <c r="B315" t="s">
        <v>129</v>
      </c>
      <c r="C315">
        <v>294</v>
      </c>
      <c r="D315">
        <v>1.3460663885553901</v>
      </c>
      <c r="E315">
        <v>6.8027210884353704E-3</v>
      </c>
      <c r="F315" t="s">
        <v>296</v>
      </c>
    </row>
    <row r="316" spans="1:6" x14ac:dyDescent="0.2">
      <c r="A316" t="s">
        <v>110</v>
      </c>
      <c r="B316" t="s">
        <v>57</v>
      </c>
      <c r="C316">
        <v>294</v>
      </c>
      <c r="D316">
        <v>1.3460663885553901</v>
      </c>
      <c r="E316">
        <v>6.8027210884353704E-3</v>
      </c>
      <c r="F316" t="s">
        <v>296</v>
      </c>
    </row>
    <row r="317" spans="1:6" x14ac:dyDescent="0.2">
      <c r="A317" t="s">
        <v>127</v>
      </c>
      <c r="B317" t="s">
        <v>55</v>
      </c>
      <c r="C317">
        <v>294</v>
      </c>
      <c r="D317">
        <v>1.3460663885553901</v>
      </c>
      <c r="E317">
        <v>6.8027210884353704E-3</v>
      </c>
      <c r="F317" t="s">
        <v>296</v>
      </c>
    </row>
    <row r="318" spans="1:6" x14ac:dyDescent="0.2">
      <c r="A318" t="s">
        <v>187</v>
      </c>
      <c r="B318" t="s">
        <v>45</v>
      </c>
      <c r="C318">
        <v>294</v>
      </c>
      <c r="D318">
        <v>1.3460663885553901</v>
      </c>
      <c r="E318">
        <v>6.8027210884353704E-3</v>
      </c>
      <c r="F318" t="s">
        <v>296</v>
      </c>
    </row>
    <row r="319" spans="1:6" x14ac:dyDescent="0.2">
      <c r="A319" t="s">
        <v>50</v>
      </c>
      <c r="B319" t="s">
        <v>97</v>
      </c>
      <c r="C319">
        <v>294</v>
      </c>
      <c r="D319">
        <v>1.3460663885553901</v>
      </c>
      <c r="E319">
        <v>6.8027210884353704E-3</v>
      </c>
      <c r="F319" t="s">
        <v>296</v>
      </c>
    </row>
    <row r="320" spans="1:6" x14ac:dyDescent="0.2">
      <c r="A320" t="s">
        <v>127</v>
      </c>
      <c r="B320" t="s">
        <v>85</v>
      </c>
      <c r="C320">
        <v>294</v>
      </c>
      <c r="D320">
        <v>1.3460663885553901</v>
      </c>
      <c r="E320">
        <v>6.8027210884353704E-3</v>
      </c>
      <c r="F320" t="s">
        <v>296</v>
      </c>
    </row>
    <row r="321" spans="1:6" x14ac:dyDescent="0.2">
      <c r="A321" t="s">
        <v>53</v>
      </c>
      <c r="B321" t="s">
        <v>119</v>
      </c>
      <c r="C321">
        <v>294</v>
      </c>
      <c r="D321">
        <v>1.3460663885553901</v>
      </c>
      <c r="E321">
        <v>6.8027210884353704E-3</v>
      </c>
      <c r="F321" t="s">
        <v>296</v>
      </c>
    </row>
    <row r="322" spans="1:6" x14ac:dyDescent="0.2">
      <c r="A322" t="s">
        <v>98</v>
      </c>
      <c r="B322" t="s">
        <v>53</v>
      </c>
      <c r="C322">
        <v>294</v>
      </c>
      <c r="D322">
        <v>1.3460663885553901</v>
      </c>
      <c r="E322">
        <v>6.8027210884353704E-3</v>
      </c>
      <c r="F322" t="s">
        <v>296</v>
      </c>
    </row>
    <row r="323" spans="1:6" x14ac:dyDescent="0.2">
      <c r="A323" t="s">
        <v>212</v>
      </c>
      <c r="B323" t="s">
        <v>98</v>
      </c>
      <c r="C323">
        <v>294</v>
      </c>
      <c r="D323">
        <v>1.3460663885553901</v>
      </c>
      <c r="E323">
        <v>6.8027210884353704E-3</v>
      </c>
      <c r="F323" t="s">
        <v>296</v>
      </c>
    </row>
    <row r="324" spans="1:6" x14ac:dyDescent="0.2">
      <c r="A324" t="s">
        <v>47</v>
      </c>
      <c r="B324" t="s">
        <v>25</v>
      </c>
      <c r="C324">
        <v>294</v>
      </c>
      <c r="D324">
        <v>1.3460663885553901</v>
      </c>
      <c r="E324">
        <v>6.8027210884353704E-3</v>
      </c>
      <c r="F324" t="s">
        <v>296</v>
      </c>
    </row>
    <row r="325" spans="1:6" x14ac:dyDescent="0.2">
      <c r="A325" t="s">
        <v>57</v>
      </c>
      <c r="B325" t="s">
        <v>75</v>
      </c>
      <c r="C325">
        <v>294</v>
      </c>
      <c r="D325">
        <v>1.3460663885553901</v>
      </c>
      <c r="E325">
        <v>6.8027210884353704E-3</v>
      </c>
      <c r="F325" t="s">
        <v>296</v>
      </c>
    </row>
    <row r="326" spans="1:6" x14ac:dyDescent="0.2">
      <c r="A326" t="s">
        <v>76</v>
      </c>
      <c r="B326" t="s">
        <v>119</v>
      </c>
      <c r="C326">
        <v>294</v>
      </c>
      <c r="D326">
        <v>1.3460663885553901</v>
      </c>
      <c r="E326">
        <v>6.8027210884353704E-3</v>
      </c>
      <c r="F326" t="s">
        <v>296</v>
      </c>
    </row>
    <row r="327" spans="1:6" x14ac:dyDescent="0.2">
      <c r="A327" t="s">
        <v>67</v>
      </c>
      <c r="B327" t="s">
        <v>70</v>
      </c>
      <c r="C327">
        <v>294</v>
      </c>
      <c r="D327">
        <v>1.3460663885553901</v>
      </c>
      <c r="E327">
        <v>6.8027210884353704E-3</v>
      </c>
      <c r="F327" t="s">
        <v>296</v>
      </c>
    </row>
    <row r="328" spans="1:6" x14ac:dyDescent="0.2">
      <c r="A328" t="s">
        <v>57</v>
      </c>
      <c r="B328" t="s">
        <v>74</v>
      </c>
      <c r="C328">
        <v>294</v>
      </c>
      <c r="D328">
        <v>1.3460663885553901</v>
      </c>
      <c r="E328">
        <v>6.8027210884353704E-3</v>
      </c>
      <c r="F328" t="s">
        <v>296</v>
      </c>
    </row>
    <row r="329" spans="1:6" x14ac:dyDescent="0.2">
      <c r="A329" t="s">
        <v>212</v>
      </c>
      <c r="B329" t="s">
        <v>45</v>
      </c>
      <c r="C329">
        <v>294</v>
      </c>
      <c r="D329">
        <v>1.3460663885553901</v>
      </c>
      <c r="E329">
        <v>6.8027210884353704E-3</v>
      </c>
      <c r="F329" t="s">
        <v>296</v>
      </c>
    </row>
    <row r="330" spans="1:6" x14ac:dyDescent="0.2">
      <c r="A330" t="s">
        <v>53</v>
      </c>
      <c r="B330" t="s">
        <v>74</v>
      </c>
      <c r="C330">
        <v>294</v>
      </c>
      <c r="D330">
        <v>1.3460663885553901</v>
      </c>
      <c r="E330">
        <v>6.8027210884353704E-3</v>
      </c>
      <c r="F330" t="s">
        <v>296</v>
      </c>
    </row>
    <row r="331" spans="1:6" x14ac:dyDescent="0.2">
      <c r="A331" t="s">
        <v>32</v>
      </c>
      <c r="B331" t="s">
        <v>114</v>
      </c>
      <c r="C331">
        <v>294</v>
      </c>
      <c r="D331">
        <v>1.3460663885553901</v>
      </c>
      <c r="E331">
        <v>6.8027210884353704E-3</v>
      </c>
      <c r="F331" t="s">
        <v>296</v>
      </c>
    </row>
    <row r="332" spans="1:6" x14ac:dyDescent="0.2">
      <c r="A332" t="s">
        <v>47</v>
      </c>
      <c r="B332" t="s">
        <v>53</v>
      </c>
      <c r="C332">
        <v>294</v>
      </c>
      <c r="D332">
        <v>1.3460663885553901</v>
      </c>
      <c r="E332">
        <v>6.8027210884353704E-3</v>
      </c>
      <c r="F332" t="s">
        <v>296</v>
      </c>
    </row>
    <row r="333" spans="1:6" x14ac:dyDescent="0.2">
      <c r="A333" t="s">
        <v>98</v>
      </c>
      <c r="B333" t="s">
        <v>35</v>
      </c>
      <c r="C333">
        <v>294</v>
      </c>
      <c r="D333">
        <v>1.3460663885553901</v>
      </c>
      <c r="E333">
        <v>6.8027210884353704E-3</v>
      </c>
      <c r="F333" t="s">
        <v>296</v>
      </c>
    </row>
    <row r="334" spans="1:6" x14ac:dyDescent="0.2">
      <c r="A334" t="s">
        <v>87</v>
      </c>
      <c r="B334" t="s">
        <v>97</v>
      </c>
      <c r="C334">
        <v>294</v>
      </c>
      <c r="D334">
        <v>1.3460663885553901</v>
      </c>
      <c r="E334">
        <v>6.8027210884353704E-3</v>
      </c>
      <c r="F334" t="s">
        <v>296</v>
      </c>
    </row>
    <row r="335" spans="1:6" x14ac:dyDescent="0.2">
      <c r="A335" t="s">
        <v>110</v>
      </c>
      <c r="B335" t="s">
        <v>32</v>
      </c>
      <c r="C335">
        <v>294</v>
      </c>
      <c r="D335">
        <v>1.3460663885553901</v>
      </c>
      <c r="E335">
        <v>6.8027210884353704E-3</v>
      </c>
      <c r="F335" t="s">
        <v>296</v>
      </c>
    </row>
    <row r="336" spans="1:6" x14ac:dyDescent="0.2">
      <c r="A336" t="s">
        <v>68</v>
      </c>
      <c r="B336" t="s">
        <v>74</v>
      </c>
      <c r="C336">
        <v>294</v>
      </c>
      <c r="D336">
        <v>1.3460663885553901</v>
      </c>
      <c r="E336">
        <v>6.8027210884353704E-3</v>
      </c>
      <c r="F336" t="s">
        <v>296</v>
      </c>
    </row>
    <row r="337" spans="1:6" x14ac:dyDescent="0.2">
      <c r="A337" t="s">
        <v>187</v>
      </c>
      <c r="B337" t="s">
        <v>114</v>
      </c>
      <c r="C337">
        <v>294</v>
      </c>
      <c r="D337">
        <v>1.3460663885553901</v>
      </c>
      <c r="E337">
        <v>6.8027210884353704E-3</v>
      </c>
      <c r="F337" t="s">
        <v>296</v>
      </c>
    </row>
    <row r="338" spans="1:6" x14ac:dyDescent="0.2">
      <c r="A338" t="s">
        <v>45</v>
      </c>
      <c r="B338" t="s">
        <v>129</v>
      </c>
      <c r="C338">
        <v>294</v>
      </c>
      <c r="D338">
        <v>1.3460663885553901</v>
      </c>
      <c r="E338">
        <v>6.8027210884353704E-3</v>
      </c>
      <c r="F338" t="s">
        <v>296</v>
      </c>
    </row>
    <row r="339" spans="1:6" x14ac:dyDescent="0.2">
      <c r="A339" t="s">
        <v>47</v>
      </c>
      <c r="B339" t="s">
        <v>45</v>
      </c>
      <c r="C339">
        <v>294</v>
      </c>
      <c r="D339">
        <v>1.3460663885553901</v>
      </c>
      <c r="E339">
        <v>6.8027210884353704E-3</v>
      </c>
      <c r="F339" t="s">
        <v>296</v>
      </c>
    </row>
    <row r="340" spans="1:6" x14ac:dyDescent="0.2">
      <c r="A340" t="s">
        <v>32</v>
      </c>
      <c r="B340" t="s">
        <v>97</v>
      </c>
      <c r="C340">
        <v>294</v>
      </c>
      <c r="D340">
        <v>1.3460663885553901</v>
      </c>
      <c r="E340">
        <v>6.8027210884353704E-3</v>
      </c>
      <c r="F340" t="s">
        <v>296</v>
      </c>
    </row>
    <row r="341" spans="1:6" x14ac:dyDescent="0.2">
      <c r="A341" t="s">
        <v>212</v>
      </c>
      <c r="B341" t="s">
        <v>62</v>
      </c>
      <c r="C341">
        <v>294</v>
      </c>
      <c r="D341">
        <v>1.3460663885553901</v>
      </c>
      <c r="E341">
        <v>6.8027210884353704E-3</v>
      </c>
      <c r="F341" t="s">
        <v>296</v>
      </c>
    </row>
    <row r="342" spans="1:6" x14ac:dyDescent="0.2">
      <c r="A342" t="s">
        <v>187</v>
      </c>
      <c r="B342" t="s">
        <v>62</v>
      </c>
      <c r="C342">
        <v>294</v>
      </c>
      <c r="D342">
        <v>1.3460663885553901</v>
      </c>
      <c r="E342">
        <v>6.8027210884353704E-3</v>
      </c>
      <c r="F342" t="s">
        <v>296</v>
      </c>
    </row>
    <row r="343" spans="1:6" x14ac:dyDescent="0.2">
      <c r="A343" t="s">
        <v>53</v>
      </c>
      <c r="B343" t="s">
        <v>87</v>
      </c>
      <c r="C343">
        <v>294</v>
      </c>
      <c r="D343">
        <v>1.3460663885553901</v>
      </c>
      <c r="E343">
        <v>6.8027210884353704E-3</v>
      </c>
      <c r="F343" t="s">
        <v>296</v>
      </c>
    </row>
    <row r="344" spans="1:6" x14ac:dyDescent="0.2">
      <c r="A344" t="s">
        <v>62</v>
      </c>
      <c r="B344" t="s">
        <v>83</v>
      </c>
      <c r="C344">
        <v>294</v>
      </c>
      <c r="D344">
        <v>1.3460663885553901</v>
      </c>
      <c r="E344">
        <v>6.8027210884353704E-3</v>
      </c>
      <c r="F344" t="s">
        <v>296</v>
      </c>
    </row>
    <row r="345" spans="1:6" x14ac:dyDescent="0.2">
      <c r="A345" t="s">
        <v>57</v>
      </c>
      <c r="B345" t="s">
        <v>66</v>
      </c>
      <c r="C345">
        <v>294</v>
      </c>
      <c r="D345">
        <v>1.3460663885553901</v>
      </c>
      <c r="E345">
        <v>6.8027210884353704E-3</v>
      </c>
      <c r="F345" t="s">
        <v>296</v>
      </c>
    </row>
    <row r="346" spans="1:6" x14ac:dyDescent="0.2">
      <c r="A346" t="s">
        <v>45</v>
      </c>
      <c r="B346" t="s">
        <v>87</v>
      </c>
      <c r="C346">
        <v>294</v>
      </c>
      <c r="D346">
        <v>1.3460663885553901</v>
      </c>
      <c r="E346">
        <v>6.8027210884353704E-3</v>
      </c>
      <c r="F346" t="s">
        <v>296</v>
      </c>
    </row>
    <row r="347" spans="1:6" x14ac:dyDescent="0.2">
      <c r="A347" t="s">
        <v>75</v>
      </c>
      <c r="B347" t="s">
        <v>87</v>
      </c>
      <c r="C347">
        <v>294</v>
      </c>
      <c r="D347">
        <v>1.3460663885553901</v>
      </c>
      <c r="E347">
        <v>6.8027210884353704E-3</v>
      </c>
      <c r="F347" t="s">
        <v>296</v>
      </c>
    </row>
    <row r="348" spans="1:6" x14ac:dyDescent="0.2">
      <c r="A348" t="s">
        <v>62</v>
      </c>
      <c r="B348" t="s">
        <v>114</v>
      </c>
      <c r="C348">
        <v>294</v>
      </c>
      <c r="D348">
        <v>1.3460663885553901</v>
      </c>
      <c r="E348">
        <v>6.8027210884353704E-3</v>
      </c>
      <c r="F348" t="s">
        <v>296</v>
      </c>
    </row>
    <row r="349" spans="1:6" x14ac:dyDescent="0.2">
      <c r="A349" t="s">
        <v>67</v>
      </c>
      <c r="B349" t="s">
        <v>50</v>
      </c>
      <c r="C349">
        <v>294</v>
      </c>
      <c r="D349">
        <v>1.3460663885553901</v>
      </c>
      <c r="E349">
        <v>6.8027210884353704E-3</v>
      </c>
      <c r="F349" t="s">
        <v>296</v>
      </c>
    </row>
    <row r="350" spans="1:6" x14ac:dyDescent="0.2">
      <c r="A350" t="s">
        <v>68</v>
      </c>
      <c r="B350" t="s">
        <v>186</v>
      </c>
      <c r="C350">
        <v>294</v>
      </c>
      <c r="D350">
        <v>1.3460663885553901</v>
      </c>
      <c r="E350">
        <v>6.8027210884353704E-3</v>
      </c>
      <c r="F350" t="s">
        <v>296</v>
      </c>
    </row>
    <row r="351" spans="1:6" x14ac:dyDescent="0.2">
      <c r="A351" t="s">
        <v>68</v>
      </c>
      <c r="B351" t="s">
        <v>75</v>
      </c>
      <c r="C351">
        <v>294</v>
      </c>
      <c r="D351">
        <v>1.3460663885553901</v>
      </c>
      <c r="E351">
        <v>6.8027210884353704E-3</v>
      </c>
      <c r="F351" t="s">
        <v>296</v>
      </c>
    </row>
    <row r="352" spans="1:6" x14ac:dyDescent="0.2">
      <c r="A352" t="s">
        <v>57</v>
      </c>
      <c r="B352" t="s">
        <v>114</v>
      </c>
      <c r="C352">
        <v>294</v>
      </c>
      <c r="D352">
        <v>1.3460663885553901</v>
      </c>
      <c r="E352">
        <v>6.8027210884353704E-3</v>
      </c>
      <c r="F352" t="s">
        <v>296</v>
      </c>
    </row>
    <row r="353" spans="1:6" x14ac:dyDescent="0.2">
      <c r="A353" t="s">
        <v>74</v>
      </c>
      <c r="B353" t="s">
        <v>186</v>
      </c>
      <c r="C353">
        <v>294</v>
      </c>
      <c r="D353">
        <v>1.3460663885553901</v>
      </c>
      <c r="E353">
        <v>6.8027210884353704E-3</v>
      </c>
      <c r="F353" t="s">
        <v>296</v>
      </c>
    </row>
    <row r="354" spans="1:6" x14ac:dyDescent="0.2">
      <c r="A354" t="s">
        <v>47</v>
      </c>
      <c r="B354" t="s">
        <v>32</v>
      </c>
      <c r="C354">
        <v>294</v>
      </c>
      <c r="D354">
        <v>1.3460663885553901</v>
      </c>
      <c r="E354">
        <v>6.8027210884353704E-3</v>
      </c>
      <c r="F354" t="s">
        <v>296</v>
      </c>
    </row>
    <row r="355" spans="1:6" x14ac:dyDescent="0.2">
      <c r="A355" t="s">
        <v>91</v>
      </c>
      <c r="B355" t="s">
        <v>66</v>
      </c>
      <c r="C355">
        <v>294</v>
      </c>
      <c r="D355">
        <v>1.3460663885553901</v>
      </c>
      <c r="E355">
        <v>6.8027210884353704E-3</v>
      </c>
      <c r="F355" t="s">
        <v>296</v>
      </c>
    </row>
    <row r="356" spans="1:6" x14ac:dyDescent="0.2">
      <c r="A356" t="s">
        <v>76</v>
      </c>
      <c r="B356" t="s">
        <v>83</v>
      </c>
      <c r="C356">
        <v>294</v>
      </c>
      <c r="D356">
        <v>1.3460663885553901</v>
      </c>
      <c r="E356">
        <v>6.8027210884353704E-3</v>
      </c>
      <c r="F356" t="s">
        <v>296</v>
      </c>
    </row>
    <row r="357" spans="1:6" x14ac:dyDescent="0.2">
      <c r="A357" t="s">
        <v>187</v>
      </c>
      <c r="B357" t="s">
        <v>50</v>
      </c>
      <c r="C357">
        <v>294</v>
      </c>
      <c r="D357">
        <v>1.3460663885553901</v>
      </c>
      <c r="E357">
        <v>6.8027210884353704E-3</v>
      </c>
      <c r="F357" t="s">
        <v>296</v>
      </c>
    </row>
    <row r="358" spans="1:6" x14ac:dyDescent="0.2">
      <c r="A358" t="s">
        <v>127</v>
      </c>
      <c r="B358" t="s">
        <v>119</v>
      </c>
      <c r="C358">
        <v>294</v>
      </c>
      <c r="D358">
        <v>1.3460663885553901</v>
      </c>
      <c r="E358">
        <v>6.8027210884353704E-3</v>
      </c>
      <c r="F358" t="s">
        <v>296</v>
      </c>
    </row>
    <row r="359" spans="1:6" x14ac:dyDescent="0.2">
      <c r="A359" t="s">
        <v>67</v>
      </c>
      <c r="B359" t="s">
        <v>66</v>
      </c>
      <c r="C359">
        <v>294</v>
      </c>
      <c r="D359">
        <v>1.3460663885553901</v>
      </c>
      <c r="E359">
        <v>6.8027210884353704E-3</v>
      </c>
      <c r="F359" t="s">
        <v>296</v>
      </c>
    </row>
    <row r="360" spans="1:6" x14ac:dyDescent="0.2">
      <c r="A360" t="s">
        <v>75</v>
      </c>
      <c r="B360" t="s">
        <v>119</v>
      </c>
      <c r="C360">
        <v>294</v>
      </c>
      <c r="D360">
        <v>1.3460663885553901</v>
      </c>
      <c r="E360">
        <v>6.8027210884353704E-3</v>
      </c>
      <c r="F360" t="s">
        <v>296</v>
      </c>
    </row>
    <row r="361" spans="1:6" x14ac:dyDescent="0.2">
      <c r="A361" t="s">
        <v>25</v>
      </c>
      <c r="B361" t="s">
        <v>120</v>
      </c>
      <c r="C361">
        <v>294</v>
      </c>
      <c r="D361">
        <v>1.3460663885553901</v>
      </c>
      <c r="E361">
        <v>6.8027210884353704E-3</v>
      </c>
      <c r="F361" t="s">
        <v>296</v>
      </c>
    </row>
    <row r="362" spans="1:6" x14ac:dyDescent="0.2">
      <c r="A362" t="s">
        <v>212</v>
      </c>
      <c r="B362" t="s">
        <v>118</v>
      </c>
      <c r="C362">
        <v>294</v>
      </c>
      <c r="D362">
        <v>1.3460663885553901</v>
      </c>
      <c r="E362">
        <v>6.8027210884353704E-3</v>
      </c>
      <c r="F362" t="s">
        <v>296</v>
      </c>
    </row>
    <row r="363" spans="1:6" x14ac:dyDescent="0.2">
      <c r="A363" t="s">
        <v>187</v>
      </c>
      <c r="B363" t="s">
        <v>83</v>
      </c>
      <c r="C363">
        <v>294</v>
      </c>
      <c r="D363">
        <v>1.3460663885553901</v>
      </c>
      <c r="E363">
        <v>6.8027210884353704E-3</v>
      </c>
      <c r="F363" t="s">
        <v>296</v>
      </c>
    </row>
    <row r="364" spans="1:6" x14ac:dyDescent="0.2">
      <c r="A364" t="s">
        <v>186</v>
      </c>
      <c r="B364" t="s">
        <v>129</v>
      </c>
      <c r="C364">
        <v>294</v>
      </c>
      <c r="D364">
        <v>1.3460663885553901</v>
      </c>
      <c r="E364">
        <v>6.8027210884353704E-3</v>
      </c>
      <c r="F364" t="s">
        <v>296</v>
      </c>
    </row>
    <row r="365" spans="1:6" x14ac:dyDescent="0.2">
      <c r="A365" t="s">
        <v>212</v>
      </c>
      <c r="B365" t="s">
        <v>110</v>
      </c>
      <c r="C365">
        <v>294</v>
      </c>
      <c r="D365">
        <v>1.3460663885553901</v>
      </c>
      <c r="E365">
        <v>6.8027210884353704E-3</v>
      </c>
      <c r="F365" t="s">
        <v>296</v>
      </c>
    </row>
    <row r="366" spans="1:6" x14ac:dyDescent="0.2">
      <c r="A366" t="s">
        <v>53</v>
      </c>
      <c r="B366" t="s">
        <v>25</v>
      </c>
      <c r="C366">
        <v>294</v>
      </c>
      <c r="D366">
        <v>1.3460663885553901</v>
      </c>
      <c r="E366">
        <v>6.8027210884353704E-3</v>
      </c>
      <c r="F366" t="s">
        <v>296</v>
      </c>
    </row>
    <row r="367" spans="1:6" x14ac:dyDescent="0.2">
      <c r="A367" t="s">
        <v>127</v>
      </c>
      <c r="B367" t="s">
        <v>91</v>
      </c>
      <c r="C367">
        <v>294</v>
      </c>
      <c r="D367">
        <v>1.3460663885553901</v>
      </c>
      <c r="E367">
        <v>6.8027210884353704E-3</v>
      </c>
      <c r="F367" t="s">
        <v>296</v>
      </c>
    </row>
    <row r="368" spans="1:6" x14ac:dyDescent="0.2">
      <c r="A368" t="s">
        <v>212</v>
      </c>
      <c r="B368" t="s">
        <v>76</v>
      </c>
      <c r="C368">
        <v>294</v>
      </c>
      <c r="D368">
        <v>1.3460663885553901</v>
      </c>
      <c r="E368">
        <v>6.8027210884353704E-3</v>
      </c>
      <c r="F368" t="s">
        <v>296</v>
      </c>
    </row>
    <row r="369" spans="1:6" x14ac:dyDescent="0.2">
      <c r="A369" t="s">
        <v>50</v>
      </c>
      <c r="B369" t="s">
        <v>120</v>
      </c>
      <c r="C369">
        <v>294</v>
      </c>
      <c r="D369">
        <v>1.3460663885553901</v>
      </c>
      <c r="E369">
        <v>6.8027210884353704E-3</v>
      </c>
      <c r="F369" t="s">
        <v>296</v>
      </c>
    </row>
    <row r="370" spans="1:6" x14ac:dyDescent="0.2">
      <c r="A370" t="s">
        <v>110</v>
      </c>
      <c r="B370" t="s">
        <v>129</v>
      </c>
      <c r="C370">
        <v>294</v>
      </c>
      <c r="D370">
        <v>1.3460663885553901</v>
      </c>
      <c r="E370">
        <v>6.8027210884353704E-3</v>
      </c>
      <c r="F370" t="s">
        <v>296</v>
      </c>
    </row>
    <row r="371" spans="1:6" x14ac:dyDescent="0.2">
      <c r="A371" t="s">
        <v>32</v>
      </c>
      <c r="B371" t="s">
        <v>76</v>
      </c>
      <c r="C371">
        <v>294</v>
      </c>
      <c r="D371">
        <v>1.3460663885553901</v>
      </c>
      <c r="E371">
        <v>6.8027210884353704E-3</v>
      </c>
      <c r="F371" t="s">
        <v>296</v>
      </c>
    </row>
    <row r="372" spans="1:6" x14ac:dyDescent="0.2">
      <c r="A372" t="s">
        <v>74</v>
      </c>
      <c r="B372" t="s">
        <v>55</v>
      </c>
      <c r="C372">
        <v>294</v>
      </c>
      <c r="D372">
        <v>1.3460663885553901</v>
      </c>
      <c r="E372">
        <v>6.8027210884353704E-3</v>
      </c>
      <c r="F372" t="s">
        <v>296</v>
      </c>
    </row>
    <row r="373" spans="1:6" x14ac:dyDescent="0.2">
      <c r="A373" t="s">
        <v>76</v>
      </c>
      <c r="B373" t="s">
        <v>87</v>
      </c>
      <c r="C373">
        <v>294</v>
      </c>
      <c r="D373">
        <v>1.3460663885553901</v>
      </c>
      <c r="E373">
        <v>6.8027210884353704E-3</v>
      </c>
      <c r="F373" t="s">
        <v>296</v>
      </c>
    </row>
    <row r="374" spans="1:6" x14ac:dyDescent="0.2">
      <c r="A374" t="s">
        <v>118</v>
      </c>
      <c r="B374" t="s">
        <v>74</v>
      </c>
      <c r="C374">
        <v>294</v>
      </c>
      <c r="D374">
        <v>1.3460663885553901</v>
      </c>
      <c r="E374">
        <v>6.8027210884353704E-3</v>
      </c>
      <c r="F374" t="s">
        <v>296</v>
      </c>
    </row>
    <row r="375" spans="1:6" x14ac:dyDescent="0.2">
      <c r="A375" t="s">
        <v>35</v>
      </c>
      <c r="B375" t="s">
        <v>129</v>
      </c>
      <c r="C375">
        <v>294</v>
      </c>
      <c r="D375">
        <v>1.3460663885553901</v>
      </c>
      <c r="E375">
        <v>6.8027210884353704E-3</v>
      </c>
      <c r="F375" t="s">
        <v>296</v>
      </c>
    </row>
    <row r="376" spans="1:6" x14ac:dyDescent="0.2">
      <c r="A376" t="s">
        <v>74</v>
      </c>
      <c r="B376" t="s">
        <v>114</v>
      </c>
      <c r="C376">
        <v>294</v>
      </c>
      <c r="D376">
        <v>1.3460663885553901</v>
      </c>
      <c r="E376">
        <v>6.8027210884353704E-3</v>
      </c>
      <c r="F376" t="s">
        <v>296</v>
      </c>
    </row>
    <row r="377" spans="1:6" x14ac:dyDescent="0.2">
      <c r="A377" t="s">
        <v>67</v>
      </c>
      <c r="B377" t="s">
        <v>87</v>
      </c>
      <c r="C377">
        <v>294</v>
      </c>
      <c r="D377">
        <v>1.3460663885553901</v>
      </c>
      <c r="E377">
        <v>6.8027210884353704E-3</v>
      </c>
      <c r="F377" t="s">
        <v>296</v>
      </c>
    </row>
    <row r="378" spans="1:6" x14ac:dyDescent="0.2">
      <c r="A378" t="s">
        <v>55</v>
      </c>
      <c r="B378" t="s">
        <v>119</v>
      </c>
      <c r="C378">
        <v>294</v>
      </c>
      <c r="D378">
        <v>1.3460663885553901</v>
      </c>
      <c r="E378">
        <v>6.8027210884353704E-3</v>
      </c>
      <c r="F378" t="s">
        <v>296</v>
      </c>
    </row>
    <row r="379" spans="1:6" x14ac:dyDescent="0.2">
      <c r="A379" t="s">
        <v>47</v>
      </c>
      <c r="B379" t="s">
        <v>91</v>
      </c>
      <c r="C379">
        <v>294</v>
      </c>
      <c r="D379">
        <v>1.3460663885553901</v>
      </c>
      <c r="E379">
        <v>6.8027210884353704E-3</v>
      </c>
      <c r="F379" t="s">
        <v>296</v>
      </c>
    </row>
    <row r="380" spans="1:6" x14ac:dyDescent="0.2">
      <c r="A380" t="s">
        <v>45</v>
      </c>
      <c r="B380" t="s">
        <v>85</v>
      </c>
      <c r="C380">
        <v>294</v>
      </c>
      <c r="D380">
        <v>1.3460663885553901</v>
      </c>
      <c r="E380">
        <v>6.8027210884353704E-3</v>
      </c>
      <c r="F380" t="s">
        <v>296</v>
      </c>
    </row>
    <row r="381" spans="1:6" x14ac:dyDescent="0.2">
      <c r="A381" t="s">
        <v>127</v>
      </c>
      <c r="B381" t="s">
        <v>120</v>
      </c>
      <c r="C381">
        <v>294</v>
      </c>
      <c r="D381">
        <v>1.3460663885553901</v>
      </c>
      <c r="E381">
        <v>6.8027210884353704E-3</v>
      </c>
      <c r="F381" t="s">
        <v>296</v>
      </c>
    </row>
    <row r="382" spans="1:6" x14ac:dyDescent="0.2">
      <c r="A382" t="s">
        <v>35</v>
      </c>
      <c r="B382" t="s">
        <v>25</v>
      </c>
      <c r="C382">
        <v>294</v>
      </c>
      <c r="D382">
        <v>1.3460663885553901</v>
      </c>
      <c r="E382">
        <v>6.8027210884353704E-3</v>
      </c>
      <c r="F382" t="s">
        <v>296</v>
      </c>
    </row>
    <row r="383" spans="1:6" x14ac:dyDescent="0.2">
      <c r="A383" t="s">
        <v>32</v>
      </c>
      <c r="B383" t="s">
        <v>53</v>
      </c>
      <c r="C383">
        <v>294</v>
      </c>
      <c r="D383">
        <v>1.3460663885553901</v>
      </c>
      <c r="E383">
        <v>6.8027210884353704E-3</v>
      </c>
      <c r="F383" t="s">
        <v>296</v>
      </c>
    </row>
    <row r="384" spans="1:6" x14ac:dyDescent="0.2">
      <c r="A384" t="s">
        <v>55</v>
      </c>
      <c r="B384" t="s">
        <v>25</v>
      </c>
      <c r="C384">
        <v>294</v>
      </c>
      <c r="D384">
        <v>1.3460663885553901</v>
      </c>
      <c r="E384">
        <v>6.8027210884353704E-3</v>
      </c>
      <c r="F384" t="s">
        <v>296</v>
      </c>
    </row>
    <row r="385" spans="1:6" x14ac:dyDescent="0.2">
      <c r="A385" t="s">
        <v>127</v>
      </c>
      <c r="B385" t="s">
        <v>47</v>
      </c>
      <c r="C385">
        <v>294</v>
      </c>
      <c r="D385">
        <v>1.3460663885553901</v>
      </c>
      <c r="E385">
        <v>6.8027210884353704E-3</v>
      </c>
      <c r="F385" t="s">
        <v>296</v>
      </c>
    </row>
    <row r="386" spans="1:6" x14ac:dyDescent="0.2">
      <c r="A386" t="s">
        <v>118</v>
      </c>
      <c r="B386" t="s">
        <v>25</v>
      </c>
      <c r="C386">
        <v>294</v>
      </c>
      <c r="D386">
        <v>1.3460663885553901</v>
      </c>
      <c r="E386">
        <v>6.8027210884353704E-3</v>
      </c>
      <c r="F386" t="s">
        <v>296</v>
      </c>
    </row>
    <row r="387" spans="1:6" x14ac:dyDescent="0.2">
      <c r="A387" t="s">
        <v>187</v>
      </c>
      <c r="B387" t="s">
        <v>186</v>
      </c>
      <c r="C387">
        <v>294</v>
      </c>
      <c r="D387">
        <v>1.3460663885553901</v>
      </c>
      <c r="E387">
        <v>6.8027210884353704E-3</v>
      </c>
      <c r="F387" t="s">
        <v>296</v>
      </c>
    </row>
    <row r="388" spans="1:6" x14ac:dyDescent="0.2">
      <c r="A388" t="s">
        <v>186</v>
      </c>
      <c r="B388" t="s">
        <v>120</v>
      </c>
      <c r="C388">
        <v>294</v>
      </c>
      <c r="D388">
        <v>1.3460663885553901</v>
      </c>
      <c r="E388">
        <v>6.8027210884353704E-3</v>
      </c>
      <c r="F388" t="s">
        <v>296</v>
      </c>
    </row>
    <row r="389" spans="1:6" x14ac:dyDescent="0.2">
      <c r="A389" t="s">
        <v>68</v>
      </c>
      <c r="B389" t="s">
        <v>97</v>
      </c>
      <c r="C389">
        <v>294</v>
      </c>
      <c r="D389">
        <v>1.3460663885553901</v>
      </c>
      <c r="E389">
        <v>6.8027210884353704E-3</v>
      </c>
      <c r="F389" t="s">
        <v>296</v>
      </c>
    </row>
    <row r="390" spans="1:6" x14ac:dyDescent="0.2">
      <c r="A390" t="s">
        <v>32</v>
      </c>
      <c r="B390" t="s">
        <v>83</v>
      </c>
      <c r="C390">
        <v>294</v>
      </c>
      <c r="D390">
        <v>1.3460663885553901</v>
      </c>
      <c r="E390">
        <v>6.8027210884353704E-3</v>
      </c>
      <c r="F390" t="s">
        <v>296</v>
      </c>
    </row>
    <row r="391" spans="1:6" x14ac:dyDescent="0.2">
      <c r="A391" t="s">
        <v>83</v>
      </c>
      <c r="B391" t="s">
        <v>66</v>
      </c>
      <c r="C391">
        <v>294</v>
      </c>
      <c r="D391">
        <v>1.3460663885553901</v>
      </c>
      <c r="E391">
        <v>6.8027210884353704E-3</v>
      </c>
      <c r="F391" t="s">
        <v>296</v>
      </c>
    </row>
    <row r="392" spans="1:6" x14ac:dyDescent="0.2">
      <c r="A392" t="s">
        <v>212</v>
      </c>
      <c r="B392" t="s">
        <v>47</v>
      </c>
      <c r="C392">
        <v>294</v>
      </c>
      <c r="D392">
        <v>1.3460663885553901</v>
      </c>
      <c r="E392">
        <v>6.8027210884353704E-3</v>
      </c>
      <c r="F392" t="s">
        <v>296</v>
      </c>
    </row>
    <row r="393" spans="1:6" x14ac:dyDescent="0.2">
      <c r="A393" t="s">
        <v>212</v>
      </c>
      <c r="B393" t="s">
        <v>186</v>
      </c>
      <c r="C393">
        <v>294</v>
      </c>
      <c r="D393">
        <v>1.3460663885553901</v>
      </c>
      <c r="E393">
        <v>6.8027210884353704E-3</v>
      </c>
      <c r="F393" t="s">
        <v>296</v>
      </c>
    </row>
    <row r="394" spans="1:6" x14ac:dyDescent="0.2">
      <c r="A394" t="s">
        <v>212</v>
      </c>
      <c r="B394" t="s">
        <v>91</v>
      </c>
      <c r="C394">
        <v>294</v>
      </c>
      <c r="D394">
        <v>1.3460663885553901</v>
      </c>
      <c r="E394">
        <v>6.8027210884353704E-3</v>
      </c>
      <c r="F394" t="s">
        <v>296</v>
      </c>
    </row>
    <row r="395" spans="1:6" x14ac:dyDescent="0.2">
      <c r="A395" t="s">
        <v>187</v>
      </c>
      <c r="B395" t="s">
        <v>66</v>
      </c>
      <c r="C395">
        <v>294</v>
      </c>
      <c r="D395">
        <v>1.3460663885553901</v>
      </c>
      <c r="E395">
        <v>6.8027210884353704E-3</v>
      </c>
      <c r="F395" t="s">
        <v>296</v>
      </c>
    </row>
    <row r="396" spans="1:6" x14ac:dyDescent="0.2">
      <c r="A396" t="s">
        <v>67</v>
      </c>
      <c r="B396" t="s">
        <v>118</v>
      </c>
      <c r="C396">
        <v>294</v>
      </c>
      <c r="D396">
        <v>1.3460663885553901</v>
      </c>
      <c r="E396">
        <v>6.8027210884353704E-3</v>
      </c>
      <c r="F396" t="s">
        <v>296</v>
      </c>
    </row>
    <row r="397" spans="1:6" x14ac:dyDescent="0.2">
      <c r="A397" t="s">
        <v>50</v>
      </c>
      <c r="B397" t="s">
        <v>87</v>
      </c>
      <c r="C397">
        <v>294</v>
      </c>
      <c r="D397">
        <v>1.3460663885553901</v>
      </c>
      <c r="E397">
        <v>6.8027210884353704E-3</v>
      </c>
      <c r="F397" t="s">
        <v>296</v>
      </c>
    </row>
    <row r="398" spans="1:6" x14ac:dyDescent="0.2">
      <c r="A398" t="s">
        <v>110</v>
      </c>
      <c r="B398" t="s">
        <v>53</v>
      </c>
      <c r="C398">
        <v>294</v>
      </c>
      <c r="D398">
        <v>1.3460663885553901</v>
      </c>
      <c r="E398">
        <v>6.8027210884353704E-3</v>
      </c>
      <c r="F398" t="s">
        <v>296</v>
      </c>
    </row>
    <row r="399" spans="1:6" x14ac:dyDescent="0.2">
      <c r="A399" t="s">
        <v>118</v>
      </c>
      <c r="B399" t="s">
        <v>119</v>
      </c>
      <c r="C399">
        <v>294</v>
      </c>
      <c r="D399">
        <v>1.3460663885553901</v>
      </c>
      <c r="E399">
        <v>6.8027210884353704E-3</v>
      </c>
      <c r="F399" t="s">
        <v>296</v>
      </c>
    </row>
    <row r="400" spans="1:6" x14ac:dyDescent="0.2">
      <c r="A400" t="s">
        <v>127</v>
      </c>
      <c r="B400" t="s">
        <v>25</v>
      </c>
      <c r="C400">
        <v>294</v>
      </c>
      <c r="D400">
        <v>1.3460663885553901</v>
      </c>
      <c r="E400">
        <v>6.8027210884353704E-3</v>
      </c>
      <c r="F400" t="s">
        <v>296</v>
      </c>
    </row>
    <row r="401" spans="1:6" x14ac:dyDescent="0.2">
      <c r="A401" t="s">
        <v>91</v>
      </c>
      <c r="B401" t="s">
        <v>57</v>
      </c>
      <c r="C401">
        <v>294</v>
      </c>
      <c r="D401">
        <v>1.3460663885553901</v>
      </c>
      <c r="E401">
        <v>6.8027210884353704E-3</v>
      </c>
      <c r="F401" t="s">
        <v>296</v>
      </c>
    </row>
    <row r="402" spans="1:6" x14ac:dyDescent="0.2">
      <c r="A402" t="s">
        <v>67</v>
      </c>
      <c r="B402" t="s">
        <v>129</v>
      </c>
      <c r="C402">
        <v>294</v>
      </c>
      <c r="D402">
        <v>1.3460663885553901</v>
      </c>
      <c r="E402">
        <v>6.8027210884353704E-3</v>
      </c>
      <c r="F402" t="s">
        <v>296</v>
      </c>
    </row>
    <row r="403" spans="1:6" x14ac:dyDescent="0.2">
      <c r="A403" t="s">
        <v>120</v>
      </c>
      <c r="B403" t="s">
        <v>114</v>
      </c>
      <c r="C403">
        <v>294</v>
      </c>
      <c r="D403">
        <v>1.3460663885553901</v>
      </c>
      <c r="E403">
        <v>6.8027210884353704E-3</v>
      </c>
      <c r="F403" t="s">
        <v>296</v>
      </c>
    </row>
    <row r="404" spans="1:6" x14ac:dyDescent="0.2">
      <c r="A404" t="s">
        <v>68</v>
      </c>
      <c r="B404" t="s">
        <v>118</v>
      </c>
      <c r="C404">
        <v>294</v>
      </c>
      <c r="D404">
        <v>1.3460663885553901</v>
      </c>
      <c r="E404">
        <v>6.8027210884353704E-3</v>
      </c>
      <c r="F404" t="s">
        <v>296</v>
      </c>
    </row>
    <row r="405" spans="1:6" x14ac:dyDescent="0.2">
      <c r="A405" t="s">
        <v>212</v>
      </c>
      <c r="B405" t="s">
        <v>114</v>
      </c>
      <c r="C405">
        <v>294</v>
      </c>
      <c r="D405">
        <v>1.3460663885553901</v>
      </c>
      <c r="E405">
        <v>6.8027210884353704E-3</v>
      </c>
      <c r="F405" t="s">
        <v>296</v>
      </c>
    </row>
    <row r="406" spans="1:6" x14ac:dyDescent="0.2">
      <c r="A406" t="s">
        <v>110</v>
      </c>
      <c r="B406" t="s">
        <v>66</v>
      </c>
      <c r="C406">
        <v>294</v>
      </c>
      <c r="D406">
        <v>1.3460663885553901</v>
      </c>
      <c r="E406">
        <v>6.8027210884353704E-3</v>
      </c>
      <c r="F406" t="s">
        <v>296</v>
      </c>
    </row>
    <row r="407" spans="1:6" x14ac:dyDescent="0.2">
      <c r="A407" t="s">
        <v>35</v>
      </c>
      <c r="B407" t="s">
        <v>50</v>
      </c>
      <c r="C407">
        <v>294</v>
      </c>
      <c r="D407">
        <v>1.3460663885553901</v>
      </c>
      <c r="E407">
        <v>6.8027210884353704E-3</v>
      </c>
      <c r="F407" t="s">
        <v>296</v>
      </c>
    </row>
    <row r="408" spans="1:6" x14ac:dyDescent="0.2">
      <c r="A408" t="s">
        <v>75</v>
      </c>
      <c r="B408" t="s">
        <v>50</v>
      </c>
      <c r="C408">
        <v>294</v>
      </c>
      <c r="D408">
        <v>1.3460663885553901</v>
      </c>
      <c r="E408">
        <v>6.8027210884353704E-3</v>
      </c>
      <c r="F408" t="s">
        <v>296</v>
      </c>
    </row>
    <row r="409" spans="1:6" x14ac:dyDescent="0.2">
      <c r="A409" t="s">
        <v>127</v>
      </c>
      <c r="B409" t="s">
        <v>118</v>
      </c>
      <c r="C409">
        <v>294</v>
      </c>
      <c r="D409">
        <v>1.3460663885553901</v>
      </c>
      <c r="E409">
        <v>6.8027210884353704E-3</v>
      </c>
      <c r="F409" t="s">
        <v>296</v>
      </c>
    </row>
    <row r="410" spans="1:6" x14ac:dyDescent="0.2">
      <c r="A410" t="s">
        <v>50</v>
      </c>
      <c r="B410" t="s">
        <v>66</v>
      </c>
      <c r="C410">
        <v>294</v>
      </c>
      <c r="D410">
        <v>1.3460663885553901</v>
      </c>
      <c r="E410">
        <v>6.8027210884353704E-3</v>
      </c>
      <c r="F410" t="s">
        <v>296</v>
      </c>
    </row>
    <row r="411" spans="1:6" x14ac:dyDescent="0.2">
      <c r="A411" t="s">
        <v>57</v>
      </c>
      <c r="B411" t="s">
        <v>25</v>
      </c>
      <c r="C411">
        <v>294</v>
      </c>
      <c r="D411">
        <v>1.3460663885553901</v>
      </c>
      <c r="E411">
        <v>6.8027210884353704E-3</v>
      </c>
      <c r="F411" t="s">
        <v>296</v>
      </c>
    </row>
    <row r="412" spans="1:6" x14ac:dyDescent="0.2">
      <c r="A412" t="s">
        <v>35</v>
      </c>
      <c r="B412" t="s">
        <v>186</v>
      </c>
      <c r="C412">
        <v>294</v>
      </c>
      <c r="D412">
        <v>1.3460663885553901</v>
      </c>
      <c r="E412">
        <v>6.8027210884353704E-3</v>
      </c>
      <c r="F412" t="s">
        <v>296</v>
      </c>
    </row>
    <row r="413" spans="1:6" x14ac:dyDescent="0.2">
      <c r="A413" t="s">
        <v>35</v>
      </c>
      <c r="B413" t="s">
        <v>75</v>
      </c>
      <c r="C413">
        <v>294</v>
      </c>
      <c r="D413">
        <v>1.3460663885553901</v>
      </c>
      <c r="E413">
        <v>6.8027210884353704E-3</v>
      </c>
      <c r="F413" t="s">
        <v>296</v>
      </c>
    </row>
    <row r="414" spans="1:6" x14ac:dyDescent="0.2">
      <c r="A414" t="s">
        <v>212</v>
      </c>
      <c r="B414" t="s">
        <v>87</v>
      </c>
      <c r="C414">
        <v>294</v>
      </c>
      <c r="D414">
        <v>1.3460663885553901</v>
      </c>
      <c r="E414">
        <v>6.8027210884353704E-3</v>
      </c>
      <c r="F414" t="s">
        <v>296</v>
      </c>
    </row>
    <row r="415" spans="1:6" x14ac:dyDescent="0.2">
      <c r="A415" t="s">
        <v>187</v>
      </c>
      <c r="B415" t="s">
        <v>87</v>
      </c>
      <c r="C415">
        <v>294</v>
      </c>
      <c r="D415">
        <v>1.3460663885553901</v>
      </c>
      <c r="E415">
        <v>6.8027210884353704E-3</v>
      </c>
      <c r="F415" t="s">
        <v>296</v>
      </c>
    </row>
    <row r="416" spans="1:6" x14ac:dyDescent="0.2">
      <c r="A416" t="s">
        <v>91</v>
      </c>
      <c r="B416" t="s">
        <v>45</v>
      </c>
      <c r="C416">
        <v>294</v>
      </c>
      <c r="D416">
        <v>1.3460663885553901</v>
      </c>
      <c r="E416">
        <v>6.8027210884353704E-3</v>
      </c>
      <c r="F416" t="s">
        <v>296</v>
      </c>
    </row>
    <row r="417" spans="1:6" x14ac:dyDescent="0.2">
      <c r="A417" t="s">
        <v>32</v>
      </c>
      <c r="B417" t="s">
        <v>129</v>
      </c>
      <c r="C417">
        <v>294</v>
      </c>
      <c r="D417">
        <v>1.3460663885553901</v>
      </c>
      <c r="E417">
        <v>6.8027210884353704E-3</v>
      </c>
      <c r="F417" t="s">
        <v>296</v>
      </c>
    </row>
    <row r="418" spans="1:6" x14ac:dyDescent="0.2">
      <c r="A418" t="s">
        <v>74</v>
      </c>
      <c r="B418" t="s">
        <v>97</v>
      </c>
      <c r="C418">
        <v>294</v>
      </c>
      <c r="D418">
        <v>1.3460663885553901</v>
      </c>
      <c r="E418">
        <v>6.8027210884353704E-3</v>
      </c>
      <c r="F418" t="s">
        <v>296</v>
      </c>
    </row>
    <row r="419" spans="1:6" x14ac:dyDescent="0.2">
      <c r="A419" t="s">
        <v>68</v>
      </c>
      <c r="B419" t="s">
        <v>83</v>
      </c>
      <c r="C419">
        <v>294</v>
      </c>
      <c r="D419">
        <v>1.3460663885553901</v>
      </c>
      <c r="E419">
        <v>6.8027210884353704E-3</v>
      </c>
      <c r="F419" t="s">
        <v>296</v>
      </c>
    </row>
    <row r="420" spans="1:6" x14ac:dyDescent="0.2">
      <c r="A420" t="s">
        <v>187</v>
      </c>
      <c r="B420" t="s">
        <v>85</v>
      </c>
      <c r="C420">
        <v>294</v>
      </c>
      <c r="D420">
        <v>1.3460663885553901</v>
      </c>
      <c r="E420">
        <v>6.8027210884353704E-3</v>
      </c>
      <c r="F420" t="s">
        <v>296</v>
      </c>
    </row>
    <row r="421" spans="1:6" x14ac:dyDescent="0.2">
      <c r="A421" t="s">
        <v>127</v>
      </c>
      <c r="B421" t="s">
        <v>50</v>
      </c>
      <c r="C421">
        <v>294</v>
      </c>
      <c r="D421">
        <v>1.3460663885553901</v>
      </c>
      <c r="E421">
        <v>6.8027210884353704E-3</v>
      </c>
      <c r="F421" t="s">
        <v>296</v>
      </c>
    </row>
    <row r="422" spans="1:6" x14ac:dyDescent="0.2">
      <c r="A422" t="s">
        <v>187</v>
      </c>
      <c r="B422" t="s">
        <v>75</v>
      </c>
      <c r="C422">
        <v>294</v>
      </c>
      <c r="D422">
        <v>1.3460663885553901</v>
      </c>
      <c r="E422">
        <v>6.8027210884353704E-3</v>
      </c>
      <c r="F422" t="s">
        <v>296</v>
      </c>
    </row>
    <row r="423" spans="1:6" x14ac:dyDescent="0.2">
      <c r="A423" t="s">
        <v>76</v>
      </c>
      <c r="B423" t="s">
        <v>85</v>
      </c>
      <c r="C423">
        <v>294</v>
      </c>
      <c r="D423">
        <v>1.3460663885553901</v>
      </c>
      <c r="E423">
        <v>6.8027210884353704E-3</v>
      </c>
      <c r="F423" t="s">
        <v>296</v>
      </c>
    </row>
    <row r="424" spans="1:6" x14ac:dyDescent="0.2">
      <c r="A424" t="s">
        <v>91</v>
      </c>
      <c r="B424" t="s">
        <v>55</v>
      </c>
      <c r="C424">
        <v>294</v>
      </c>
      <c r="D424">
        <v>1.3460663885553901</v>
      </c>
      <c r="E424">
        <v>6.8027210884353704E-3</v>
      </c>
      <c r="F424" t="s">
        <v>296</v>
      </c>
    </row>
    <row r="425" spans="1:6" x14ac:dyDescent="0.2">
      <c r="A425" t="s">
        <v>91</v>
      </c>
      <c r="B425" t="s">
        <v>76</v>
      </c>
      <c r="C425">
        <v>294</v>
      </c>
      <c r="D425">
        <v>1.3460663885553901</v>
      </c>
      <c r="E425">
        <v>6.8027210884353704E-3</v>
      </c>
      <c r="F425" t="s">
        <v>296</v>
      </c>
    </row>
    <row r="426" spans="1:6" x14ac:dyDescent="0.2">
      <c r="A426" t="s">
        <v>76</v>
      </c>
      <c r="B426" t="s">
        <v>129</v>
      </c>
      <c r="C426">
        <v>294</v>
      </c>
      <c r="D426">
        <v>1.3460663885553901</v>
      </c>
      <c r="E426">
        <v>6.8027210884353704E-3</v>
      </c>
      <c r="F426" t="s">
        <v>296</v>
      </c>
    </row>
    <row r="427" spans="1:6" x14ac:dyDescent="0.2">
      <c r="A427" t="s">
        <v>118</v>
      </c>
      <c r="B427" t="s">
        <v>129</v>
      </c>
      <c r="C427">
        <v>294</v>
      </c>
      <c r="D427">
        <v>1.3460663885553901</v>
      </c>
      <c r="E427">
        <v>6.8027210884353704E-3</v>
      </c>
      <c r="F427" t="s">
        <v>296</v>
      </c>
    </row>
    <row r="428" spans="1:6" x14ac:dyDescent="0.2">
      <c r="A428" t="s">
        <v>91</v>
      </c>
      <c r="B428" t="s">
        <v>83</v>
      </c>
      <c r="C428">
        <v>294</v>
      </c>
      <c r="D428">
        <v>1.3460663885553901</v>
      </c>
      <c r="E428">
        <v>6.8027210884353704E-3</v>
      </c>
      <c r="F428" t="s">
        <v>296</v>
      </c>
    </row>
    <row r="429" spans="1:6" x14ac:dyDescent="0.2">
      <c r="A429" t="s">
        <v>67</v>
      </c>
      <c r="B429" t="s">
        <v>119</v>
      </c>
      <c r="C429">
        <v>294</v>
      </c>
      <c r="D429">
        <v>1.3460663885553901</v>
      </c>
      <c r="E429">
        <v>6.8027210884353704E-3</v>
      </c>
      <c r="F429" t="s">
        <v>296</v>
      </c>
    </row>
    <row r="430" spans="1:6" x14ac:dyDescent="0.2">
      <c r="A430" t="s">
        <v>57</v>
      </c>
      <c r="B430" t="s">
        <v>55</v>
      </c>
      <c r="C430">
        <v>294</v>
      </c>
      <c r="D430">
        <v>1.3460663885553901</v>
      </c>
      <c r="E430">
        <v>6.8027210884353704E-3</v>
      </c>
      <c r="F430" t="s">
        <v>296</v>
      </c>
    </row>
    <row r="431" spans="1:6" x14ac:dyDescent="0.2">
      <c r="A431" t="s">
        <v>129</v>
      </c>
      <c r="B431" t="s">
        <v>114</v>
      </c>
      <c r="C431">
        <v>294</v>
      </c>
      <c r="D431">
        <v>1.3460663885553901</v>
      </c>
      <c r="E431">
        <v>6.8027210884353704E-3</v>
      </c>
      <c r="F431" t="s">
        <v>296</v>
      </c>
    </row>
    <row r="432" spans="1:6" x14ac:dyDescent="0.2">
      <c r="A432" t="s">
        <v>83</v>
      </c>
      <c r="B432" t="s">
        <v>97</v>
      </c>
      <c r="C432">
        <v>294</v>
      </c>
      <c r="D432">
        <v>1.3460663885553901</v>
      </c>
      <c r="E432">
        <v>6.8027210884353704E-3</v>
      </c>
      <c r="F432" t="s">
        <v>296</v>
      </c>
    </row>
    <row r="433" spans="1:6" x14ac:dyDescent="0.2">
      <c r="A433" t="s">
        <v>45</v>
      </c>
      <c r="B433" t="s">
        <v>114</v>
      </c>
      <c r="C433">
        <v>294</v>
      </c>
      <c r="D433">
        <v>1.3460663885553901</v>
      </c>
      <c r="E433">
        <v>6.8027210884353704E-3</v>
      </c>
      <c r="F433" t="s">
        <v>296</v>
      </c>
    </row>
    <row r="434" spans="1:6" x14ac:dyDescent="0.2">
      <c r="A434" t="s">
        <v>127</v>
      </c>
      <c r="B434" t="s">
        <v>57</v>
      </c>
      <c r="C434">
        <v>294</v>
      </c>
      <c r="D434">
        <v>1.3460663885553901</v>
      </c>
      <c r="E434">
        <v>6.8027210884353704E-3</v>
      </c>
      <c r="F434" t="s">
        <v>296</v>
      </c>
    </row>
    <row r="435" spans="1:6" x14ac:dyDescent="0.2">
      <c r="A435" t="s">
        <v>110</v>
      </c>
      <c r="B435" t="s">
        <v>98</v>
      </c>
      <c r="C435">
        <v>294</v>
      </c>
      <c r="D435">
        <v>1.3460663885553901</v>
      </c>
      <c r="E435">
        <v>6.8027210884353704E-3</v>
      </c>
      <c r="F435" t="s">
        <v>296</v>
      </c>
    </row>
    <row r="436" spans="1:6" x14ac:dyDescent="0.2">
      <c r="A436" t="s">
        <v>70</v>
      </c>
      <c r="B436" t="s">
        <v>114</v>
      </c>
      <c r="C436">
        <v>294</v>
      </c>
      <c r="D436">
        <v>1.3460663885553901</v>
      </c>
      <c r="E436">
        <v>6.8027210884353704E-3</v>
      </c>
      <c r="F436" t="s">
        <v>296</v>
      </c>
    </row>
    <row r="437" spans="1:6" x14ac:dyDescent="0.2">
      <c r="A437" t="s">
        <v>212</v>
      </c>
      <c r="B437" t="s">
        <v>119</v>
      </c>
      <c r="C437">
        <v>294</v>
      </c>
      <c r="D437">
        <v>1.3460663885553901</v>
      </c>
      <c r="E437">
        <v>6.8027210884353704E-3</v>
      </c>
      <c r="F437" t="s">
        <v>296</v>
      </c>
    </row>
    <row r="438" spans="1:6" x14ac:dyDescent="0.2">
      <c r="A438" t="s">
        <v>186</v>
      </c>
      <c r="B438" t="s">
        <v>87</v>
      </c>
      <c r="C438">
        <v>294</v>
      </c>
      <c r="D438">
        <v>1.3460663885553901</v>
      </c>
      <c r="E438">
        <v>6.8027210884353704E-3</v>
      </c>
      <c r="F438" t="s">
        <v>296</v>
      </c>
    </row>
    <row r="439" spans="1:6" x14ac:dyDescent="0.2">
      <c r="A439" t="s">
        <v>75</v>
      </c>
      <c r="B439" t="s">
        <v>55</v>
      </c>
      <c r="C439">
        <v>294</v>
      </c>
      <c r="D439">
        <v>1.3460663885553901</v>
      </c>
      <c r="E439">
        <v>6.8027210884353704E-3</v>
      </c>
      <c r="F439" t="s">
        <v>296</v>
      </c>
    </row>
    <row r="440" spans="1:6" x14ac:dyDescent="0.2">
      <c r="A440" t="s">
        <v>98</v>
      </c>
      <c r="B440" t="s">
        <v>114</v>
      </c>
      <c r="C440">
        <v>294</v>
      </c>
      <c r="D440">
        <v>1.3460663885553901</v>
      </c>
      <c r="E440">
        <v>6.8027210884353704E-3</v>
      </c>
      <c r="F440" t="s">
        <v>296</v>
      </c>
    </row>
    <row r="441" spans="1:6" x14ac:dyDescent="0.2">
      <c r="A441" t="s">
        <v>70</v>
      </c>
      <c r="B441" t="s">
        <v>74</v>
      </c>
      <c r="C441">
        <v>294</v>
      </c>
      <c r="D441">
        <v>1.3460663885553901</v>
      </c>
      <c r="E441">
        <v>6.8027210884353704E-3</v>
      </c>
      <c r="F441" t="s">
        <v>296</v>
      </c>
    </row>
    <row r="442" spans="1:6" x14ac:dyDescent="0.2">
      <c r="A442" t="s">
        <v>187</v>
      </c>
      <c r="B442" t="s">
        <v>32</v>
      </c>
      <c r="C442">
        <v>294</v>
      </c>
      <c r="D442">
        <v>1.3460663885553901</v>
      </c>
      <c r="E442">
        <v>6.8027210884353704E-3</v>
      </c>
      <c r="F442" t="s">
        <v>296</v>
      </c>
    </row>
    <row r="443" spans="1:6" x14ac:dyDescent="0.2">
      <c r="A443" t="s">
        <v>187</v>
      </c>
      <c r="B443" t="s">
        <v>91</v>
      </c>
      <c r="C443">
        <v>294</v>
      </c>
      <c r="D443">
        <v>1.3460663885553901</v>
      </c>
      <c r="E443">
        <v>6.8027210884353704E-3</v>
      </c>
      <c r="F443" t="s">
        <v>296</v>
      </c>
    </row>
    <row r="444" spans="1:6" x14ac:dyDescent="0.2">
      <c r="A444" t="s">
        <v>67</v>
      </c>
      <c r="B444" t="s">
        <v>91</v>
      </c>
      <c r="C444">
        <v>294</v>
      </c>
      <c r="D444">
        <v>1.3460663885553901</v>
      </c>
      <c r="E444">
        <v>6.8027210884353704E-3</v>
      </c>
      <c r="F444" t="s">
        <v>296</v>
      </c>
    </row>
    <row r="445" spans="1:6" x14ac:dyDescent="0.2">
      <c r="A445" t="s">
        <v>62</v>
      </c>
      <c r="B445" t="s">
        <v>85</v>
      </c>
      <c r="C445">
        <v>294</v>
      </c>
      <c r="D445">
        <v>1.3460663885553901</v>
      </c>
      <c r="E445">
        <v>6.8027210884353704E-3</v>
      </c>
      <c r="F445" t="s">
        <v>296</v>
      </c>
    </row>
    <row r="446" spans="1:6" x14ac:dyDescent="0.2">
      <c r="A446" t="s">
        <v>85</v>
      </c>
      <c r="B446" t="s">
        <v>83</v>
      </c>
      <c r="C446">
        <v>294</v>
      </c>
      <c r="D446">
        <v>1.3460663885553901</v>
      </c>
      <c r="E446">
        <v>6.8027210884353704E-3</v>
      </c>
      <c r="F446" t="s">
        <v>296</v>
      </c>
    </row>
    <row r="447" spans="1:6" x14ac:dyDescent="0.2">
      <c r="A447" t="s">
        <v>47</v>
      </c>
      <c r="B447" t="s">
        <v>118</v>
      </c>
      <c r="C447">
        <v>294</v>
      </c>
      <c r="D447">
        <v>1.3460663885553901</v>
      </c>
      <c r="E447">
        <v>6.8027210884353704E-3</v>
      </c>
      <c r="F447" t="s">
        <v>296</v>
      </c>
    </row>
    <row r="448" spans="1:6" x14ac:dyDescent="0.2">
      <c r="A448" t="s">
        <v>212</v>
      </c>
      <c r="B448" t="s">
        <v>70</v>
      </c>
      <c r="C448">
        <v>294</v>
      </c>
      <c r="D448">
        <v>1.3460663885553901</v>
      </c>
      <c r="E448">
        <v>6.8027210884353704E-3</v>
      </c>
      <c r="F448" t="s">
        <v>296</v>
      </c>
    </row>
    <row r="449" spans="1:6" x14ac:dyDescent="0.2">
      <c r="A449" t="s">
        <v>70</v>
      </c>
      <c r="B449" t="s">
        <v>186</v>
      </c>
      <c r="C449">
        <v>294</v>
      </c>
      <c r="D449">
        <v>1.3460663885553901</v>
      </c>
      <c r="E449">
        <v>6.8027210884353704E-3</v>
      </c>
      <c r="F449" t="s">
        <v>296</v>
      </c>
    </row>
    <row r="450" spans="1:6" x14ac:dyDescent="0.2">
      <c r="A450" t="s">
        <v>212</v>
      </c>
      <c r="B450" t="s">
        <v>187</v>
      </c>
      <c r="C450">
        <v>294</v>
      </c>
      <c r="D450">
        <v>1.3460663885553901</v>
      </c>
      <c r="E450">
        <v>6.8027210884353704E-3</v>
      </c>
      <c r="F450" t="s">
        <v>296</v>
      </c>
    </row>
    <row r="451" spans="1:6" x14ac:dyDescent="0.2">
      <c r="A451" t="s">
        <v>114</v>
      </c>
      <c r="B451" t="s">
        <v>97</v>
      </c>
      <c r="C451">
        <v>294</v>
      </c>
      <c r="D451">
        <v>1.3460663885553901</v>
      </c>
      <c r="E451">
        <v>6.8027210884353704E-3</v>
      </c>
      <c r="F451" t="s">
        <v>296</v>
      </c>
    </row>
    <row r="452" spans="1:6" x14ac:dyDescent="0.2">
      <c r="A452" t="s">
        <v>47</v>
      </c>
      <c r="B452" t="s">
        <v>66</v>
      </c>
      <c r="C452">
        <v>294</v>
      </c>
      <c r="D452">
        <v>1.3460663885553901</v>
      </c>
      <c r="E452">
        <v>6.8027210884353704E-3</v>
      </c>
      <c r="F452" t="s">
        <v>296</v>
      </c>
    </row>
    <row r="453" spans="1:6" x14ac:dyDescent="0.2">
      <c r="A453" t="s">
        <v>67</v>
      </c>
      <c r="B453" t="s">
        <v>62</v>
      </c>
      <c r="C453">
        <v>294</v>
      </c>
      <c r="D453">
        <v>1.3460663885553901</v>
      </c>
      <c r="E453">
        <v>6.8027210884353704E-3</v>
      </c>
      <c r="F453" t="s">
        <v>296</v>
      </c>
    </row>
    <row r="454" spans="1:6" x14ac:dyDescent="0.2">
      <c r="A454" t="s">
        <v>35</v>
      </c>
      <c r="B454" t="s">
        <v>66</v>
      </c>
      <c r="C454">
        <v>294</v>
      </c>
      <c r="D454">
        <v>1.3460663885553901</v>
      </c>
      <c r="E454">
        <v>6.8027210884353704E-3</v>
      </c>
      <c r="F454" t="s">
        <v>296</v>
      </c>
    </row>
    <row r="455" spans="1:6" x14ac:dyDescent="0.2">
      <c r="A455" t="s">
        <v>55</v>
      </c>
      <c r="B455" t="s">
        <v>129</v>
      </c>
      <c r="C455">
        <v>294</v>
      </c>
      <c r="D455">
        <v>1.3460663885553901</v>
      </c>
      <c r="E455">
        <v>6.8027210884353704E-3</v>
      </c>
      <c r="F455" t="s">
        <v>296</v>
      </c>
    </row>
    <row r="456" spans="1:6" x14ac:dyDescent="0.2">
      <c r="A456" t="s">
        <v>70</v>
      </c>
      <c r="B456" t="s">
        <v>87</v>
      </c>
      <c r="C456">
        <v>294</v>
      </c>
      <c r="D456">
        <v>1.3460663885553901</v>
      </c>
      <c r="E456">
        <v>6.8027210884353704E-3</v>
      </c>
      <c r="F456" t="s">
        <v>296</v>
      </c>
    </row>
    <row r="457" spans="1:6" x14ac:dyDescent="0.2">
      <c r="A457" t="s">
        <v>98</v>
      </c>
      <c r="B457" t="s">
        <v>87</v>
      </c>
      <c r="C457">
        <v>294</v>
      </c>
      <c r="D457">
        <v>1.3460663885553901</v>
      </c>
      <c r="E457">
        <v>6.8027210884353704E-3</v>
      </c>
      <c r="F457" t="s">
        <v>296</v>
      </c>
    </row>
    <row r="458" spans="1:6" x14ac:dyDescent="0.2">
      <c r="A458" t="s">
        <v>32</v>
      </c>
      <c r="B458" t="s">
        <v>85</v>
      </c>
      <c r="C458">
        <v>294</v>
      </c>
      <c r="D458">
        <v>1.3460663885553901</v>
      </c>
      <c r="E458">
        <v>6.8027210884353704E-3</v>
      </c>
      <c r="F458" t="s">
        <v>296</v>
      </c>
    </row>
    <row r="459" spans="1:6" x14ac:dyDescent="0.2">
      <c r="A459" t="s">
        <v>118</v>
      </c>
      <c r="B459" t="s">
        <v>114</v>
      </c>
      <c r="C459">
        <v>294</v>
      </c>
      <c r="D459">
        <v>1.3460663885553901</v>
      </c>
      <c r="E459">
        <v>6.8027210884353704E-3</v>
      </c>
      <c r="F459" t="s">
        <v>296</v>
      </c>
    </row>
    <row r="460" spans="1:6" x14ac:dyDescent="0.2">
      <c r="A460" t="s">
        <v>62</v>
      </c>
      <c r="B460" t="s">
        <v>120</v>
      </c>
      <c r="C460">
        <v>294</v>
      </c>
      <c r="D460">
        <v>1.3460663885553901</v>
      </c>
      <c r="E460">
        <v>6.8027210884353704E-3</v>
      </c>
      <c r="F460" t="s">
        <v>296</v>
      </c>
    </row>
    <row r="461" spans="1:6" x14ac:dyDescent="0.2">
      <c r="A461" t="s">
        <v>110</v>
      </c>
      <c r="B461" t="s">
        <v>50</v>
      </c>
      <c r="C461">
        <v>294</v>
      </c>
      <c r="D461">
        <v>1.3460663885553901</v>
      </c>
      <c r="E461">
        <v>6.8027210884353704E-3</v>
      </c>
      <c r="F461" t="s">
        <v>296</v>
      </c>
    </row>
    <row r="462" spans="1:6" x14ac:dyDescent="0.2">
      <c r="A462" t="s">
        <v>85</v>
      </c>
      <c r="B462" t="s">
        <v>114</v>
      </c>
      <c r="C462">
        <v>294</v>
      </c>
      <c r="D462">
        <v>1.3460663885553901</v>
      </c>
      <c r="E462">
        <v>6.8027210884353704E-3</v>
      </c>
      <c r="F462" t="s">
        <v>296</v>
      </c>
    </row>
    <row r="463" spans="1:6" x14ac:dyDescent="0.2">
      <c r="A463" t="s">
        <v>55</v>
      </c>
      <c r="B463" t="s">
        <v>66</v>
      </c>
      <c r="C463">
        <v>294</v>
      </c>
      <c r="D463">
        <v>1.3460663885553901</v>
      </c>
      <c r="E463">
        <v>6.8027210884353704E-3</v>
      </c>
      <c r="F463" t="s">
        <v>296</v>
      </c>
    </row>
    <row r="464" spans="1:6" x14ac:dyDescent="0.2">
      <c r="A464" t="s">
        <v>187</v>
      </c>
      <c r="B464" t="s">
        <v>25</v>
      </c>
      <c r="C464">
        <v>294</v>
      </c>
      <c r="D464">
        <v>1.3460663885553901</v>
      </c>
      <c r="E464">
        <v>6.8027210884353704E-3</v>
      </c>
      <c r="F464" t="s">
        <v>296</v>
      </c>
    </row>
    <row r="465" spans="1:6" x14ac:dyDescent="0.2">
      <c r="A465" t="s">
        <v>70</v>
      </c>
      <c r="B465" t="s">
        <v>55</v>
      </c>
      <c r="C465">
        <v>294</v>
      </c>
      <c r="D465">
        <v>1.3460663885553901</v>
      </c>
      <c r="E465">
        <v>6.8027210884353704E-3</v>
      </c>
      <c r="F465" t="s">
        <v>296</v>
      </c>
    </row>
    <row r="466" spans="1:6" x14ac:dyDescent="0.2">
      <c r="A466" t="s">
        <v>187</v>
      </c>
      <c r="B466" t="s">
        <v>129</v>
      </c>
      <c r="C466">
        <v>294</v>
      </c>
      <c r="D466">
        <v>1.3460663885553901</v>
      </c>
      <c r="E466">
        <v>6.8027210884353704E-3</v>
      </c>
      <c r="F466" t="s">
        <v>296</v>
      </c>
    </row>
    <row r="467" spans="1:6" x14ac:dyDescent="0.2">
      <c r="A467" t="s">
        <v>212</v>
      </c>
      <c r="B467" t="s">
        <v>74</v>
      </c>
      <c r="C467">
        <v>294</v>
      </c>
      <c r="D467">
        <v>1.3460663885553901</v>
      </c>
      <c r="E467">
        <v>6.8027210884353704E-3</v>
      </c>
      <c r="F467" t="s">
        <v>296</v>
      </c>
    </row>
    <row r="468" spans="1:6" x14ac:dyDescent="0.2">
      <c r="A468" t="s">
        <v>119</v>
      </c>
      <c r="B468" t="s">
        <v>97</v>
      </c>
      <c r="C468">
        <v>294</v>
      </c>
      <c r="D468">
        <v>1.3460663885553901</v>
      </c>
      <c r="E468">
        <v>6.8027210884353704E-3</v>
      </c>
      <c r="F468" t="s">
        <v>296</v>
      </c>
    </row>
    <row r="469" spans="1:6" x14ac:dyDescent="0.2">
      <c r="A469" t="s">
        <v>62</v>
      </c>
      <c r="B469" t="s">
        <v>50</v>
      </c>
      <c r="C469">
        <v>294</v>
      </c>
      <c r="D469">
        <v>1.3460663885553901</v>
      </c>
      <c r="E469">
        <v>6.8027210884353704E-3</v>
      </c>
      <c r="F469" t="s">
        <v>296</v>
      </c>
    </row>
    <row r="470" spans="1:6" x14ac:dyDescent="0.2">
      <c r="A470" t="s">
        <v>62</v>
      </c>
      <c r="B470" t="s">
        <v>118</v>
      </c>
      <c r="C470">
        <v>294</v>
      </c>
      <c r="D470">
        <v>1.3460663885553901</v>
      </c>
      <c r="E470">
        <v>6.8027210884353704E-3</v>
      </c>
      <c r="F470" t="s">
        <v>296</v>
      </c>
    </row>
    <row r="471" spans="1:6" x14ac:dyDescent="0.2">
      <c r="A471" t="s">
        <v>186</v>
      </c>
      <c r="B471" t="s">
        <v>25</v>
      </c>
      <c r="C471">
        <v>294</v>
      </c>
      <c r="D471">
        <v>1.3460663885553901</v>
      </c>
      <c r="E471">
        <v>6.8027210884353704E-3</v>
      </c>
      <c r="F471" t="s">
        <v>296</v>
      </c>
    </row>
    <row r="472" spans="1:6" x14ac:dyDescent="0.2">
      <c r="A472" t="s">
        <v>57</v>
      </c>
      <c r="B472" t="s">
        <v>85</v>
      </c>
      <c r="C472">
        <v>294</v>
      </c>
      <c r="D472">
        <v>1.3460663885553901</v>
      </c>
      <c r="E472">
        <v>6.8027210884353704E-3</v>
      </c>
      <c r="F472" t="s">
        <v>296</v>
      </c>
    </row>
    <row r="473" spans="1:6" x14ac:dyDescent="0.2">
      <c r="A473" t="s">
        <v>68</v>
      </c>
      <c r="B473" t="s">
        <v>25</v>
      </c>
      <c r="C473">
        <v>294</v>
      </c>
      <c r="D473">
        <v>1.3460663885553901</v>
      </c>
      <c r="E473">
        <v>6.8027210884353704E-3</v>
      </c>
      <c r="F473" t="s">
        <v>296</v>
      </c>
    </row>
    <row r="474" spans="1:6" x14ac:dyDescent="0.2">
      <c r="A474" t="s">
        <v>127</v>
      </c>
      <c r="B474" t="s">
        <v>70</v>
      </c>
      <c r="C474">
        <v>294</v>
      </c>
      <c r="D474">
        <v>1.3460663885553901</v>
      </c>
      <c r="E474">
        <v>6.8027210884353704E-3</v>
      </c>
      <c r="F474" t="s">
        <v>296</v>
      </c>
    </row>
    <row r="475" spans="1:6" x14ac:dyDescent="0.2">
      <c r="A475" t="s">
        <v>74</v>
      </c>
      <c r="B475" t="s">
        <v>87</v>
      </c>
      <c r="C475">
        <v>294</v>
      </c>
      <c r="D475">
        <v>1.3460663885553901</v>
      </c>
      <c r="E475">
        <v>6.8027210884353704E-3</v>
      </c>
      <c r="F475" t="s">
        <v>296</v>
      </c>
    </row>
    <row r="476" spans="1:6" x14ac:dyDescent="0.2">
      <c r="A476" t="s">
        <v>127</v>
      </c>
      <c r="B476" t="s">
        <v>114</v>
      </c>
      <c r="C476">
        <v>294</v>
      </c>
      <c r="D476">
        <v>1.3460663885553901</v>
      </c>
      <c r="E476">
        <v>6.8027210884353704E-3</v>
      </c>
      <c r="F476" t="s">
        <v>296</v>
      </c>
    </row>
    <row r="477" spans="1:6" x14ac:dyDescent="0.2">
      <c r="A477" t="s">
        <v>62</v>
      </c>
      <c r="B477" t="s">
        <v>91</v>
      </c>
      <c r="C477">
        <v>294</v>
      </c>
      <c r="D477">
        <v>1.3460663885553901</v>
      </c>
      <c r="E477">
        <v>6.8027210884353704E-3</v>
      </c>
      <c r="F477" t="s">
        <v>296</v>
      </c>
    </row>
    <row r="478" spans="1:6" x14ac:dyDescent="0.2">
      <c r="A478" t="s">
        <v>85</v>
      </c>
      <c r="B478" t="s">
        <v>186</v>
      </c>
      <c r="C478">
        <v>294</v>
      </c>
      <c r="D478">
        <v>1.3460663885553901</v>
      </c>
      <c r="E478">
        <v>6.8027210884353704E-3</v>
      </c>
      <c r="F478" t="s">
        <v>296</v>
      </c>
    </row>
    <row r="479" spans="1:6" x14ac:dyDescent="0.2">
      <c r="A479" t="s">
        <v>53</v>
      </c>
      <c r="B479" t="s">
        <v>83</v>
      </c>
      <c r="C479">
        <v>294</v>
      </c>
      <c r="D479">
        <v>1.3460663885553901</v>
      </c>
      <c r="E479">
        <v>6.8027210884353704E-3</v>
      </c>
      <c r="F479" t="s">
        <v>296</v>
      </c>
    </row>
    <row r="480" spans="1:6" x14ac:dyDescent="0.2">
      <c r="A480" t="s">
        <v>35</v>
      </c>
      <c r="B480" t="s">
        <v>53</v>
      </c>
      <c r="C480">
        <v>294</v>
      </c>
      <c r="D480">
        <v>1.3460663885553901</v>
      </c>
      <c r="E480">
        <v>6.8027210884353704E-3</v>
      </c>
      <c r="F480" t="s">
        <v>296</v>
      </c>
    </row>
    <row r="481" spans="1:6" x14ac:dyDescent="0.2">
      <c r="A481" t="s">
        <v>129</v>
      </c>
      <c r="B481" t="s">
        <v>120</v>
      </c>
      <c r="C481">
        <v>294</v>
      </c>
      <c r="D481">
        <v>1.3460663885553901</v>
      </c>
      <c r="E481">
        <v>6.8027210884353704E-3</v>
      </c>
      <c r="F481" t="s">
        <v>296</v>
      </c>
    </row>
    <row r="482" spans="1:6" x14ac:dyDescent="0.2">
      <c r="A482" t="s">
        <v>110</v>
      </c>
      <c r="B482" t="s">
        <v>127</v>
      </c>
      <c r="C482">
        <v>294</v>
      </c>
      <c r="D482">
        <v>1.3460663885553901</v>
      </c>
      <c r="E482">
        <v>6.8027210884353704E-3</v>
      </c>
      <c r="F482" t="s">
        <v>296</v>
      </c>
    </row>
    <row r="483" spans="1:6" x14ac:dyDescent="0.2">
      <c r="A483" t="s">
        <v>98</v>
      </c>
      <c r="B483" t="s">
        <v>129</v>
      </c>
      <c r="C483">
        <v>294</v>
      </c>
      <c r="D483">
        <v>1.3460663885553901</v>
      </c>
      <c r="E483">
        <v>6.8027210884353704E-3</v>
      </c>
      <c r="F483" t="s">
        <v>296</v>
      </c>
    </row>
    <row r="484" spans="1:6" x14ac:dyDescent="0.2">
      <c r="A484" t="s">
        <v>70</v>
      </c>
      <c r="B484" t="s">
        <v>83</v>
      </c>
      <c r="C484">
        <v>294</v>
      </c>
      <c r="D484">
        <v>1.3460663885553901</v>
      </c>
      <c r="E484">
        <v>6.8027210884353704E-3</v>
      </c>
      <c r="F484" t="s">
        <v>296</v>
      </c>
    </row>
    <row r="485" spans="1:6" x14ac:dyDescent="0.2">
      <c r="A485" t="s">
        <v>68</v>
      </c>
      <c r="B485" t="s">
        <v>53</v>
      </c>
      <c r="C485">
        <v>294</v>
      </c>
      <c r="D485">
        <v>1.3460663885553901</v>
      </c>
      <c r="E485">
        <v>6.8027210884353704E-3</v>
      </c>
      <c r="F485" t="s">
        <v>296</v>
      </c>
    </row>
    <row r="486" spans="1:6" x14ac:dyDescent="0.2">
      <c r="A486" t="s">
        <v>53</v>
      </c>
      <c r="B486" t="s">
        <v>70</v>
      </c>
      <c r="C486">
        <v>294</v>
      </c>
      <c r="D486">
        <v>1.3460663885553901</v>
      </c>
      <c r="E486">
        <v>6.8027210884353704E-3</v>
      </c>
      <c r="F486" t="s">
        <v>296</v>
      </c>
    </row>
    <row r="487" spans="1:6" x14ac:dyDescent="0.2">
      <c r="A487" t="s">
        <v>119</v>
      </c>
      <c r="B487" t="s">
        <v>114</v>
      </c>
      <c r="C487">
        <v>294</v>
      </c>
      <c r="D487">
        <v>1.3460663885553901</v>
      </c>
      <c r="E487">
        <v>6.8027210884353704E-3</v>
      </c>
      <c r="F487" t="s">
        <v>296</v>
      </c>
    </row>
    <row r="488" spans="1:6" x14ac:dyDescent="0.2">
      <c r="A488" t="s">
        <v>187</v>
      </c>
      <c r="B488" t="s">
        <v>57</v>
      </c>
      <c r="C488">
        <v>294</v>
      </c>
      <c r="D488">
        <v>1.3460663885553901</v>
      </c>
      <c r="E488">
        <v>6.8027210884353704E-3</v>
      </c>
      <c r="F488" t="s">
        <v>296</v>
      </c>
    </row>
    <row r="489" spans="1:6" x14ac:dyDescent="0.2">
      <c r="A489" t="s">
        <v>62</v>
      </c>
      <c r="B489" t="s">
        <v>97</v>
      </c>
      <c r="C489">
        <v>294</v>
      </c>
      <c r="D489">
        <v>1.3460663885553901</v>
      </c>
      <c r="E489">
        <v>6.8027210884353704E-3</v>
      </c>
      <c r="F489" t="s">
        <v>296</v>
      </c>
    </row>
    <row r="490" spans="1:6" x14ac:dyDescent="0.2">
      <c r="A490" t="s">
        <v>127</v>
      </c>
      <c r="B490" t="s">
        <v>98</v>
      </c>
      <c r="C490">
        <v>294</v>
      </c>
      <c r="D490">
        <v>1.3460663885553901</v>
      </c>
      <c r="E490">
        <v>6.8027210884353704E-3</v>
      </c>
      <c r="F490" t="s">
        <v>296</v>
      </c>
    </row>
    <row r="491" spans="1:6" x14ac:dyDescent="0.2">
      <c r="A491" t="s">
        <v>45</v>
      </c>
      <c r="B491" t="s">
        <v>83</v>
      </c>
      <c r="C491">
        <v>294</v>
      </c>
      <c r="D491">
        <v>1.3460663885553901</v>
      </c>
      <c r="E491">
        <v>6.8027210884353704E-3</v>
      </c>
      <c r="F491" t="s">
        <v>296</v>
      </c>
    </row>
    <row r="492" spans="1:6" x14ac:dyDescent="0.2">
      <c r="A492" t="s">
        <v>85</v>
      </c>
      <c r="B492" t="s">
        <v>66</v>
      </c>
      <c r="C492">
        <v>294</v>
      </c>
      <c r="D492">
        <v>1.3460663885553901</v>
      </c>
      <c r="E492">
        <v>6.8027210884353704E-3</v>
      </c>
      <c r="F492" t="s">
        <v>296</v>
      </c>
    </row>
    <row r="493" spans="1:6" x14ac:dyDescent="0.2">
      <c r="A493" t="s">
        <v>91</v>
      </c>
      <c r="B493" t="s">
        <v>50</v>
      </c>
      <c r="C493">
        <v>294</v>
      </c>
      <c r="D493">
        <v>1.3460663885553901</v>
      </c>
      <c r="E493">
        <v>6.8027210884353704E-3</v>
      </c>
      <c r="F493" t="s">
        <v>296</v>
      </c>
    </row>
    <row r="494" spans="1:6" x14ac:dyDescent="0.2">
      <c r="A494" t="s">
        <v>118</v>
      </c>
      <c r="B494" t="s">
        <v>85</v>
      </c>
      <c r="C494">
        <v>294</v>
      </c>
      <c r="D494">
        <v>1.3460663885553901</v>
      </c>
      <c r="E494">
        <v>6.8027210884353704E-3</v>
      </c>
      <c r="F494" t="s">
        <v>296</v>
      </c>
    </row>
    <row r="495" spans="1:6" x14ac:dyDescent="0.2">
      <c r="A495" t="s">
        <v>32</v>
      </c>
      <c r="B495" t="s">
        <v>74</v>
      </c>
      <c r="C495">
        <v>294</v>
      </c>
      <c r="D495">
        <v>1.3460663885553901</v>
      </c>
      <c r="E495">
        <v>6.8027210884353704E-3</v>
      </c>
      <c r="F495" t="s">
        <v>296</v>
      </c>
    </row>
    <row r="496" spans="1:6" x14ac:dyDescent="0.2">
      <c r="A496" t="s">
        <v>53</v>
      </c>
      <c r="B496" t="s">
        <v>85</v>
      </c>
      <c r="C496">
        <v>294</v>
      </c>
      <c r="D496">
        <v>1.3460663885553901</v>
      </c>
      <c r="E496">
        <v>6.8027210884353704E-3</v>
      </c>
      <c r="F496" t="s">
        <v>296</v>
      </c>
    </row>
    <row r="497" spans="1:6" x14ac:dyDescent="0.2">
      <c r="A497" t="s">
        <v>67</v>
      </c>
      <c r="B497" t="s">
        <v>32</v>
      </c>
      <c r="C497">
        <v>294</v>
      </c>
      <c r="D497">
        <v>1.3460663885553901</v>
      </c>
      <c r="E497">
        <v>6.8027210884353704E-3</v>
      </c>
      <c r="F497" t="s">
        <v>296</v>
      </c>
    </row>
    <row r="498" spans="1:6" x14ac:dyDescent="0.2">
      <c r="A498" t="s">
        <v>75</v>
      </c>
      <c r="B498" t="s">
        <v>118</v>
      </c>
      <c r="C498">
        <v>294</v>
      </c>
      <c r="D498">
        <v>1.3460663885553901</v>
      </c>
      <c r="E498">
        <v>6.8027210884353704E-3</v>
      </c>
      <c r="F498" t="s">
        <v>296</v>
      </c>
    </row>
    <row r="499" spans="1:6" x14ac:dyDescent="0.2">
      <c r="A499" t="s">
        <v>25</v>
      </c>
      <c r="B499" t="s">
        <v>114</v>
      </c>
      <c r="C499">
        <v>294</v>
      </c>
      <c r="D499">
        <v>1.3460663885553901</v>
      </c>
      <c r="E499">
        <v>6.8027210884353704E-3</v>
      </c>
      <c r="F499" t="s">
        <v>296</v>
      </c>
    </row>
    <row r="500" spans="1:6" x14ac:dyDescent="0.2">
      <c r="A500" t="s">
        <v>55</v>
      </c>
      <c r="B500" t="s">
        <v>186</v>
      </c>
      <c r="C500">
        <v>294</v>
      </c>
      <c r="D500">
        <v>1.3460663885553901</v>
      </c>
      <c r="E500">
        <v>6.8027210884353704E-3</v>
      </c>
      <c r="F500" t="s">
        <v>296</v>
      </c>
    </row>
    <row r="501" spans="1:6" x14ac:dyDescent="0.2">
      <c r="A501" t="s">
        <v>47</v>
      </c>
      <c r="B501" t="s">
        <v>97</v>
      </c>
      <c r="C501">
        <v>294</v>
      </c>
      <c r="D501">
        <v>1.3460663885553901</v>
      </c>
      <c r="E501">
        <v>6.8027210884353704E-3</v>
      </c>
      <c r="F501" t="s">
        <v>296</v>
      </c>
    </row>
    <row r="502" spans="1:6" x14ac:dyDescent="0.2">
      <c r="A502" t="s">
        <v>110</v>
      </c>
      <c r="B502" t="s">
        <v>118</v>
      </c>
      <c r="C502">
        <v>294</v>
      </c>
      <c r="D502">
        <v>1.3460663885553901</v>
      </c>
      <c r="E502">
        <v>6.8027210884353704E-3</v>
      </c>
      <c r="F502" t="s">
        <v>296</v>
      </c>
    </row>
    <row r="503" spans="1:6" x14ac:dyDescent="0.2">
      <c r="A503" t="s">
        <v>62</v>
      </c>
      <c r="B503" t="s">
        <v>87</v>
      </c>
      <c r="C503">
        <v>294</v>
      </c>
      <c r="D503">
        <v>1.3460663885553901</v>
      </c>
      <c r="E503">
        <v>6.8027210884353704E-3</v>
      </c>
      <c r="F503" t="s">
        <v>296</v>
      </c>
    </row>
    <row r="504" spans="1:6" x14ac:dyDescent="0.2">
      <c r="A504" t="s">
        <v>68</v>
      </c>
      <c r="B504" t="s">
        <v>91</v>
      </c>
      <c r="C504">
        <v>294</v>
      </c>
      <c r="D504">
        <v>1.3460663885553901</v>
      </c>
      <c r="E504">
        <v>6.8027210884353704E-3</v>
      </c>
      <c r="F504" t="s">
        <v>296</v>
      </c>
    </row>
    <row r="505" spans="1:6" x14ac:dyDescent="0.2">
      <c r="A505" t="s">
        <v>186</v>
      </c>
      <c r="B505" t="s">
        <v>114</v>
      </c>
      <c r="C505">
        <v>294</v>
      </c>
      <c r="D505">
        <v>1.3460663885553901</v>
      </c>
      <c r="E505">
        <v>6.8027210884353704E-3</v>
      </c>
      <c r="F505" t="s">
        <v>296</v>
      </c>
    </row>
    <row r="506" spans="1:6" x14ac:dyDescent="0.2">
      <c r="A506" t="s">
        <v>98</v>
      </c>
      <c r="B506" t="s">
        <v>186</v>
      </c>
      <c r="C506">
        <v>294</v>
      </c>
      <c r="D506">
        <v>1.3460663885553901</v>
      </c>
      <c r="E506">
        <v>6.8027210884353704E-3</v>
      </c>
      <c r="F506" t="s">
        <v>296</v>
      </c>
    </row>
    <row r="507" spans="1:6" x14ac:dyDescent="0.2">
      <c r="A507" t="s">
        <v>47</v>
      </c>
      <c r="B507" t="s">
        <v>68</v>
      </c>
      <c r="C507">
        <v>294</v>
      </c>
      <c r="D507">
        <v>1.3460663885553901</v>
      </c>
      <c r="E507">
        <v>6.8027210884353704E-3</v>
      </c>
      <c r="F507" t="s">
        <v>296</v>
      </c>
    </row>
    <row r="508" spans="1:6" x14ac:dyDescent="0.2">
      <c r="A508" t="s">
        <v>76</v>
      </c>
      <c r="B508" t="s">
        <v>66</v>
      </c>
      <c r="C508">
        <v>294</v>
      </c>
      <c r="D508">
        <v>1.3460663885553901</v>
      </c>
      <c r="E508">
        <v>6.8027210884353704E-3</v>
      </c>
      <c r="F508" t="s">
        <v>296</v>
      </c>
    </row>
    <row r="509" spans="1:6" x14ac:dyDescent="0.2">
      <c r="A509" t="s">
        <v>110</v>
      </c>
      <c r="B509" t="s">
        <v>187</v>
      </c>
      <c r="C509">
        <v>294</v>
      </c>
      <c r="D509">
        <v>1.3460663885553901</v>
      </c>
      <c r="E509">
        <v>6.8027210884353704E-3</v>
      </c>
      <c r="F509" t="s">
        <v>296</v>
      </c>
    </row>
    <row r="510" spans="1:6" x14ac:dyDescent="0.2">
      <c r="A510" t="s">
        <v>212</v>
      </c>
      <c r="B510" t="s">
        <v>67</v>
      </c>
      <c r="C510">
        <v>294</v>
      </c>
      <c r="D510">
        <v>1.3460663885553901</v>
      </c>
      <c r="E510">
        <v>6.8027210884353704E-3</v>
      </c>
      <c r="F510" t="s">
        <v>296</v>
      </c>
    </row>
    <row r="511" spans="1:6" x14ac:dyDescent="0.2">
      <c r="A511" t="s">
        <v>50</v>
      </c>
      <c r="B511" t="s">
        <v>70</v>
      </c>
      <c r="C511">
        <v>294</v>
      </c>
      <c r="D511">
        <v>1.3460663885553901</v>
      </c>
      <c r="E511">
        <v>6.8027210884353704E-3</v>
      </c>
      <c r="F511" t="s">
        <v>296</v>
      </c>
    </row>
    <row r="512" spans="1:6" x14ac:dyDescent="0.2">
      <c r="A512" t="s">
        <v>67</v>
      </c>
      <c r="B512" t="s">
        <v>35</v>
      </c>
      <c r="C512">
        <v>294</v>
      </c>
      <c r="D512">
        <v>1.3460663885553901</v>
      </c>
      <c r="E512">
        <v>6.8027210884353704E-3</v>
      </c>
      <c r="F512" t="s">
        <v>296</v>
      </c>
    </row>
    <row r="513" spans="1:6" x14ac:dyDescent="0.2">
      <c r="A513" t="s">
        <v>70</v>
      </c>
      <c r="B513" t="s">
        <v>120</v>
      </c>
      <c r="C513">
        <v>294</v>
      </c>
      <c r="D513">
        <v>1.3460663885553901</v>
      </c>
      <c r="E513">
        <v>6.8027210884353704E-3</v>
      </c>
      <c r="F513" t="s">
        <v>296</v>
      </c>
    </row>
    <row r="514" spans="1:6" x14ac:dyDescent="0.2">
      <c r="A514" t="s">
        <v>68</v>
      </c>
      <c r="B514" t="s">
        <v>66</v>
      </c>
      <c r="C514">
        <v>294</v>
      </c>
      <c r="D514">
        <v>1.3460663885553901</v>
      </c>
      <c r="E514">
        <v>6.8027210884353704E-3</v>
      </c>
      <c r="F514" t="s">
        <v>296</v>
      </c>
    </row>
    <row r="515" spans="1:6" x14ac:dyDescent="0.2">
      <c r="A515" t="s">
        <v>91</v>
      </c>
      <c r="B515" t="s">
        <v>75</v>
      </c>
      <c r="C515">
        <v>294</v>
      </c>
      <c r="D515">
        <v>1.3460663885553901</v>
      </c>
      <c r="E515">
        <v>6.8027210884353704E-3</v>
      </c>
      <c r="F515" t="s">
        <v>296</v>
      </c>
    </row>
    <row r="516" spans="1:6" x14ac:dyDescent="0.2">
      <c r="A516" t="s">
        <v>70</v>
      </c>
      <c r="B516" t="s">
        <v>119</v>
      </c>
      <c r="C516">
        <v>294</v>
      </c>
      <c r="D516">
        <v>1.3460663885553901</v>
      </c>
      <c r="E516">
        <v>6.8027210884353704E-3</v>
      </c>
      <c r="F516" t="s">
        <v>296</v>
      </c>
    </row>
    <row r="517" spans="1:6" x14ac:dyDescent="0.2">
      <c r="A517" t="s">
        <v>129</v>
      </c>
      <c r="B517" t="s">
        <v>66</v>
      </c>
      <c r="C517">
        <v>294</v>
      </c>
      <c r="D517">
        <v>1.3460663885553901</v>
      </c>
      <c r="E517">
        <v>6.8027210884353704E-3</v>
      </c>
      <c r="F517" t="s">
        <v>296</v>
      </c>
    </row>
    <row r="518" spans="1:6" x14ac:dyDescent="0.2">
      <c r="A518" t="s">
        <v>57</v>
      </c>
      <c r="B518" t="s">
        <v>70</v>
      </c>
      <c r="C518">
        <v>294</v>
      </c>
      <c r="D518">
        <v>1.3460663885553901</v>
      </c>
      <c r="E518">
        <v>6.8027210884353704E-3</v>
      </c>
      <c r="F518" t="s">
        <v>296</v>
      </c>
    </row>
    <row r="519" spans="1:6" x14ac:dyDescent="0.2">
      <c r="A519" t="s">
        <v>75</v>
      </c>
      <c r="B519" t="s">
        <v>66</v>
      </c>
      <c r="C519">
        <v>294</v>
      </c>
      <c r="D519">
        <v>1.3460663885553901</v>
      </c>
      <c r="E519">
        <v>6.8027210884353704E-3</v>
      </c>
      <c r="F519" t="s">
        <v>296</v>
      </c>
    </row>
    <row r="520" spans="1:6" x14ac:dyDescent="0.2">
      <c r="A520" t="s">
        <v>83</v>
      </c>
      <c r="B520" t="s">
        <v>87</v>
      </c>
      <c r="C520">
        <v>294</v>
      </c>
      <c r="D520">
        <v>1.3460663885553901</v>
      </c>
      <c r="E520">
        <v>6.8027210884353704E-3</v>
      </c>
      <c r="F520" t="s">
        <v>296</v>
      </c>
    </row>
    <row r="521" spans="1:6" x14ac:dyDescent="0.2">
      <c r="A521" t="s">
        <v>50</v>
      </c>
      <c r="B521" t="s">
        <v>25</v>
      </c>
      <c r="C521">
        <v>294</v>
      </c>
      <c r="D521">
        <v>1.3460663885553901</v>
      </c>
      <c r="E521">
        <v>6.8027210884353704E-3</v>
      </c>
      <c r="F521" t="s">
        <v>296</v>
      </c>
    </row>
    <row r="522" spans="1:6" x14ac:dyDescent="0.2">
      <c r="A522" t="s">
        <v>212</v>
      </c>
      <c r="B522" t="s">
        <v>85</v>
      </c>
      <c r="C522">
        <v>294</v>
      </c>
      <c r="D522">
        <v>1.3460663885553901</v>
      </c>
      <c r="E522">
        <v>6.8027210884353704E-3</v>
      </c>
      <c r="F522" t="s">
        <v>296</v>
      </c>
    </row>
    <row r="523" spans="1:6" x14ac:dyDescent="0.2">
      <c r="A523" t="s">
        <v>127</v>
      </c>
      <c r="B523" t="s">
        <v>187</v>
      </c>
      <c r="C523">
        <v>294</v>
      </c>
      <c r="D523">
        <v>1.3460663885553901</v>
      </c>
      <c r="E523">
        <v>6.8027210884353704E-3</v>
      </c>
      <c r="F523" t="s">
        <v>296</v>
      </c>
    </row>
    <row r="524" spans="1:6" x14ac:dyDescent="0.2">
      <c r="A524" t="s">
        <v>67</v>
      </c>
      <c r="B524" t="s">
        <v>55</v>
      </c>
      <c r="C524">
        <v>294</v>
      </c>
      <c r="D524">
        <v>1.3460663885553901</v>
      </c>
      <c r="E524">
        <v>6.8027210884353704E-3</v>
      </c>
      <c r="F524" t="s">
        <v>296</v>
      </c>
    </row>
    <row r="525" spans="1:6" x14ac:dyDescent="0.2">
      <c r="A525" t="s">
        <v>47</v>
      </c>
      <c r="B525" t="s">
        <v>85</v>
      </c>
      <c r="C525">
        <v>294</v>
      </c>
      <c r="D525">
        <v>1.3460663885553901</v>
      </c>
      <c r="E525">
        <v>6.8027210884353704E-3</v>
      </c>
      <c r="F525" t="s">
        <v>296</v>
      </c>
    </row>
    <row r="526" spans="1:6" x14ac:dyDescent="0.2">
      <c r="A526" t="s">
        <v>85</v>
      </c>
      <c r="B526" t="s">
        <v>129</v>
      </c>
      <c r="C526">
        <v>294</v>
      </c>
      <c r="D526">
        <v>1.3460663885553901</v>
      </c>
      <c r="E526">
        <v>6.8027210884353704E-3</v>
      </c>
      <c r="F526" t="s">
        <v>296</v>
      </c>
    </row>
    <row r="527" spans="1:6" x14ac:dyDescent="0.2">
      <c r="A527" t="s">
        <v>57</v>
      </c>
      <c r="B527" t="s">
        <v>186</v>
      </c>
      <c r="C527">
        <v>294</v>
      </c>
      <c r="D527">
        <v>1.3460663885553901</v>
      </c>
      <c r="E527">
        <v>6.8027210884353704E-3</v>
      </c>
      <c r="F527" t="s">
        <v>296</v>
      </c>
    </row>
    <row r="528" spans="1:6" x14ac:dyDescent="0.2">
      <c r="A528" t="s">
        <v>32</v>
      </c>
      <c r="B528" t="s">
        <v>45</v>
      </c>
      <c r="C528">
        <v>294</v>
      </c>
      <c r="D528">
        <v>1.3460663885553901</v>
      </c>
      <c r="E528">
        <v>6.8027210884353704E-3</v>
      </c>
      <c r="F528" t="s">
        <v>296</v>
      </c>
    </row>
    <row r="529" spans="1:6" x14ac:dyDescent="0.2">
      <c r="A529" t="s">
        <v>212</v>
      </c>
      <c r="B529" t="s">
        <v>97</v>
      </c>
      <c r="C529">
        <v>294</v>
      </c>
      <c r="D529">
        <v>1.3460663885553901</v>
      </c>
      <c r="E529">
        <v>6.8027210884353704E-3</v>
      </c>
      <c r="F529" t="s">
        <v>296</v>
      </c>
    </row>
    <row r="530" spans="1:6" x14ac:dyDescent="0.2">
      <c r="A530" t="s">
        <v>67</v>
      </c>
      <c r="B530" t="s">
        <v>114</v>
      </c>
      <c r="C530">
        <v>294</v>
      </c>
      <c r="D530">
        <v>1.3460663885553901</v>
      </c>
      <c r="E530">
        <v>6.8027210884353704E-3</v>
      </c>
      <c r="F530" t="s">
        <v>296</v>
      </c>
    </row>
    <row r="531" spans="1:6" x14ac:dyDescent="0.2">
      <c r="A531" t="s">
        <v>32</v>
      </c>
      <c r="B531" t="s">
        <v>118</v>
      </c>
      <c r="C531">
        <v>294</v>
      </c>
      <c r="D531">
        <v>1.3460663885553901</v>
      </c>
      <c r="E531">
        <v>6.8027210884353704E-3</v>
      </c>
      <c r="F531" t="s">
        <v>296</v>
      </c>
    </row>
    <row r="532" spans="1:6" x14ac:dyDescent="0.2">
      <c r="A532" t="s">
        <v>32</v>
      </c>
      <c r="B532" t="s">
        <v>120</v>
      </c>
      <c r="C532">
        <v>294</v>
      </c>
      <c r="D532">
        <v>1.3460663885553901</v>
      </c>
      <c r="E532">
        <v>6.8027210884353704E-3</v>
      </c>
      <c r="F532" t="s">
        <v>296</v>
      </c>
    </row>
    <row r="533" spans="1:6" x14ac:dyDescent="0.2">
      <c r="A533" t="s">
        <v>50</v>
      </c>
      <c r="B533" t="s">
        <v>83</v>
      </c>
      <c r="C533">
        <v>294</v>
      </c>
      <c r="D533">
        <v>1.3460663885553901</v>
      </c>
      <c r="E533">
        <v>6.8027210884353704E-3</v>
      </c>
      <c r="F533" t="s">
        <v>296</v>
      </c>
    </row>
    <row r="534" spans="1:6" x14ac:dyDescent="0.2">
      <c r="A534" t="s">
        <v>212</v>
      </c>
      <c r="B534" t="s">
        <v>57</v>
      </c>
      <c r="C534">
        <v>294</v>
      </c>
      <c r="D534">
        <v>1.3460663885553901</v>
      </c>
      <c r="E534">
        <v>6.8027210884353704E-3</v>
      </c>
      <c r="F534" t="s">
        <v>296</v>
      </c>
    </row>
    <row r="535" spans="1:6" x14ac:dyDescent="0.2">
      <c r="A535" t="s">
        <v>98</v>
      </c>
      <c r="B535" t="s">
        <v>50</v>
      </c>
      <c r="C535">
        <v>294</v>
      </c>
      <c r="D535">
        <v>1.3460663885553901</v>
      </c>
      <c r="E535">
        <v>6.8027210884353704E-3</v>
      </c>
      <c r="F535" t="s">
        <v>296</v>
      </c>
    </row>
    <row r="536" spans="1:6" x14ac:dyDescent="0.2">
      <c r="A536" t="s">
        <v>25</v>
      </c>
      <c r="B536" t="s">
        <v>83</v>
      </c>
      <c r="C536">
        <v>294</v>
      </c>
      <c r="D536">
        <v>1.3460663885553901</v>
      </c>
      <c r="E536">
        <v>6.8027210884353704E-3</v>
      </c>
      <c r="F536" t="s">
        <v>296</v>
      </c>
    </row>
    <row r="537" spans="1:6" x14ac:dyDescent="0.2">
      <c r="A537" t="s">
        <v>47</v>
      </c>
      <c r="B537" t="s">
        <v>75</v>
      </c>
      <c r="C537">
        <v>294</v>
      </c>
      <c r="D537">
        <v>1.3460663885553901</v>
      </c>
      <c r="E537">
        <v>6.8027210884353704E-3</v>
      </c>
      <c r="F537" t="s">
        <v>296</v>
      </c>
    </row>
    <row r="538" spans="1:6" x14ac:dyDescent="0.2">
      <c r="A538" t="s">
        <v>110</v>
      </c>
      <c r="B538" t="s">
        <v>70</v>
      </c>
      <c r="C538">
        <v>294</v>
      </c>
      <c r="D538">
        <v>1.3460663885553901</v>
      </c>
      <c r="E538">
        <v>6.8027210884353704E-3</v>
      </c>
      <c r="F538" t="s">
        <v>296</v>
      </c>
    </row>
    <row r="539" spans="1:6" x14ac:dyDescent="0.2">
      <c r="A539" t="s">
        <v>187</v>
      </c>
      <c r="B539" t="s">
        <v>74</v>
      </c>
      <c r="C539">
        <v>294</v>
      </c>
      <c r="D539">
        <v>1.3460663885553901</v>
      </c>
      <c r="E539">
        <v>6.8027210884353704E-3</v>
      </c>
      <c r="F539" t="s">
        <v>296</v>
      </c>
    </row>
    <row r="540" spans="1:6" x14ac:dyDescent="0.2">
      <c r="A540" t="s">
        <v>212</v>
      </c>
      <c r="B540" t="s">
        <v>68</v>
      </c>
      <c r="C540">
        <v>294</v>
      </c>
      <c r="D540">
        <v>1.3460663885553901</v>
      </c>
      <c r="E540">
        <v>6.8027210884353704E-3</v>
      </c>
      <c r="F540" t="s">
        <v>296</v>
      </c>
    </row>
    <row r="541" spans="1:6" x14ac:dyDescent="0.2">
      <c r="A541" t="s">
        <v>62</v>
      </c>
      <c r="B541" t="s">
        <v>45</v>
      </c>
      <c r="C541">
        <v>294</v>
      </c>
      <c r="D541">
        <v>1.3460663885553901</v>
      </c>
      <c r="E541">
        <v>6.8027210884353704E-3</v>
      </c>
      <c r="F541" t="s">
        <v>296</v>
      </c>
    </row>
    <row r="542" spans="1:6" x14ac:dyDescent="0.2">
      <c r="A542" t="s">
        <v>55</v>
      </c>
      <c r="B542" t="s">
        <v>120</v>
      </c>
      <c r="C542">
        <v>294</v>
      </c>
      <c r="D542">
        <v>1.3460663885553901</v>
      </c>
      <c r="E542">
        <v>6.8027210884353704E-3</v>
      </c>
      <c r="F542" t="s">
        <v>296</v>
      </c>
    </row>
    <row r="543" spans="1:6" x14ac:dyDescent="0.2">
      <c r="A543" t="s">
        <v>127</v>
      </c>
      <c r="B543" t="s">
        <v>32</v>
      </c>
      <c r="C543">
        <v>294</v>
      </c>
      <c r="D543">
        <v>1.3460663885553901</v>
      </c>
      <c r="E543">
        <v>6.8027210884353704E-3</v>
      </c>
      <c r="F543" t="s">
        <v>296</v>
      </c>
    </row>
    <row r="544" spans="1:6" x14ac:dyDescent="0.2">
      <c r="A544" t="s">
        <v>35</v>
      </c>
      <c r="B544" t="s">
        <v>57</v>
      </c>
      <c r="C544">
        <v>294</v>
      </c>
      <c r="D544">
        <v>1.3460663885553901</v>
      </c>
      <c r="E544">
        <v>6.8027210884353704E-3</v>
      </c>
      <c r="F544" t="s">
        <v>296</v>
      </c>
    </row>
    <row r="545" spans="1:6" x14ac:dyDescent="0.2">
      <c r="A545" t="s">
        <v>67</v>
      </c>
      <c r="B545" t="s">
        <v>53</v>
      </c>
      <c r="C545">
        <v>294</v>
      </c>
      <c r="D545">
        <v>1.3460663885553901</v>
      </c>
      <c r="E545">
        <v>6.8027210884353704E-3</v>
      </c>
      <c r="F545" t="s">
        <v>296</v>
      </c>
    </row>
    <row r="546" spans="1:6" x14ac:dyDescent="0.2">
      <c r="A546" t="s">
        <v>127</v>
      </c>
      <c r="B546" t="s">
        <v>87</v>
      </c>
      <c r="C546">
        <v>294</v>
      </c>
      <c r="D546">
        <v>1.3460663885553901</v>
      </c>
      <c r="E546">
        <v>6.8027210884353704E-3</v>
      </c>
      <c r="F546" t="s">
        <v>296</v>
      </c>
    </row>
    <row r="547" spans="1:6" x14ac:dyDescent="0.2">
      <c r="A547" t="s">
        <v>53</v>
      </c>
      <c r="B547" t="s">
        <v>129</v>
      </c>
      <c r="C547">
        <v>294</v>
      </c>
      <c r="D547">
        <v>1.3460663885553901</v>
      </c>
      <c r="E547">
        <v>6.8027210884353704E-3</v>
      </c>
      <c r="F547" t="s">
        <v>296</v>
      </c>
    </row>
    <row r="548" spans="1:6" x14ac:dyDescent="0.2">
      <c r="A548" t="s">
        <v>57</v>
      </c>
      <c r="B548" t="s">
        <v>119</v>
      </c>
      <c r="C548">
        <v>294</v>
      </c>
      <c r="D548">
        <v>1.3460663885553901</v>
      </c>
      <c r="E548">
        <v>6.8027210884353704E-3</v>
      </c>
      <c r="F548" t="s">
        <v>296</v>
      </c>
    </row>
    <row r="549" spans="1:6" x14ac:dyDescent="0.2">
      <c r="A549" t="s">
        <v>62</v>
      </c>
      <c r="B549" t="s">
        <v>57</v>
      </c>
      <c r="C549">
        <v>294</v>
      </c>
      <c r="D549">
        <v>1.3460663885553901</v>
      </c>
      <c r="E549">
        <v>6.8027210884353704E-3</v>
      </c>
      <c r="F549" t="s">
        <v>296</v>
      </c>
    </row>
    <row r="550" spans="1:6" x14ac:dyDescent="0.2">
      <c r="A550" t="s">
        <v>110</v>
      </c>
      <c r="B550" t="s">
        <v>75</v>
      </c>
      <c r="C550">
        <v>294</v>
      </c>
      <c r="D550">
        <v>1.3460663885553901</v>
      </c>
      <c r="E550">
        <v>6.8027210884353704E-3</v>
      </c>
      <c r="F550" t="s">
        <v>296</v>
      </c>
    </row>
    <row r="551" spans="1:6" x14ac:dyDescent="0.2">
      <c r="A551" t="s">
        <v>187</v>
      </c>
      <c r="B551" t="s">
        <v>120</v>
      </c>
      <c r="C551">
        <v>294</v>
      </c>
      <c r="D551">
        <v>1.3460663885553901</v>
      </c>
      <c r="E551">
        <v>6.8027210884353704E-3</v>
      </c>
      <c r="F551" t="s">
        <v>296</v>
      </c>
    </row>
    <row r="552" spans="1:6" x14ac:dyDescent="0.2">
      <c r="A552" t="s">
        <v>53</v>
      </c>
      <c r="B552" t="s">
        <v>120</v>
      </c>
      <c r="C552">
        <v>294</v>
      </c>
      <c r="D552">
        <v>1.3460663885553901</v>
      </c>
      <c r="E552">
        <v>6.8027210884353704E-3</v>
      </c>
      <c r="F552" t="s">
        <v>296</v>
      </c>
    </row>
    <row r="553" spans="1:6" x14ac:dyDescent="0.2">
      <c r="A553" t="s">
        <v>118</v>
      </c>
      <c r="B553" t="s">
        <v>55</v>
      </c>
      <c r="C553">
        <v>294</v>
      </c>
      <c r="D553">
        <v>1.3460663885553901</v>
      </c>
      <c r="E553">
        <v>6.8027210884353704E-3</v>
      </c>
      <c r="F553" t="s">
        <v>296</v>
      </c>
    </row>
    <row r="554" spans="1:6" x14ac:dyDescent="0.2">
      <c r="A554" t="s">
        <v>212</v>
      </c>
      <c r="B554" t="s">
        <v>55</v>
      </c>
      <c r="C554">
        <v>294</v>
      </c>
      <c r="D554">
        <v>1.3460663885553901</v>
      </c>
      <c r="E554">
        <v>6.8027210884353704E-3</v>
      </c>
      <c r="F554" t="s">
        <v>296</v>
      </c>
    </row>
    <row r="555" spans="1:6" x14ac:dyDescent="0.2">
      <c r="A555" t="s">
        <v>66</v>
      </c>
      <c r="B555" t="s">
        <v>87</v>
      </c>
      <c r="C555">
        <v>294</v>
      </c>
      <c r="D555">
        <v>1.3460663885553901</v>
      </c>
      <c r="E555">
        <v>6.8027210884353704E-3</v>
      </c>
      <c r="F555" t="s">
        <v>296</v>
      </c>
    </row>
    <row r="556" spans="1:6" x14ac:dyDescent="0.2">
      <c r="A556" t="s">
        <v>75</v>
      </c>
      <c r="B556" t="s">
        <v>70</v>
      </c>
      <c r="C556">
        <v>294</v>
      </c>
      <c r="D556">
        <v>1.3460663885553901</v>
      </c>
      <c r="E556">
        <v>6.8027210884353704E-3</v>
      </c>
      <c r="F556" t="s">
        <v>296</v>
      </c>
    </row>
    <row r="557" spans="1:6" x14ac:dyDescent="0.2">
      <c r="A557" t="s">
        <v>68</v>
      </c>
      <c r="B557" t="s">
        <v>76</v>
      </c>
      <c r="C557">
        <v>294</v>
      </c>
      <c r="D557">
        <v>1.3460663885553901</v>
      </c>
      <c r="E557">
        <v>6.8027210884353704E-3</v>
      </c>
      <c r="F557" t="s">
        <v>296</v>
      </c>
    </row>
    <row r="558" spans="1:6" x14ac:dyDescent="0.2">
      <c r="A558" t="s">
        <v>68</v>
      </c>
      <c r="B558" t="s">
        <v>50</v>
      </c>
      <c r="C558">
        <v>294</v>
      </c>
      <c r="D558">
        <v>1.3460663885553901</v>
      </c>
      <c r="E558">
        <v>6.8027210884353704E-3</v>
      </c>
      <c r="F558" t="s">
        <v>296</v>
      </c>
    </row>
    <row r="559" spans="1:6" x14ac:dyDescent="0.2">
      <c r="A559" t="s">
        <v>98</v>
      </c>
      <c r="B559" t="s">
        <v>62</v>
      </c>
      <c r="C559">
        <v>294</v>
      </c>
      <c r="D559">
        <v>1.3460663885553901</v>
      </c>
      <c r="E559">
        <v>6.8027210884353704E-3</v>
      </c>
      <c r="F559" t="s">
        <v>296</v>
      </c>
    </row>
    <row r="560" spans="1:6" x14ac:dyDescent="0.2">
      <c r="A560" t="s">
        <v>57</v>
      </c>
      <c r="B560" t="s">
        <v>97</v>
      </c>
      <c r="C560">
        <v>294</v>
      </c>
      <c r="D560">
        <v>1.3460663885553901</v>
      </c>
      <c r="E560">
        <v>6.8027210884353704E-3</v>
      </c>
      <c r="F560" t="s">
        <v>296</v>
      </c>
    </row>
    <row r="561" spans="1:6" x14ac:dyDescent="0.2">
      <c r="A561" t="s">
        <v>98</v>
      </c>
      <c r="B561" t="s">
        <v>55</v>
      </c>
      <c r="C561">
        <v>294</v>
      </c>
      <c r="D561">
        <v>1.3460663885553901</v>
      </c>
      <c r="E561">
        <v>6.8027210884353704E-3</v>
      </c>
      <c r="F561" t="s">
        <v>296</v>
      </c>
    </row>
    <row r="562" spans="1:6" x14ac:dyDescent="0.2">
      <c r="A562" t="s">
        <v>62</v>
      </c>
      <c r="B562" t="s">
        <v>55</v>
      </c>
      <c r="C562">
        <v>294</v>
      </c>
      <c r="D562">
        <v>1.3460663885553901</v>
      </c>
      <c r="E562">
        <v>6.8027210884353704E-3</v>
      </c>
      <c r="F562" t="s">
        <v>296</v>
      </c>
    </row>
    <row r="563" spans="1:6" x14ac:dyDescent="0.2">
      <c r="A563" t="s">
        <v>62</v>
      </c>
      <c r="B563" t="s">
        <v>119</v>
      </c>
      <c r="C563">
        <v>294</v>
      </c>
      <c r="D563">
        <v>1.3460663885553901</v>
      </c>
      <c r="E563">
        <v>6.8027210884353704E-3</v>
      </c>
      <c r="F563" t="s">
        <v>296</v>
      </c>
    </row>
    <row r="564" spans="1:6" x14ac:dyDescent="0.2">
      <c r="A564" t="s">
        <v>32</v>
      </c>
      <c r="B564" t="s">
        <v>57</v>
      </c>
      <c r="C564">
        <v>294</v>
      </c>
      <c r="D564">
        <v>1.3460663885553901</v>
      </c>
      <c r="E564">
        <v>6.8027210884353704E-3</v>
      </c>
      <c r="F564" t="s">
        <v>296</v>
      </c>
    </row>
    <row r="565" spans="1:6" x14ac:dyDescent="0.2">
      <c r="A565" t="s">
        <v>91</v>
      </c>
      <c r="B565" t="s">
        <v>87</v>
      </c>
      <c r="C565">
        <v>294</v>
      </c>
      <c r="D565">
        <v>1.3460663885553901</v>
      </c>
      <c r="E565">
        <v>6.8027210884353704E-3</v>
      </c>
      <c r="F565" t="s">
        <v>296</v>
      </c>
    </row>
    <row r="566" spans="1:6" x14ac:dyDescent="0.2">
      <c r="A566" t="s">
        <v>76</v>
      </c>
      <c r="B566" t="s">
        <v>53</v>
      </c>
      <c r="C566">
        <v>294</v>
      </c>
      <c r="D566">
        <v>1.3460663885553901</v>
      </c>
      <c r="E566">
        <v>6.8027210884353704E-3</v>
      </c>
      <c r="F566" t="s">
        <v>296</v>
      </c>
    </row>
    <row r="567" spans="1:6" x14ac:dyDescent="0.2">
      <c r="A567" t="s">
        <v>67</v>
      </c>
      <c r="B567" t="s">
        <v>74</v>
      </c>
      <c r="C567">
        <v>294</v>
      </c>
      <c r="D567">
        <v>1.3460663885553901</v>
      </c>
      <c r="E567">
        <v>6.8027210884353704E-3</v>
      </c>
      <c r="F567" t="s">
        <v>296</v>
      </c>
    </row>
    <row r="568" spans="1:6" x14ac:dyDescent="0.2">
      <c r="A568" t="s">
        <v>76</v>
      </c>
      <c r="B568" t="s">
        <v>97</v>
      </c>
      <c r="C568">
        <v>294</v>
      </c>
      <c r="D568">
        <v>1.3460663885553901</v>
      </c>
      <c r="E568">
        <v>6.8027210884353704E-3</v>
      </c>
      <c r="F568" t="s">
        <v>296</v>
      </c>
    </row>
    <row r="569" spans="1:6" x14ac:dyDescent="0.2">
      <c r="A569" t="s">
        <v>67</v>
      </c>
      <c r="B569" t="s">
        <v>187</v>
      </c>
      <c r="C569">
        <v>294</v>
      </c>
      <c r="D569">
        <v>1.3460663885553901</v>
      </c>
      <c r="E569">
        <v>6.8027210884353704E-3</v>
      </c>
      <c r="F569" t="s">
        <v>296</v>
      </c>
    </row>
    <row r="570" spans="1:6" x14ac:dyDescent="0.2">
      <c r="A570" t="s">
        <v>75</v>
      </c>
      <c r="B570" t="s">
        <v>129</v>
      </c>
      <c r="C570">
        <v>294</v>
      </c>
      <c r="D570">
        <v>1.3460663885553901</v>
      </c>
      <c r="E570">
        <v>6.8027210884353704E-3</v>
      </c>
      <c r="F570" t="s">
        <v>296</v>
      </c>
    </row>
    <row r="571" spans="1:6" x14ac:dyDescent="0.2">
      <c r="A571" t="s">
        <v>67</v>
      </c>
      <c r="B571" t="s">
        <v>47</v>
      </c>
      <c r="C571">
        <v>294</v>
      </c>
      <c r="D571">
        <v>1.3460663885553901</v>
      </c>
      <c r="E571">
        <v>6.8027210884353704E-3</v>
      </c>
      <c r="F571" t="s">
        <v>296</v>
      </c>
    </row>
    <row r="572" spans="1:6" x14ac:dyDescent="0.2">
      <c r="A572" t="s">
        <v>47</v>
      </c>
      <c r="B572" t="s">
        <v>76</v>
      </c>
      <c r="C572">
        <v>294</v>
      </c>
      <c r="D572">
        <v>1.3460663885553901</v>
      </c>
      <c r="E572">
        <v>6.8027210884353704E-3</v>
      </c>
      <c r="F572" t="s">
        <v>296</v>
      </c>
    </row>
    <row r="573" spans="1:6" x14ac:dyDescent="0.2">
      <c r="A573" t="s">
        <v>50</v>
      </c>
      <c r="B573" t="s">
        <v>118</v>
      </c>
      <c r="C573">
        <v>294</v>
      </c>
      <c r="D573">
        <v>1.3460663885553901</v>
      </c>
      <c r="E573">
        <v>6.8027210884353704E-3</v>
      </c>
      <c r="F573" t="s">
        <v>296</v>
      </c>
    </row>
    <row r="574" spans="1:6" x14ac:dyDescent="0.2">
      <c r="A574" t="s">
        <v>67</v>
      </c>
      <c r="B574" t="s">
        <v>85</v>
      </c>
      <c r="C574">
        <v>294</v>
      </c>
      <c r="D574">
        <v>1.3460663885553901</v>
      </c>
      <c r="E574">
        <v>6.8027210884353704E-3</v>
      </c>
      <c r="F574" t="s">
        <v>296</v>
      </c>
    </row>
    <row r="575" spans="1:6" x14ac:dyDescent="0.2">
      <c r="A575" t="s">
        <v>98</v>
      </c>
      <c r="B575" t="s">
        <v>119</v>
      </c>
      <c r="C575">
        <v>294</v>
      </c>
      <c r="D575">
        <v>1.3460663885553901</v>
      </c>
      <c r="E575">
        <v>6.8027210884353704E-3</v>
      </c>
      <c r="F575" t="s">
        <v>296</v>
      </c>
    </row>
    <row r="576" spans="1:6" x14ac:dyDescent="0.2">
      <c r="A576" t="s">
        <v>57</v>
      </c>
      <c r="B576" t="s">
        <v>53</v>
      </c>
      <c r="C576">
        <v>294</v>
      </c>
      <c r="D576">
        <v>1.3460663885553901</v>
      </c>
      <c r="E576">
        <v>6.8027210884353704E-3</v>
      </c>
      <c r="F576" t="s">
        <v>296</v>
      </c>
    </row>
    <row r="577" spans="1:6" x14ac:dyDescent="0.2">
      <c r="A577" t="s">
        <v>98</v>
      </c>
      <c r="B577" t="s">
        <v>91</v>
      </c>
      <c r="C577">
        <v>294</v>
      </c>
      <c r="D577">
        <v>1.3460663885553901</v>
      </c>
      <c r="E577">
        <v>6.8027210884353704E-3</v>
      </c>
      <c r="F577" t="s">
        <v>296</v>
      </c>
    </row>
    <row r="578" spans="1:6" x14ac:dyDescent="0.2">
      <c r="A578" t="s">
        <v>62</v>
      </c>
      <c r="B578" t="s">
        <v>25</v>
      </c>
      <c r="C578">
        <v>294</v>
      </c>
      <c r="D578">
        <v>1.3460663885553901</v>
      </c>
      <c r="E578">
        <v>6.8027210884353704E-3</v>
      </c>
      <c r="F578" t="s">
        <v>296</v>
      </c>
    </row>
    <row r="579" spans="1:6" x14ac:dyDescent="0.2">
      <c r="A579" t="s">
        <v>68</v>
      </c>
      <c r="B579" t="s">
        <v>119</v>
      </c>
      <c r="C579">
        <v>294</v>
      </c>
      <c r="D579">
        <v>1.3460663885553901</v>
      </c>
      <c r="E579">
        <v>6.8027210884353704E-3</v>
      </c>
      <c r="F579" t="s">
        <v>296</v>
      </c>
    </row>
    <row r="580" spans="1:6" x14ac:dyDescent="0.2">
      <c r="A580" t="s">
        <v>75</v>
      </c>
      <c r="B580" t="s">
        <v>120</v>
      </c>
      <c r="C580">
        <v>294</v>
      </c>
      <c r="D580">
        <v>1.3460663885553901</v>
      </c>
      <c r="E580">
        <v>6.8027210884353704E-3</v>
      </c>
      <c r="F580" t="s">
        <v>296</v>
      </c>
    </row>
    <row r="581" spans="1:6" x14ac:dyDescent="0.2">
      <c r="A581" t="s">
        <v>74</v>
      </c>
      <c r="B581" t="s">
        <v>85</v>
      </c>
      <c r="C581">
        <v>294</v>
      </c>
      <c r="D581">
        <v>1.3460663885553901</v>
      </c>
      <c r="E581">
        <v>6.8027210884353704E-3</v>
      </c>
      <c r="F581" t="s">
        <v>296</v>
      </c>
    </row>
    <row r="582" spans="1:6" x14ac:dyDescent="0.2">
      <c r="A582" t="s">
        <v>50</v>
      </c>
      <c r="B582" t="s">
        <v>74</v>
      </c>
      <c r="C582">
        <v>294</v>
      </c>
      <c r="D582">
        <v>1.3460663885553901</v>
      </c>
      <c r="E582">
        <v>6.8027210884353704E-3</v>
      </c>
      <c r="F582" t="s">
        <v>296</v>
      </c>
    </row>
    <row r="583" spans="1:6" x14ac:dyDescent="0.2">
      <c r="A583" t="s">
        <v>75</v>
      </c>
      <c r="B583" t="s">
        <v>83</v>
      </c>
      <c r="C583">
        <v>294</v>
      </c>
      <c r="D583">
        <v>1.3460663885553901</v>
      </c>
      <c r="E583">
        <v>6.8027210884353704E-3</v>
      </c>
      <c r="F583" t="s">
        <v>296</v>
      </c>
    </row>
    <row r="584" spans="1:6" x14ac:dyDescent="0.2">
      <c r="A584" t="s">
        <v>212</v>
      </c>
      <c r="B584" t="s">
        <v>83</v>
      </c>
      <c r="C584">
        <v>294</v>
      </c>
      <c r="D584">
        <v>1.3460663885553901</v>
      </c>
      <c r="E584">
        <v>6.8027210884353704E-3</v>
      </c>
      <c r="F584" t="s">
        <v>296</v>
      </c>
    </row>
    <row r="585" spans="1:6" x14ac:dyDescent="0.2">
      <c r="A585" t="s">
        <v>76</v>
      </c>
      <c r="B585" t="s">
        <v>186</v>
      </c>
      <c r="C585">
        <v>294</v>
      </c>
      <c r="D585">
        <v>1.3460663885553901</v>
      </c>
      <c r="E585">
        <v>6.8027210884353704E-3</v>
      </c>
      <c r="F585" t="s">
        <v>296</v>
      </c>
    </row>
    <row r="586" spans="1:6" x14ac:dyDescent="0.2">
      <c r="A586" t="s">
        <v>91</v>
      </c>
      <c r="B586" t="s">
        <v>129</v>
      </c>
      <c r="C586">
        <v>294</v>
      </c>
      <c r="D586">
        <v>1.3460663885553901</v>
      </c>
      <c r="E586">
        <v>6.8027210884353704E-3</v>
      </c>
      <c r="F586" t="s">
        <v>296</v>
      </c>
    </row>
    <row r="587" spans="1:6" x14ac:dyDescent="0.2">
      <c r="A587" t="s">
        <v>74</v>
      </c>
      <c r="B587" t="s">
        <v>120</v>
      </c>
      <c r="C587">
        <v>294</v>
      </c>
      <c r="D587">
        <v>1.3460663885553901</v>
      </c>
      <c r="E587">
        <v>6.8027210884353704E-3</v>
      </c>
      <c r="F587" t="s">
        <v>296</v>
      </c>
    </row>
    <row r="588" spans="1:6" x14ac:dyDescent="0.2">
      <c r="A588" t="s">
        <v>110</v>
      </c>
      <c r="B588" t="s">
        <v>186</v>
      </c>
      <c r="C588">
        <v>294</v>
      </c>
      <c r="D588">
        <v>1.3460663885553901</v>
      </c>
      <c r="E588">
        <v>6.8027210884353704E-3</v>
      </c>
      <c r="F588" t="s">
        <v>296</v>
      </c>
    </row>
    <row r="589" spans="1:6" x14ac:dyDescent="0.2">
      <c r="A589" t="s">
        <v>74</v>
      </c>
      <c r="B589" t="s">
        <v>66</v>
      </c>
      <c r="C589">
        <v>294</v>
      </c>
      <c r="D589">
        <v>1.3460663885553901</v>
      </c>
      <c r="E589">
        <v>6.8027210884353704E-3</v>
      </c>
      <c r="F589" t="s">
        <v>296</v>
      </c>
    </row>
    <row r="590" spans="1:6" x14ac:dyDescent="0.2">
      <c r="A590" t="s">
        <v>212</v>
      </c>
      <c r="B590" t="s">
        <v>53</v>
      </c>
      <c r="C590">
        <v>294</v>
      </c>
      <c r="D590">
        <v>1.3460663885553901</v>
      </c>
      <c r="E590">
        <v>6.8027210884353704E-3</v>
      </c>
      <c r="F590" t="s">
        <v>296</v>
      </c>
    </row>
    <row r="591" spans="1:6" x14ac:dyDescent="0.2">
      <c r="A591" t="s">
        <v>25</v>
      </c>
      <c r="B591" t="s">
        <v>87</v>
      </c>
      <c r="C591">
        <v>294</v>
      </c>
      <c r="D591">
        <v>1.3460663885553901</v>
      </c>
      <c r="E591">
        <v>6.8027210884353704E-3</v>
      </c>
      <c r="F591" t="s">
        <v>296</v>
      </c>
    </row>
    <row r="592" spans="1:6" x14ac:dyDescent="0.2">
      <c r="A592" t="s">
        <v>35</v>
      </c>
      <c r="B592" t="s">
        <v>68</v>
      </c>
      <c r="C592">
        <v>294</v>
      </c>
      <c r="D592">
        <v>1.3460663885553901</v>
      </c>
      <c r="E592">
        <v>6.8027210884353704E-3</v>
      </c>
      <c r="F592" t="s">
        <v>296</v>
      </c>
    </row>
    <row r="593" spans="1:6" x14ac:dyDescent="0.2">
      <c r="A593" t="s">
        <v>53</v>
      </c>
      <c r="B593" t="s">
        <v>97</v>
      </c>
      <c r="C593">
        <v>294</v>
      </c>
      <c r="D593">
        <v>1.3460663885553901</v>
      </c>
      <c r="E593">
        <v>6.8027210884353704E-3</v>
      </c>
      <c r="F593" t="s">
        <v>296</v>
      </c>
    </row>
    <row r="594" spans="1:6" x14ac:dyDescent="0.2">
      <c r="A594" t="s">
        <v>98</v>
      </c>
      <c r="B594" t="s">
        <v>83</v>
      </c>
      <c r="C594">
        <v>294</v>
      </c>
      <c r="D594">
        <v>1.3460663885553901</v>
      </c>
      <c r="E594">
        <v>6.8027210884353704E-3</v>
      </c>
      <c r="F594" t="s">
        <v>296</v>
      </c>
    </row>
    <row r="595" spans="1:6" x14ac:dyDescent="0.2">
      <c r="A595" t="s">
        <v>47</v>
      </c>
      <c r="B595" t="s">
        <v>87</v>
      </c>
      <c r="C595">
        <v>294</v>
      </c>
      <c r="D595">
        <v>1.3460663885553901</v>
      </c>
      <c r="E595">
        <v>6.8027210884353704E-3</v>
      </c>
      <c r="F595" t="s">
        <v>296</v>
      </c>
    </row>
    <row r="596" spans="1:6" x14ac:dyDescent="0.2">
      <c r="A596" t="s">
        <v>35</v>
      </c>
      <c r="B596" t="s">
        <v>62</v>
      </c>
      <c r="C596">
        <v>294</v>
      </c>
      <c r="D596">
        <v>1.3460663885553901</v>
      </c>
      <c r="E596">
        <v>6.8027210884353704E-3</v>
      </c>
      <c r="F596" t="s">
        <v>296</v>
      </c>
    </row>
    <row r="597" spans="1:6" x14ac:dyDescent="0.2">
      <c r="A597" t="s">
        <v>25</v>
      </c>
      <c r="B597" t="s">
        <v>129</v>
      </c>
      <c r="C597">
        <v>294</v>
      </c>
      <c r="D597">
        <v>1.3460663885553901</v>
      </c>
      <c r="E597">
        <v>6.8027210884353704E-3</v>
      </c>
      <c r="F597" t="s">
        <v>296</v>
      </c>
    </row>
    <row r="598" spans="1:6" x14ac:dyDescent="0.2">
      <c r="A598" t="s">
        <v>67</v>
      </c>
      <c r="B598" t="s">
        <v>127</v>
      </c>
      <c r="C598">
        <v>294</v>
      </c>
      <c r="D598">
        <v>1.3460663885553901</v>
      </c>
      <c r="E598">
        <v>6.8027210884353704E-3</v>
      </c>
      <c r="F598" t="s">
        <v>296</v>
      </c>
    </row>
    <row r="599" spans="1:6" x14ac:dyDescent="0.2">
      <c r="A599" t="s">
        <v>75</v>
      </c>
      <c r="B599" t="s">
        <v>85</v>
      </c>
      <c r="C599">
        <v>294</v>
      </c>
      <c r="D599">
        <v>1.3460663885553901</v>
      </c>
      <c r="E599">
        <v>6.8027210884353704E-3</v>
      </c>
      <c r="F599" t="s">
        <v>296</v>
      </c>
    </row>
    <row r="600" spans="1:6" x14ac:dyDescent="0.2">
      <c r="A600" t="s">
        <v>32</v>
      </c>
      <c r="B600" t="s">
        <v>91</v>
      </c>
      <c r="C600">
        <v>294</v>
      </c>
      <c r="D600">
        <v>1.3460663885553901</v>
      </c>
      <c r="E600">
        <v>6.8027210884353704E-3</v>
      </c>
      <c r="F600" t="s">
        <v>296</v>
      </c>
    </row>
    <row r="601" spans="1:6" x14ac:dyDescent="0.2">
      <c r="A601" t="s">
        <v>68</v>
      </c>
      <c r="B601" t="s">
        <v>114</v>
      </c>
      <c r="C601">
        <v>294</v>
      </c>
      <c r="D601">
        <v>1.3460663885553901</v>
      </c>
      <c r="E601">
        <v>6.8027210884353704E-3</v>
      </c>
      <c r="F601" t="s">
        <v>296</v>
      </c>
    </row>
    <row r="602" spans="1:6" x14ac:dyDescent="0.2">
      <c r="A602" t="s">
        <v>35</v>
      </c>
      <c r="B602" t="s">
        <v>76</v>
      </c>
      <c r="C602">
        <v>294</v>
      </c>
      <c r="D602">
        <v>1.3460663885553901</v>
      </c>
      <c r="E602">
        <v>6.8027210884353704E-3</v>
      </c>
      <c r="F602" t="s">
        <v>296</v>
      </c>
    </row>
    <row r="603" spans="1:6" x14ac:dyDescent="0.2">
      <c r="A603" t="s">
        <v>45</v>
      </c>
      <c r="B603" t="s">
        <v>70</v>
      </c>
      <c r="C603">
        <v>294</v>
      </c>
      <c r="D603">
        <v>1.3460663885553901</v>
      </c>
      <c r="E603">
        <v>6.8027210884353704E-3</v>
      </c>
      <c r="F603" t="s">
        <v>296</v>
      </c>
    </row>
    <row r="604" spans="1:6" x14ac:dyDescent="0.2">
      <c r="A604" t="s">
        <v>35</v>
      </c>
      <c r="B604" t="s">
        <v>45</v>
      </c>
      <c r="C604">
        <v>294</v>
      </c>
      <c r="D604">
        <v>1.3460663885553901</v>
      </c>
      <c r="E604">
        <v>6.8027210884353704E-3</v>
      </c>
      <c r="F604" t="s">
        <v>296</v>
      </c>
    </row>
    <row r="605" spans="1:6" x14ac:dyDescent="0.2">
      <c r="A605" t="s">
        <v>53</v>
      </c>
      <c r="B605" t="s">
        <v>118</v>
      </c>
      <c r="C605">
        <v>294</v>
      </c>
      <c r="D605">
        <v>1.3460663885553901</v>
      </c>
      <c r="E605">
        <v>6.8027210884353704E-3</v>
      </c>
      <c r="F605" t="s">
        <v>296</v>
      </c>
    </row>
    <row r="606" spans="1:6" x14ac:dyDescent="0.2">
      <c r="A606" t="s">
        <v>68</v>
      </c>
      <c r="B606" t="s">
        <v>55</v>
      </c>
      <c r="C606">
        <v>294</v>
      </c>
      <c r="D606">
        <v>1.3460663885553901</v>
      </c>
      <c r="E606">
        <v>6.8027210884353704E-3</v>
      </c>
      <c r="F606" t="s">
        <v>296</v>
      </c>
    </row>
    <row r="607" spans="1:6" x14ac:dyDescent="0.2">
      <c r="A607" t="s">
        <v>110</v>
      </c>
      <c r="B607" t="s">
        <v>97</v>
      </c>
      <c r="C607">
        <v>294</v>
      </c>
      <c r="D607">
        <v>1.3460663885553901</v>
      </c>
      <c r="E607">
        <v>6.8027210884353704E-3</v>
      </c>
      <c r="F607" t="s">
        <v>296</v>
      </c>
    </row>
    <row r="608" spans="1:6" x14ac:dyDescent="0.2">
      <c r="A608" t="s">
        <v>32</v>
      </c>
      <c r="B608" t="s">
        <v>75</v>
      </c>
      <c r="C608">
        <v>294</v>
      </c>
      <c r="D608">
        <v>1.3460663885553901</v>
      </c>
      <c r="E608">
        <v>6.8027210884353704E-3</v>
      </c>
      <c r="F608" t="s">
        <v>296</v>
      </c>
    </row>
    <row r="609" spans="1:6" x14ac:dyDescent="0.2">
      <c r="A609" t="s">
        <v>91</v>
      </c>
      <c r="B609" t="s">
        <v>53</v>
      </c>
      <c r="C609">
        <v>294</v>
      </c>
      <c r="D609">
        <v>1.3460663885553901</v>
      </c>
      <c r="E609">
        <v>6.8027210884353704E-3</v>
      </c>
      <c r="F609" t="s">
        <v>296</v>
      </c>
    </row>
    <row r="610" spans="1:6" x14ac:dyDescent="0.2">
      <c r="A610" t="s">
        <v>67</v>
      </c>
      <c r="B610" t="s">
        <v>57</v>
      </c>
      <c r="C610">
        <v>294</v>
      </c>
      <c r="D610">
        <v>1.3460663885553901</v>
      </c>
      <c r="E610">
        <v>6.8027210884353704E-3</v>
      </c>
      <c r="F610" t="s">
        <v>296</v>
      </c>
    </row>
    <row r="611" spans="1:6" x14ac:dyDescent="0.2">
      <c r="A611" t="s">
        <v>32</v>
      </c>
      <c r="B611" t="s">
        <v>25</v>
      </c>
      <c r="C611">
        <v>294</v>
      </c>
      <c r="D611">
        <v>1.3460663885553901</v>
      </c>
      <c r="E611">
        <v>6.8027210884353704E-3</v>
      </c>
      <c r="F611" t="s">
        <v>296</v>
      </c>
    </row>
    <row r="612" spans="1:6" x14ac:dyDescent="0.2">
      <c r="A612" t="s">
        <v>119</v>
      </c>
      <c r="B612" t="s">
        <v>120</v>
      </c>
      <c r="C612">
        <v>294</v>
      </c>
      <c r="D612">
        <v>1.3460663885553901</v>
      </c>
      <c r="E612">
        <v>6.8027210884353704E-3</v>
      </c>
      <c r="F612" t="s">
        <v>296</v>
      </c>
    </row>
    <row r="613" spans="1:6" x14ac:dyDescent="0.2">
      <c r="A613" t="s">
        <v>47</v>
      </c>
      <c r="B613" t="s">
        <v>186</v>
      </c>
      <c r="C613">
        <v>294</v>
      </c>
      <c r="D613">
        <v>1.3460663885553901</v>
      </c>
      <c r="E613">
        <v>6.8027210884353704E-3</v>
      </c>
      <c r="F613" t="s">
        <v>296</v>
      </c>
    </row>
    <row r="614" spans="1:6" x14ac:dyDescent="0.2">
      <c r="A614" t="s">
        <v>114</v>
      </c>
      <c r="B614" t="s">
        <v>66</v>
      </c>
      <c r="C614">
        <v>294</v>
      </c>
      <c r="D614">
        <v>1.3460663885553901</v>
      </c>
      <c r="E614">
        <v>6.8027210884353704E-3</v>
      </c>
      <c r="F614" t="s">
        <v>296</v>
      </c>
    </row>
    <row r="615" spans="1:6" x14ac:dyDescent="0.2">
      <c r="A615" t="s">
        <v>110</v>
      </c>
      <c r="B615" t="s">
        <v>74</v>
      </c>
      <c r="C615">
        <v>294</v>
      </c>
      <c r="D615">
        <v>1.3460663885553901</v>
      </c>
      <c r="E615">
        <v>6.8027210884353704E-3</v>
      </c>
      <c r="F615" t="s">
        <v>296</v>
      </c>
    </row>
    <row r="616" spans="1:6" x14ac:dyDescent="0.2">
      <c r="A616" t="s">
        <v>118</v>
      </c>
      <c r="B616" t="s">
        <v>87</v>
      </c>
      <c r="C616">
        <v>294</v>
      </c>
      <c r="D616">
        <v>1.3460663885553901</v>
      </c>
      <c r="E616">
        <v>6.8027210884353704E-3</v>
      </c>
      <c r="F616" t="s">
        <v>296</v>
      </c>
    </row>
    <row r="617" spans="1:6" x14ac:dyDescent="0.2">
      <c r="A617" t="s">
        <v>62</v>
      </c>
      <c r="B617" t="s">
        <v>129</v>
      </c>
      <c r="C617">
        <v>294</v>
      </c>
      <c r="D617">
        <v>1.3460663885553901</v>
      </c>
      <c r="E617">
        <v>6.8027210884353704E-3</v>
      </c>
      <c r="F617" t="s">
        <v>296</v>
      </c>
    </row>
    <row r="618" spans="1:6" x14ac:dyDescent="0.2">
      <c r="A618" t="s">
        <v>67</v>
      </c>
      <c r="B618" t="s">
        <v>83</v>
      </c>
      <c r="C618">
        <v>294</v>
      </c>
      <c r="D618">
        <v>1.3460663885553901</v>
      </c>
      <c r="E618">
        <v>6.8027210884353704E-3</v>
      </c>
      <c r="F618" t="s">
        <v>296</v>
      </c>
    </row>
    <row r="619" spans="1:6" x14ac:dyDescent="0.2">
      <c r="A619" t="s">
        <v>98</v>
      </c>
      <c r="B619" t="s">
        <v>66</v>
      </c>
      <c r="C619">
        <v>294</v>
      </c>
      <c r="D619">
        <v>1.3460663885553901</v>
      </c>
      <c r="E619">
        <v>6.8027210884353704E-3</v>
      </c>
      <c r="F619" t="s">
        <v>296</v>
      </c>
    </row>
    <row r="620" spans="1:6" x14ac:dyDescent="0.2">
      <c r="A620" t="s">
        <v>98</v>
      </c>
      <c r="B620" t="s">
        <v>70</v>
      </c>
      <c r="C620">
        <v>294</v>
      </c>
      <c r="D620">
        <v>1.3460663885553901</v>
      </c>
      <c r="E620">
        <v>6.8027210884353704E-3</v>
      </c>
      <c r="F620" t="s">
        <v>296</v>
      </c>
    </row>
    <row r="621" spans="1:6" x14ac:dyDescent="0.2">
      <c r="A621" t="s">
        <v>47</v>
      </c>
      <c r="B621" t="s">
        <v>57</v>
      </c>
      <c r="C621">
        <v>294</v>
      </c>
      <c r="D621">
        <v>1.3460663885553901</v>
      </c>
      <c r="E621">
        <v>6.8027210884353704E-3</v>
      </c>
      <c r="F621" t="s">
        <v>296</v>
      </c>
    </row>
    <row r="622" spans="1:6" x14ac:dyDescent="0.2">
      <c r="A622" t="s">
        <v>35</v>
      </c>
      <c r="B622" t="s">
        <v>114</v>
      </c>
      <c r="C622">
        <v>294</v>
      </c>
      <c r="D622">
        <v>1.3460663885553901</v>
      </c>
      <c r="E622">
        <v>6.8027210884353704E-3</v>
      </c>
      <c r="F622" t="s">
        <v>296</v>
      </c>
    </row>
    <row r="623" spans="1:6" x14ac:dyDescent="0.2">
      <c r="A623" t="s">
        <v>91</v>
      </c>
      <c r="B623" t="s">
        <v>97</v>
      </c>
      <c r="C623">
        <v>294</v>
      </c>
      <c r="D623">
        <v>1.3460663885553901</v>
      </c>
      <c r="E623">
        <v>6.8027210884353704E-3</v>
      </c>
      <c r="F623" t="s">
        <v>296</v>
      </c>
    </row>
    <row r="624" spans="1:6" x14ac:dyDescent="0.2">
      <c r="A624" t="s">
        <v>110</v>
      </c>
      <c r="B624" t="s">
        <v>120</v>
      </c>
      <c r="C624">
        <v>294</v>
      </c>
      <c r="D624">
        <v>1.3460663885553901</v>
      </c>
      <c r="E624">
        <v>6.8027210884353704E-3</v>
      </c>
      <c r="F624" t="s">
        <v>296</v>
      </c>
    </row>
    <row r="625" spans="1:6" x14ac:dyDescent="0.2">
      <c r="A625" t="s">
        <v>98</v>
      </c>
      <c r="B625" t="s">
        <v>32</v>
      </c>
      <c r="C625">
        <v>294</v>
      </c>
      <c r="D625">
        <v>1.3460663885553901</v>
      </c>
      <c r="E625">
        <v>6.8027210884353704E-3</v>
      </c>
      <c r="F625" t="s">
        <v>296</v>
      </c>
    </row>
    <row r="626" spans="1:6" x14ac:dyDescent="0.2">
      <c r="A626" t="s">
        <v>98</v>
      </c>
      <c r="B626" t="s">
        <v>68</v>
      </c>
      <c r="C626">
        <v>294</v>
      </c>
      <c r="D626">
        <v>1.3460663885553901</v>
      </c>
      <c r="E626">
        <v>6.8027210884353704E-3</v>
      </c>
      <c r="F626" t="s">
        <v>296</v>
      </c>
    </row>
    <row r="627" spans="1:6" x14ac:dyDescent="0.2">
      <c r="A627" t="s">
        <v>120</v>
      </c>
      <c r="B627" t="s">
        <v>66</v>
      </c>
      <c r="C627">
        <v>294</v>
      </c>
      <c r="D627">
        <v>1.3460663885553901</v>
      </c>
      <c r="E627">
        <v>6.8027210884353704E-3</v>
      </c>
      <c r="F627" t="s">
        <v>296</v>
      </c>
    </row>
    <row r="628" spans="1:6" x14ac:dyDescent="0.2">
      <c r="A628" t="s">
        <v>110</v>
      </c>
      <c r="B628" t="s">
        <v>62</v>
      </c>
      <c r="C628">
        <v>294</v>
      </c>
      <c r="D628">
        <v>1.3460663885553901</v>
      </c>
      <c r="E628">
        <v>6.8027210884353704E-3</v>
      </c>
      <c r="F628" t="s">
        <v>296</v>
      </c>
    </row>
    <row r="629" spans="1:6" x14ac:dyDescent="0.2">
      <c r="A629" t="s">
        <v>45</v>
      </c>
      <c r="B629" t="s">
        <v>186</v>
      </c>
      <c r="C629">
        <v>294</v>
      </c>
      <c r="D629">
        <v>1.3460663885553901</v>
      </c>
      <c r="E629">
        <v>6.8027210884353704E-3</v>
      </c>
      <c r="F629" t="s">
        <v>296</v>
      </c>
    </row>
    <row r="630" spans="1:6" x14ac:dyDescent="0.2">
      <c r="A630" t="s">
        <v>45</v>
      </c>
      <c r="B630" t="s">
        <v>118</v>
      </c>
      <c r="C630">
        <v>294</v>
      </c>
      <c r="D630">
        <v>1.3460663885553901</v>
      </c>
      <c r="E630">
        <v>6.8027210884353704E-3</v>
      </c>
      <c r="F630" t="s">
        <v>296</v>
      </c>
    </row>
    <row r="631" spans="1:6" x14ac:dyDescent="0.2">
      <c r="A631" t="s">
        <v>85</v>
      </c>
      <c r="B631" t="s">
        <v>97</v>
      </c>
      <c r="C631">
        <v>294</v>
      </c>
      <c r="D631">
        <v>1.3460663885553901</v>
      </c>
      <c r="E631">
        <v>6.8027210884353704E-3</v>
      </c>
      <c r="F631" t="s">
        <v>296</v>
      </c>
    </row>
    <row r="632" spans="1:6" x14ac:dyDescent="0.2">
      <c r="A632" t="s">
        <v>53</v>
      </c>
      <c r="B632" t="s">
        <v>55</v>
      </c>
      <c r="C632">
        <v>294</v>
      </c>
      <c r="D632">
        <v>1.3460663885553901</v>
      </c>
      <c r="E632">
        <v>6.8027210884353704E-3</v>
      </c>
      <c r="F632" t="s">
        <v>296</v>
      </c>
    </row>
    <row r="633" spans="1:6" x14ac:dyDescent="0.2">
      <c r="A633" t="s">
        <v>47</v>
      </c>
      <c r="B633" t="s">
        <v>119</v>
      </c>
      <c r="C633">
        <v>294</v>
      </c>
      <c r="D633">
        <v>1.3460663885553901</v>
      </c>
      <c r="E633">
        <v>6.8027210884353704E-3</v>
      </c>
      <c r="F633" t="s">
        <v>296</v>
      </c>
    </row>
    <row r="634" spans="1:6" x14ac:dyDescent="0.2">
      <c r="A634" t="s">
        <v>118</v>
      </c>
      <c r="B634" t="s">
        <v>83</v>
      </c>
      <c r="C634">
        <v>294</v>
      </c>
      <c r="D634">
        <v>1.3460663885553901</v>
      </c>
      <c r="E634">
        <v>6.8027210884353704E-3</v>
      </c>
      <c r="F634" t="s">
        <v>296</v>
      </c>
    </row>
    <row r="635" spans="1:6" x14ac:dyDescent="0.2">
      <c r="A635" t="s">
        <v>98</v>
      </c>
      <c r="B635" t="s">
        <v>97</v>
      </c>
      <c r="C635">
        <v>294</v>
      </c>
      <c r="D635">
        <v>1.3460663885553901</v>
      </c>
      <c r="E635">
        <v>6.8027210884353704E-3</v>
      </c>
      <c r="F635" t="s">
        <v>296</v>
      </c>
    </row>
    <row r="636" spans="1:6" x14ac:dyDescent="0.2">
      <c r="A636" t="s">
        <v>73</v>
      </c>
      <c r="B636" t="s">
        <v>123</v>
      </c>
      <c r="C636">
        <v>301</v>
      </c>
      <c r="D636">
        <v>1.32398620586503</v>
      </c>
      <c r="E636">
        <v>6.6445182724252502E-3</v>
      </c>
      <c r="F636" t="s">
        <v>297</v>
      </c>
    </row>
    <row r="637" spans="1:6" x14ac:dyDescent="0.2">
      <c r="A637" t="s">
        <v>93</v>
      </c>
      <c r="B637" t="s">
        <v>25</v>
      </c>
      <c r="C637">
        <v>304</v>
      </c>
      <c r="D637">
        <v>1.3146800356894901</v>
      </c>
      <c r="E637">
        <v>6.5789473684210497E-3</v>
      </c>
      <c r="F637" t="s">
        <v>298</v>
      </c>
    </row>
    <row r="638" spans="1:6" x14ac:dyDescent="0.2">
      <c r="A638" t="s">
        <v>93</v>
      </c>
      <c r="B638" t="s">
        <v>129</v>
      </c>
      <c r="C638">
        <v>304</v>
      </c>
      <c r="D638">
        <v>1.3146800356894901</v>
      </c>
      <c r="E638">
        <v>6.5789473684210497E-3</v>
      </c>
      <c r="F638" t="s">
        <v>298</v>
      </c>
    </row>
    <row r="639" spans="1:6" x14ac:dyDescent="0.2">
      <c r="A639" t="s">
        <v>47</v>
      </c>
      <c r="B639" t="s">
        <v>17</v>
      </c>
      <c r="C639">
        <v>304</v>
      </c>
      <c r="D639">
        <v>1.3146800356894901</v>
      </c>
      <c r="E639">
        <v>6.5789473684210497E-3</v>
      </c>
      <c r="F639" t="s">
        <v>298</v>
      </c>
    </row>
    <row r="640" spans="1:6" x14ac:dyDescent="0.2">
      <c r="A640" t="s">
        <v>17</v>
      </c>
      <c r="B640" t="s">
        <v>129</v>
      </c>
      <c r="C640">
        <v>304</v>
      </c>
      <c r="D640">
        <v>1.3146800356894901</v>
      </c>
      <c r="E640">
        <v>6.5789473684210497E-3</v>
      </c>
      <c r="F640" t="s">
        <v>298</v>
      </c>
    </row>
    <row r="641" spans="1:6" x14ac:dyDescent="0.2">
      <c r="A641" t="s">
        <v>163</v>
      </c>
      <c r="B641" t="s">
        <v>93</v>
      </c>
      <c r="C641">
        <v>304</v>
      </c>
      <c r="D641">
        <v>1.3146800356894901</v>
      </c>
      <c r="E641">
        <v>6.5789473684210497E-3</v>
      </c>
      <c r="F641" t="s">
        <v>298</v>
      </c>
    </row>
    <row r="642" spans="1:6" x14ac:dyDescent="0.2">
      <c r="A642" t="s">
        <v>163</v>
      </c>
      <c r="B642" t="s">
        <v>47</v>
      </c>
      <c r="C642">
        <v>304</v>
      </c>
      <c r="D642">
        <v>1.3146800356894901</v>
      </c>
      <c r="E642">
        <v>6.5789473684210497E-3</v>
      </c>
      <c r="F642" t="s">
        <v>298</v>
      </c>
    </row>
    <row r="643" spans="1:6" x14ac:dyDescent="0.2">
      <c r="A643" t="s">
        <v>163</v>
      </c>
      <c r="B643" t="s">
        <v>65</v>
      </c>
      <c r="C643">
        <v>304</v>
      </c>
      <c r="D643">
        <v>1.3146800356894901</v>
      </c>
      <c r="E643">
        <v>6.5789473684210497E-3</v>
      </c>
      <c r="F643" t="s">
        <v>298</v>
      </c>
    </row>
    <row r="644" spans="1:6" x14ac:dyDescent="0.2">
      <c r="A644" t="s">
        <v>17</v>
      </c>
      <c r="B644" t="s">
        <v>65</v>
      </c>
      <c r="C644">
        <v>304</v>
      </c>
      <c r="D644">
        <v>1.3146800356894901</v>
      </c>
      <c r="E644">
        <v>6.5789473684210497E-3</v>
      </c>
      <c r="F644" t="s">
        <v>298</v>
      </c>
    </row>
    <row r="645" spans="1:6" x14ac:dyDescent="0.2">
      <c r="A645" t="s">
        <v>65</v>
      </c>
      <c r="B645" t="s">
        <v>129</v>
      </c>
      <c r="C645">
        <v>304</v>
      </c>
      <c r="D645">
        <v>1.3146800356894901</v>
      </c>
      <c r="E645">
        <v>6.5789473684210497E-3</v>
      </c>
      <c r="F645" t="s">
        <v>298</v>
      </c>
    </row>
    <row r="646" spans="1:6" x14ac:dyDescent="0.2">
      <c r="A646" t="s">
        <v>47</v>
      </c>
      <c r="B646" t="s">
        <v>93</v>
      </c>
      <c r="C646">
        <v>304</v>
      </c>
      <c r="D646">
        <v>1.3146800356894901</v>
      </c>
      <c r="E646">
        <v>6.5789473684210497E-3</v>
      </c>
      <c r="F646" t="s">
        <v>298</v>
      </c>
    </row>
    <row r="647" spans="1:6" x14ac:dyDescent="0.2">
      <c r="A647" t="s">
        <v>163</v>
      </c>
      <c r="B647" t="s">
        <v>25</v>
      </c>
      <c r="C647">
        <v>304</v>
      </c>
      <c r="D647">
        <v>1.3146800356894901</v>
      </c>
      <c r="E647">
        <v>6.5789473684210497E-3</v>
      </c>
      <c r="F647" t="s">
        <v>298</v>
      </c>
    </row>
    <row r="648" spans="1:6" x14ac:dyDescent="0.2">
      <c r="A648" t="s">
        <v>93</v>
      </c>
      <c r="B648" t="s">
        <v>65</v>
      </c>
      <c r="C648">
        <v>304</v>
      </c>
      <c r="D648">
        <v>1.3146800356894901</v>
      </c>
      <c r="E648">
        <v>6.5789473684210497E-3</v>
      </c>
      <c r="F648" t="s">
        <v>298</v>
      </c>
    </row>
    <row r="649" spans="1:6" x14ac:dyDescent="0.2">
      <c r="A649" t="s">
        <v>163</v>
      </c>
      <c r="B649" t="s">
        <v>129</v>
      </c>
      <c r="C649">
        <v>304</v>
      </c>
      <c r="D649">
        <v>1.3146800356894901</v>
      </c>
      <c r="E649">
        <v>6.5789473684210497E-3</v>
      </c>
      <c r="F649" t="s">
        <v>298</v>
      </c>
    </row>
    <row r="650" spans="1:6" x14ac:dyDescent="0.2">
      <c r="A650" t="s">
        <v>17</v>
      </c>
      <c r="B650" t="s">
        <v>25</v>
      </c>
      <c r="C650">
        <v>304</v>
      </c>
      <c r="D650">
        <v>1.3146800356894901</v>
      </c>
      <c r="E650">
        <v>6.5789473684210497E-3</v>
      </c>
      <c r="F650" t="s">
        <v>298</v>
      </c>
    </row>
    <row r="651" spans="1:6" x14ac:dyDescent="0.2">
      <c r="A651" t="s">
        <v>163</v>
      </c>
      <c r="B651" t="s">
        <v>17</v>
      </c>
      <c r="C651">
        <v>304</v>
      </c>
      <c r="D651">
        <v>1.3146800356894901</v>
      </c>
      <c r="E651">
        <v>6.5789473684210497E-3</v>
      </c>
      <c r="F651" t="s">
        <v>298</v>
      </c>
    </row>
    <row r="652" spans="1:6" x14ac:dyDescent="0.2">
      <c r="A652" t="s">
        <v>93</v>
      </c>
      <c r="B652" t="s">
        <v>17</v>
      </c>
      <c r="C652">
        <v>304</v>
      </c>
      <c r="D652">
        <v>1.3146800356894901</v>
      </c>
      <c r="E652">
        <v>6.5789473684210497E-3</v>
      </c>
      <c r="F652" t="s">
        <v>298</v>
      </c>
    </row>
    <row r="653" spans="1:6" x14ac:dyDescent="0.2">
      <c r="A653" t="s">
        <v>81</v>
      </c>
      <c r="B653" t="s">
        <v>33</v>
      </c>
      <c r="C653">
        <v>434</v>
      </c>
      <c r="D653">
        <v>0.98060648978453302</v>
      </c>
      <c r="E653">
        <v>4.6082949308755804E-3</v>
      </c>
      <c r="F653" t="s">
        <v>299</v>
      </c>
    </row>
    <row r="654" spans="1:6" x14ac:dyDescent="0.2">
      <c r="A654" t="s">
        <v>89</v>
      </c>
      <c r="B654" t="s">
        <v>73</v>
      </c>
      <c r="C654">
        <v>543</v>
      </c>
      <c r="D654">
        <v>0.77035205616863001</v>
      </c>
      <c r="E654">
        <v>3.6832412523020298E-3</v>
      </c>
      <c r="F654" t="s">
        <v>300</v>
      </c>
    </row>
    <row r="655" spans="1:6" x14ac:dyDescent="0.2">
      <c r="A655" t="s">
        <v>178</v>
      </c>
      <c r="B655" t="s">
        <v>17</v>
      </c>
      <c r="C655">
        <v>543</v>
      </c>
      <c r="D655">
        <v>0.77035205616863001</v>
      </c>
      <c r="E655">
        <v>3.6832412523020298E-3</v>
      </c>
      <c r="F655" t="s">
        <v>300</v>
      </c>
    </row>
    <row r="656" spans="1:6" x14ac:dyDescent="0.2">
      <c r="A656" t="s">
        <v>73</v>
      </c>
      <c r="B656" t="s">
        <v>38</v>
      </c>
      <c r="C656">
        <v>543</v>
      </c>
      <c r="D656">
        <v>0.77035205616863001</v>
      </c>
      <c r="E656">
        <v>3.6832412523020298E-3</v>
      </c>
      <c r="F656" t="s">
        <v>300</v>
      </c>
    </row>
    <row r="657" spans="1:6" x14ac:dyDescent="0.2">
      <c r="A657" t="s">
        <v>17</v>
      </c>
      <c r="B657" t="s">
        <v>120</v>
      </c>
      <c r="C657">
        <v>543</v>
      </c>
      <c r="D657">
        <v>0.77035205616863001</v>
      </c>
      <c r="E657">
        <v>3.6832412523020298E-3</v>
      </c>
      <c r="F657" t="s">
        <v>300</v>
      </c>
    </row>
    <row r="658" spans="1:6" x14ac:dyDescent="0.2">
      <c r="A658" t="s">
        <v>89</v>
      </c>
      <c r="B658" t="s">
        <v>178</v>
      </c>
      <c r="C658">
        <v>543</v>
      </c>
      <c r="D658">
        <v>0.77035205616863001</v>
      </c>
      <c r="E658">
        <v>3.6832412523020298E-3</v>
      </c>
      <c r="F658" t="s">
        <v>300</v>
      </c>
    </row>
    <row r="659" spans="1:6" x14ac:dyDescent="0.2">
      <c r="A659" t="s">
        <v>89</v>
      </c>
      <c r="B659" t="s">
        <v>17</v>
      </c>
      <c r="C659">
        <v>543</v>
      </c>
      <c r="D659">
        <v>0.77035205616863001</v>
      </c>
      <c r="E659">
        <v>3.6832412523020298E-3</v>
      </c>
      <c r="F659" t="s">
        <v>300</v>
      </c>
    </row>
    <row r="660" spans="1:6" x14ac:dyDescent="0.2">
      <c r="A660" t="s">
        <v>73</v>
      </c>
      <c r="B660" t="s">
        <v>17</v>
      </c>
      <c r="C660">
        <v>543</v>
      </c>
      <c r="D660">
        <v>0.77035205616863001</v>
      </c>
      <c r="E660">
        <v>3.6832412523020298E-3</v>
      </c>
      <c r="F660" t="s">
        <v>300</v>
      </c>
    </row>
    <row r="661" spans="1:6" x14ac:dyDescent="0.2">
      <c r="A661" t="s">
        <v>38</v>
      </c>
      <c r="B661" t="s">
        <v>120</v>
      </c>
      <c r="C661">
        <v>543</v>
      </c>
      <c r="D661">
        <v>0.77035205616863001</v>
      </c>
      <c r="E661">
        <v>3.6832412523020298E-3</v>
      </c>
      <c r="F661" t="s">
        <v>300</v>
      </c>
    </row>
    <row r="662" spans="1:6" x14ac:dyDescent="0.2">
      <c r="A662" t="s">
        <v>73</v>
      </c>
      <c r="B662" t="s">
        <v>178</v>
      </c>
      <c r="C662">
        <v>543</v>
      </c>
      <c r="D662">
        <v>0.77035205616863001</v>
      </c>
      <c r="E662">
        <v>3.6832412523020298E-3</v>
      </c>
      <c r="F662" t="s">
        <v>300</v>
      </c>
    </row>
    <row r="663" spans="1:6" x14ac:dyDescent="0.2">
      <c r="A663" t="s">
        <v>89</v>
      </c>
      <c r="B663" t="s">
        <v>120</v>
      </c>
      <c r="C663">
        <v>543</v>
      </c>
      <c r="D663">
        <v>0.77035205616863001</v>
      </c>
      <c r="E663">
        <v>3.6832412523020298E-3</v>
      </c>
      <c r="F663" t="s">
        <v>300</v>
      </c>
    </row>
    <row r="664" spans="1:6" x14ac:dyDescent="0.2">
      <c r="A664" t="s">
        <v>17</v>
      </c>
      <c r="B664" t="s">
        <v>38</v>
      </c>
      <c r="C664">
        <v>543</v>
      </c>
      <c r="D664">
        <v>0.77035205616863001</v>
      </c>
      <c r="E664">
        <v>3.6832412523020298E-3</v>
      </c>
      <c r="F664" t="s">
        <v>300</v>
      </c>
    </row>
    <row r="665" spans="1:6" x14ac:dyDescent="0.2">
      <c r="A665" t="s">
        <v>73</v>
      </c>
      <c r="B665" t="s">
        <v>120</v>
      </c>
      <c r="C665">
        <v>543</v>
      </c>
      <c r="D665">
        <v>0.77035205616863001</v>
      </c>
      <c r="E665">
        <v>3.6832412523020298E-3</v>
      </c>
      <c r="F665" t="s">
        <v>300</v>
      </c>
    </row>
    <row r="666" spans="1:6" x14ac:dyDescent="0.2">
      <c r="A666" t="s">
        <v>178</v>
      </c>
      <c r="B666" t="s">
        <v>120</v>
      </c>
      <c r="C666">
        <v>543</v>
      </c>
      <c r="D666">
        <v>0.77035205616863001</v>
      </c>
      <c r="E666">
        <v>3.6832412523020298E-3</v>
      </c>
      <c r="F666" t="s">
        <v>300</v>
      </c>
    </row>
    <row r="667" spans="1:6" x14ac:dyDescent="0.2">
      <c r="A667" t="s">
        <v>89</v>
      </c>
      <c r="B667" t="s">
        <v>38</v>
      </c>
      <c r="C667">
        <v>543</v>
      </c>
      <c r="D667">
        <v>0.77035205616863001</v>
      </c>
      <c r="E667">
        <v>3.6832412523020298E-3</v>
      </c>
      <c r="F667" t="s">
        <v>300</v>
      </c>
    </row>
    <row r="668" spans="1:6" x14ac:dyDescent="0.2">
      <c r="A668" t="s">
        <v>73</v>
      </c>
      <c r="B668" t="s">
        <v>107</v>
      </c>
      <c r="C668">
        <v>635</v>
      </c>
      <c r="D668">
        <v>0.62348330430714305</v>
      </c>
      <c r="E668">
        <v>3.1496062992126001E-3</v>
      </c>
      <c r="F668" t="s">
        <v>301</v>
      </c>
    </row>
    <row r="669" spans="1:6" x14ac:dyDescent="0.2">
      <c r="A669" t="s">
        <v>129</v>
      </c>
      <c r="B669" t="s">
        <v>175</v>
      </c>
      <c r="C669">
        <v>635</v>
      </c>
      <c r="D669">
        <v>0.62348330430714305</v>
      </c>
      <c r="E669">
        <v>3.1496062992126001E-3</v>
      </c>
      <c r="F669" t="s">
        <v>301</v>
      </c>
    </row>
    <row r="670" spans="1:6" x14ac:dyDescent="0.2">
      <c r="A670" t="s">
        <v>73</v>
      </c>
      <c r="B670" t="s">
        <v>118</v>
      </c>
      <c r="C670">
        <v>635</v>
      </c>
      <c r="D670">
        <v>0.62348330430714305</v>
      </c>
      <c r="E670">
        <v>3.1496062992126001E-3</v>
      </c>
      <c r="F670" t="s">
        <v>301</v>
      </c>
    </row>
    <row r="671" spans="1:6" x14ac:dyDescent="0.2">
      <c r="A671" t="s">
        <v>73</v>
      </c>
      <c r="B671" t="s">
        <v>65</v>
      </c>
      <c r="C671">
        <v>635</v>
      </c>
      <c r="D671">
        <v>0.62348330430714305</v>
      </c>
      <c r="E671">
        <v>3.1496062992126001E-3</v>
      </c>
      <c r="F671" t="s">
        <v>301</v>
      </c>
    </row>
    <row r="672" spans="1:6" x14ac:dyDescent="0.2">
      <c r="A672" t="s">
        <v>177</v>
      </c>
      <c r="B672" t="s">
        <v>129</v>
      </c>
      <c r="C672">
        <v>635</v>
      </c>
      <c r="D672">
        <v>0.62348330430714305</v>
      </c>
      <c r="E672">
        <v>3.1496062992126001E-3</v>
      </c>
      <c r="F672" t="s">
        <v>301</v>
      </c>
    </row>
    <row r="673" spans="1:6" x14ac:dyDescent="0.2">
      <c r="A673" t="s">
        <v>57</v>
      </c>
      <c r="B673" t="s">
        <v>106</v>
      </c>
      <c r="C673">
        <v>635</v>
      </c>
      <c r="D673">
        <v>0.62348330430714305</v>
      </c>
      <c r="E673">
        <v>3.1496062992126001E-3</v>
      </c>
      <c r="F673" t="s">
        <v>301</v>
      </c>
    </row>
    <row r="674" spans="1:6" x14ac:dyDescent="0.2">
      <c r="A674" t="s">
        <v>126</v>
      </c>
      <c r="B674" t="s">
        <v>65</v>
      </c>
      <c r="C674">
        <v>635</v>
      </c>
      <c r="D674">
        <v>0.62348330430714305</v>
      </c>
      <c r="E674">
        <v>3.1496062992126001E-3</v>
      </c>
      <c r="F674" t="s">
        <v>301</v>
      </c>
    </row>
    <row r="675" spans="1:6" x14ac:dyDescent="0.2">
      <c r="A675" t="s">
        <v>73</v>
      </c>
      <c r="B675" t="s">
        <v>57</v>
      </c>
      <c r="C675">
        <v>635</v>
      </c>
      <c r="D675">
        <v>0.62348330430714305</v>
      </c>
      <c r="E675">
        <v>3.1496062992126001E-3</v>
      </c>
      <c r="F675" t="s">
        <v>301</v>
      </c>
    </row>
    <row r="676" spans="1:6" x14ac:dyDescent="0.2">
      <c r="A676" t="s">
        <v>107</v>
      </c>
      <c r="B676" t="s">
        <v>106</v>
      </c>
      <c r="C676">
        <v>635</v>
      </c>
      <c r="D676">
        <v>0.62348330430714305</v>
      </c>
      <c r="E676">
        <v>3.1496062992126001E-3</v>
      </c>
      <c r="F676" t="s">
        <v>301</v>
      </c>
    </row>
    <row r="677" spans="1:6" x14ac:dyDescent="0.2">
      <c r="A677" t="s">
        <v>76</v>
      </c>
      <c r="B677" t="s">
        <v>38</v>
      </c>
      <c r="C677">
        <v>635</v>
      </c>
      <c r="D677">
        <v>0.62348330430714305</v>
      </c>
      <c r="E677">
        <v>3.1496062992126001E-3</v>
      </c>
      <c r="F677" t="s">
        <v>301</v>
      </c>
    </row>
    <row r="678" spans="1:6" x14ac:dyDescent="0.2">
      <c r="A678" t="s">
        <v>106</v>
      </c>
      <c r="B678" t="s">
        <v>65</v>
      </c>
      <c r="C678">
        <v>635</v>
      </c>
      <c r="D678">
        <v>0.62348330430714305</v>
      </c>
      <c r="E678">
        <v>3.1496062992126001E-3</v>
      </c>
      <c r="F678" t="s">
        <v>301</v>
      </c>
    </row>
    <row r="679" spans="1:6" x14ac:dyDescent="0.2">
      <c r="A679" t="s">
        <v>107</v>
      </c>
      <c r="B679" t="s">
        <v>175</v>
      </c>
      <c r="C679">
        <v>635</v>
      </c>
      <c r="D679">
        <v>0.62348330430714305</v>
      </c>
      <c r="E679">
        <v>3.1496062992126001E-3</v>
      </c>
      <c r="F679" t="s">
        <v>301</v>
      </c>
    </row>
    <row r="680" spans="1:6" x14ac:dyDescent="0.2">
      <c r="A680" t="s">
        <v>73</v>
      </c>
      <c r="B680" t="s">
        <v>83</v>
      </c>
      <c r="C680">
        <v>635</v>
      </c>
      <c r="D680">
        <v>0.62348330430714305</v>
      </c>
      <c r="E680">
        <v>3.1496062992126001E-3</v>
      </c>
      <c r="F680" t="s">
        <v>301</v>
      </c>
    </row>
    <row r="681" spans="1:6" x14ac:dyDescent="0.2">
      <c r="A681" t="s">
        <v>107</v>
      </c>
      <c r="B681" t="s">
        <v>177</v>
      </c>
      <c r="C681">
        <v>635</v>
      </c>
      <c r="D681">
        <v>0.62348330430714305</v>
      </c>
      <c r="E681">
        <v>3.1496062992126001E-3</v>
      </c>
      <c r="F681" t="s">
        <v>301</v>
      </c>
    </row>
    <row r="682" spans="1:6" x14ac:dyDescent="0.2">
      <c r="A682" t="s">
        <v>57</v>
      </c>
      <c r="B682" t="s">
        <v>17</v>
      </c>
      <c r="C682">
        <v>635</v>
      </c>
      <c r="D682">
        <v>0.62348330430714305</v>
      </c>
      <c r="E682">
        <v>3.1496062992126001E-3</v>
      </c>
      <c r="F682" t="s">
        <v>301</v>
      </c>
    </row>
    <row r="683" spans="1:6" x14ac:dyDescent="0.2">
      <c r="A683" t="s">
        <v>57</v>
      </c>
      <c r="B683" t="s">
        <v>93</v>
      </c>
      <c r="C683">
        <v>635</v>
      </c>
      <c r="D683">
        <v>0.62348330430714305</v>
      </c>
      <c r="E683">
        <v>3.1496062992126001E-3</v>
      </c>
      <c r="F683" t="s">
        <v>301</v>
      </c>
    </row>
    <row r="684" spans="1:6" x14ac:dyDescent="0.2">
      <c r="A684" t="s">
        <v>50</v>
      </c>
      <c r="B684" t="s">
        <v>126</v>
      </c>
      <c r="C684">
        <v>635</v>
      </c>
      <c r="D684">
        <v>0.62348330430714305</v>
      </c>
      <c r="E684">
        <v>3.1496062992126001E-3</v>
      </c>
      <c r="F684" t="s">
        <v>301</v>
      </c>
    </row>
    <row r="685" spans="1:6" x14ac:dyDescent="0.2">
      <c r="A685" t="s">
        <v>177</v>
      </c>
      <c r="B685" t="s">
        <v>38</v>
      </c>
      <c r="C685">
        <v>635</v>
      </c>
      <c r="D685">
        <v>0.62348330430714305</v>
      </c>
      <c r="E685">
        <v>3.1496062992126001E-3</v>
      </c>
      <c r="F685" t="s">
        <v>301</v>
      </c>
    </row>
    <row r="686" spans="1:6" x14ac:dyDescent="0.2">
      <c r="A686" t="s">
        <v>177</v>
      </c>
      <c r="B686" t="s">
        <v>118</v>
      </c>
      <c r="C686">
        <v>635</v>
      </c>
      <c r="D686">
        <v>0.62348330430714305</v>
      </c>
      <c r="E686">
        <v>3.1496062992126001E-3</v>
      </c>
      <c r="F686" t="s">
        <v>301</v>
      </c>
    </row>
    <row r="687" spans="1:6" x14ac:dyDescent="0.2">
      <c r="A687" t="s">
        <v>73</v>
      </c>
      <c r="B687" t="s">
        <v>76</v>
      </c>
      <c r="C687">
        <v>635</v>
      </c>
      <c r="D687">
        <v>0.62348330430714305</v>
      </c>
      <c r="E687">
        <v>3.1496062992126001E-3</v>
      </c>
      <c r="F687" t="s">
        <v>301</v>
      </c>
    </row>
    <row r="688" spans="1:6" x14ac:dyDescent="0.2">
      <c r="A688" t="s">
        <v>126</v>
      </c>
      <c r="B688" t="s">
        <v>175</v>
      </c>
      <c r="C688">
        <v>635</v>
      </c>
      <c r="D688">
        <v>0.62348330430714305</v>
      </c>
      <c r="E688">
        <v>3.1496062992126001E-3</v>
      </c>
      <c r="F688" t="s">
        <v>301</v>
      </c>
    </row>
    <row r="689" spans="1:6" x14ac:dyDescent="0.2">
      <c r="A689" t="s">
        <v>76</v>
      </c>
      <c r="B689" t="s">
        <v>177</v>
      </c>
      <c r="C689">
        <v>635</v>
      </c>
      <c r="D689">
        <v>0.62348330430714305</v>
      </c>
      <c r="E689">
        <v>3.1496062992126001E-3</v>
      </c>
      <c r="F689" t="s">
        <v>301</v>
      </c>
    </row>
    <row r="690" spans="1:6" x14ac:dyDescent="0.2">
      <c r="A690" t="s">
        <v>36</v>
      </c>
      <c r="B690" t="s">
        <v>126</v>
      </c>
      <c r="C690">
        <v>635</v>
      </c>
      <c r="D690">
        <v>0.62348330430714305</v>
      </c>
      <c r="E690">
        <v>3.1496062992126001E-3</v>
      </c>
      <c r="F690" t="s">
        <v>301</v>
      </c>
    </row>
    <row r="691" spans="1:6" x14ac:dyDescent="0.2">
      <c r="A691" t="s">
        <v>76</v>
      </c>
      <c r="B691" t="s">
        <v>93</v>
      </c>
      <c r="C691">
        <v>635</v>
      </c>
      <c r="D691">
        <v>0.62348330430714305</v>
      </c>
      <c r="E691">
        <v>3.1496062992126001E-3</v>
      </c>
      <c r="F691" t="s">
        <v>301</v>
      </c>
    </row>
    <row r="692" spans="1:6" x14ac:dyDescent="0.2">
      <c r="A692" t="s">
        <v>107</v>
      </c>
      <c r="B692" t="s">
        <v>65</v>
      </c>
      <c r="C692">
        <v>635</v>
      </c>
      <c r="D692">
        <v>0.62348330430714305</v>
      </c>
      <c r="E692">
        <v>3.1496062992126001E-3</v>
      </c>
      <c r="F692" t="s">
        <v>301</v>
      </c>
    </row>
    <row r="693" spans="1:6" x14ac:dyDescent="0.2">
      <c r="A693" t="s">
        <v>62</v>
      </c>
      <c r="B693" t="s">
        <v>175</v>
      </c>
      <c r="C693">
        <v>635</v>
      </c>
      <c r="D693">
        <v>0.62348330430714305</v>
      </c>
      <c r="E693">
        <v>3.1496062992126001E-3</v>
      </c>
      <c r="F693" t="s">
        <v>301</v>
      </c>
    </row>
    <row r="694" spans="1:6" x14ac:dyDescent="0.2">
      <c r="A694" t="s">
        <v>126</v>
      </c>
      <c r="B694" t="s">
        <v>129</v>
      </c>
      <c r="C694">
        <v>635</v>
      </c>
      <c r="D694">
        <v>0.62348330430714305</v>
      </c>
      <c r="E694">
        <v>3.1496062992126001E-3</v>
      </c>
      <c r="F694" t="s">
        <v>301</v>
      </c>
    </row>
    <row r="695" spans="1:6" x14ac:dyDescent="0.2">
      <c r="A695" t="s">
        <v>36</v>
      </c>
      <c r="B695" t="s">
        <v>118</v>
      </c>
      <c r="C695">
        <v>635</v>
      </c>
      <c r="D695">
        <v>0.62348330430714305</v>
      </c>
      <c r="E695">
        <v>3.1496062992126001E-3</v>
      </c>
      <c r="F695" t="s">
        <v>301</v>
      </c>
    </row>
    <row r="696" spans="1:6" x14ac:dyDescent="0.2">
      <c r="A696" t="s">
        <v>57</v>
      </c>
      <c r="B696" t="s">
        <v>175</v>
      </c>
      <c r="C696">
        <v>635</v>
      </c>
      <c r="D696">
        <v>0.62348330430714305</v>
      </c>
      <c r="E696">
        <v>3.1496062992126001E-3</v>
      </c>
      <c r="F696" t="s">
        <v>301</v>
      </c>
    </row>
    <row r="697" spans="1:6" x14ac:dyDescent="0.2">
      <c r="A697" t="s">
        <v>38</v>
      </c>
      <c r="B697" t="s">
        <v>129</v>
      </c>
      <c r="C697">
        <v>635</v>
      </c>
      <c r="D697">
        <v>0.62348330430714305</v>
      </c>
      <c r="E697">
        <v>3.1496062992126001E-3</v>
      </c>
      <c r="F697" t="s">
        <v>301</v>
      </c>
    </row>
    <row r="698" spans="1:6" x14ac:dyDescent="0.2">
      <c r="A698" t="s">
        <v>107</v>
      </c>
      <c r="B698" t="s">
        <v>76</v>
      </c>
      <c r="C698">
        <v>635</v>
      </c>
      <c r="D698">
        <v>0.62348330430714305</v>
      </c>
      <c r="E698">
        <v>3.1496062992126001E-3</v>
      </c>
      <c r="F698" t="s">
        <v>301</v>
      </c>
    </row>
    <row r="699" spans="1:6" x14ac:dyDescent="0.2">
      <c r="A699" t="s">
        <v>93</v>
      </c>
      <c r="B699" t="s">
        <v>177</v>
      </c>
      <c r="C699">
        <v>635</v>
      </c>
      <c r="D699">
        <v>0.62348330430714305</v>
      </c>
      <c r="E699">
        <v>3.1496062992126001E-3</v>
      </c>
      <c r="F699" t="s">
        <v>301</v>
      </c>
    </row>
    <row r="700" spans="1:6" x14ac:dyDescent="0.2">
      <c r="A700" t="s">
        <v>177</v>
      </c>
      <c r="B700" t="s">
        <v>119</v>
      </c>
      <c r="C700">
        <v>635</v>
      </c>
      <c r="D700">
        <v>0.62348330430714305</v>
      </c>
      <c r="E700">
        <v>3.1496062992126001E-3</v>
      </c>
      <c r="F700" t="s">
        <v>301</v>
      </c>
    </row>
    <row r="701" spans="1:6" x14ac:dyDescent="0.2">
      <c r="A701" t="s">
        <v>73</v>
      </c>
      <c r="B701" t="s">
        <v>36</v>
      </c>
      <c r="C701">
        <v>635</v>
      </c>
      <c r="D701">
        <v>0.62348330430714305</v>
      </c>
      <c r="E701">
        <v>3.1496062992126001E-3</v>
      </c>
      <c r="F701" t="s">
        <v>301</v>
      </c>
    </row>
    <row r="702" spans="1:6" x14ac:dyDescent="0.2">
      <c r="A702" t="s">
        <v>50</v>
      </c>
      <c r="B702" t="s">
        <v>38</v>
      </c>
      <c r="C702">
        <v>635</v>
      </c>
      <c r="D702">
        <v>0.62348330430714305</v>
      </c>
      <c r="E702">
        <v>3.1496062992126001E-3</v>
      </c>
      <c r="F702" t="s">
        <v>301</v>
      </c>
    </row>
    <row r="703" spans="1:6" x14ac:dyDescent="0.2">
      <c r="A703" t="s">
        <v>126</v>
      </c>
      <c r="B703" t="s">
        <v>118</v>
      </c>
      <c r="C703">
        <v>635</v>
      </c>
      <c r="D703">
        <v>0.62348330430714305</v>
      </c>
      <c r="E703">
        <v>3.1496062992126001E-3</v>
      </c>
      <c r="F703" t="s">
        <v>301</v>
      </c>
    </row>
    <row r="704" spans="1:6" x14ac:dyDescent="0.2">
      <c r="A704" t="s">
        <v>73</v>
      </c>
      <c r="B704" t="s">
        <v>106</v>
      </c>
      <c r="C704">
        <v>635</v>
      </c>
      <c r="D704">
        <v>0.62348330430714305</v>
      </c>
      <c r="E704">
        <v>3.1496062992126001E-3</v>
      </c>
      <c r="F704" t="s">
        <v>301</v>
      </c>
    </row>
    <row r="705" spans="1:6" x14ac:dyDescent="0.2">
      <c r="A705" t="s">
        <v>76</v>
      </c>
      <c r="B705" t="s">
        <v>126</v>
      </c>
      <c r="C705">
        <v>635</v>
      </c>
      <c r="D705">
        <v>0.62348330430714305</v>
      </c>
      <c r="E705">
        <v>3.1496062992126001E-3</v>
      </c>
      <c r="F705" t="s">
        <v>301</v>
      </c>
    </row>
    <row r="706" spans="1:6" x14ac:dyDescent="0.2">
      <c r="A706" t="s">
        <v>126</v>
      </c>
      <c r="B706" t="s">
        <v>119</v>
      </c>
      <c r="C706">
        <v>635</v>
      </c>
      <c r="D706">
        <v>0.62348330430714305</v>
      </c>
      <c r="E706">
        <v>3.1496062992126001E-3</v>
      </c>
      <c r="F706" t="s">
        <v>301</v>
      </c>
    </row>
    <row r="707" spans="1:6" x14ac:dyDescent="0.2">
      <c r="A707" t="s">
        <v>93</v>
      </c>
      <c r="B707" t="s">
        <v>118</v>
      </c>
      <c r="C707">
        <v>635</v>
      </c>
      <c r="D707">
        <v>0.62348330430714305</v>
      </c>
      <c r="E707">
        <v>3.1496062992126001E-3</v>
      </c>
      <c r="F707" t="s">
        <v>301</v>
      </c>
    </row>
    <row r="708" spans="1:6" x14ac:dyDescent="0.2">
      <c r="A708" t="s">
        <v>107</v>
      </c>
      <c r="B708" t="s">
        <v>57</v>
      </c>
      <c r="C708">
        <v>635</v>
      </c>
      <c r="D708">
        <v>0.62348330430714305</v>
      </c>
      <c r="E708">
        <v>3.1496062992126001E-3</v>
      </c>
      <c r="F708" t="s">
        <v>301</v>
      </c>
    </row>
    <row r="709" spans="1:6" x14ac:dyDescent="0.2">
      <c r="A709" t="s">
        <v>126</v>
      </c>
      <c r="B709" t="s">
        <v>83</v>
      </c>
      <c r="C709">
        <v>635</v>
      </c>
      <c r="D709">
        <v>0.62348330430714305</v>
      </c>
      <c r="E709">
        <v>3.1496062992126001E-3</v>
      </c>
      <c r="F709" t="s">
        <v>301</v>
      </c>
    </row>
    <row r="710" spans="1:6" x14ac:dyDescent="0.2">
      <c r="A710" t="s">
        <v>107</v>
      </c>
      <c r="B710" t="s">
        <v>36</v>
      </c>
      <c r="C710">
        <v>635</v>
      </c>
      <c r="D710">
        <v>0.62348330430714305</v>
      </c>
      <c r="E710">
        <v>3.1496062992126001E-3</v>
      </c>
      <c r="F710" t="s">
        <v>301</v>
      </c>
    </row>
    <row r="711" spans="1:6" x14ac:dyDescent="0.2">
      <c r="A711" t="s">
        <v>93</v>
      </c>
      <c r="B711" t="s">
        <v>126</v>
      </c>
      <c r="C711">
        <v>635</v>
      </c>
      <c r="D711">
        <v>0.62348330430714305</v>
      </c>
      <c r="E711">
        <v>3.1496062992126001E-3</v>
      </c>
      <c r="F711" t="s">
        <v>301</v>
      </c>
    </row>
    <row r="712" spans="1:6" x14ac:dyDescent="0.2">
      <c r="A712" t="s">
        <v>126</v>
      </c>
      <c r="B712" t="s">
        <v>38</v>
      </c>
      <c r="C712">
        <v>635</v>
      </c>
      <c r="D712">
        <v>0.62348330430714305</v>
      </c>
      <c r="E712">
        <v>3.1496062992126001E-3</v>
      </c>
      <c r="F712" t="s">
        <v>301</v>
      </c>
    </row>
    <row r="713" spans="1:6" x14ac:dyDescent="0.2">
      <c r="A713" t="s">
        <v>177</v>
      </c>
      <c r="B713" t="s">
        <v>83</v>
      </c>
      <c r="C713">
        <v>635</v>
      </c>
      <c r="D713">
        <v>0.62348330430714305</v>
      </c>
      <c r="E713">
        <v>3.1496062992126001E-3</v>
      </c>
      <c r="F713" t="s">
        <v>301</v>
      </c>
    </row>
    <row r="714" spans="1:6" x14ac:dyDescent="0.2">
      <c r="A714" t="s">
        <v>107</v>
      </c>
      <c r="B714" t="s">
        <v>38</v>
      </c>
      <c r="C714">
        <v>635</v>
      </c>
      <c r="D714">
        <v>0.62348330430714305</v>
      </c>
      <c r="E714">
        <v>3.1496062992126001E-3</v>
      </c>
      <c r="F714" t="s">
        <v>301</v>
      </c>
    </row>
    <row r="715" spans="1:6" x14ac:dyDescent="0.2">
      <c r="A715" t="s">
        <v>118</v>
      </c>
      <c r="B715" t="s">
        <v>38</v>
      </c>
      <c r="C715">
        <v>635</v>
      </c>
      <c r="D715">
        <v>0.62348330430714305</v>
      </c>
      <c r="E715">
        <v>3.1496062992126001E-3</v>
      </c>
      <c r="F715" t="s">
        <v>301</v>
      </c>
    </row>
    <row r="716" spans="1:6" x14ac:dyDescent="0.2">
      <c r="A716" t="s">
        <v>106</v>
      </c>
      <c r="B716" t="s">
        <v>175</v>
      </c>
      <c r="C716">
        <v>635</v>
      </c>
      <c r="D716">
        <v>0.62348330430714305</v>
      </c>
      <c r="E716">
        <v>3.1496062992126001E-3</v>
      </c>
      <c r="F716" t="s">
        <v>301</v>
      </c>
    </row>
    <row r="717" spans="1:6" x14ac:dyDescent="0.2">
      <c r="A717" t="s">
        <v>36</v>
      </c>
      <c r="B717" t="s">
        <v>38</v>
      </c>
      <c r="C717">
        <v>635</v>
      </c>
      <c r="D717">
        <v>0.62348330430714305</v>
      </c>
      <c r="E717">
        <v>3.1496062992126001E-3</v>
      </c>
      <c r="F717" t="s">
        <v>301</v>
      </c>
    </row>
    <row r="718" spans="1:6" x14ac:dyDescent="0.2">
      <c r="A718" t="s">
        <v>73</v>
      </c>
      <c r="B718" t="s">
        <v>119</v>
      </c>
      <c r="C718">
        <v>635</v>
      </c>
      <c r="D718">
        <v>0.62348330430714305</v>
      </c>
      <c r="E718">
        <v>3.1496062992126001E-3</v>
      </c>
      <c r="F718" t="s">
        <v>301</v>
      </c>
    </row>
    <row r="719" spans="1:6" x14ac:dyDescent="0.2">
      <c r="A719" t="s">
        <v>177</v>
      </c>
      <c r="B719" t="s">
        <v>126</v>
      </c>
      <c r="C719">
        <v>635</v>
      </c>
      <c r="D719">
        <v>0.62348330430714305</v>
      </c>
      <c r="E719">
        <v>3.1496062992126001E-3</v>
      </c>
      <c r="F719" t="s">
        <v>301</v>
      </c>
    </row>
    <row r="720" spans="1:6" x14ac:dyDescent="0.2">
      <c r="A720" t="s">
        <v>107</v>
      </c>
      <c r="B720" t="s">
        <v>50</v>
      </c>
      <c r="C720">
        <v>635</v>
      </c>
      <c r="D720">
        <v>0.62348330430714305</v>
      </c>
      <c r="E720">
        <v>3.1496062992126001E-3</v>
      </c>
      <c r="F720" t="s">
        <v>301</v>
      </c>
    </row>
    <row r="721" spans="1:6" x14ac:dyDescent="0.2">
      <c r="A721" t="s">
        <v>36</v>
      </c>
      <c r="B721" t="s">
        <v>175</v>
      </c>
      <c r="C721">
        <v>635</v>
      </c>
      <c r="D721">
        <v>0.62348330430714305</v>
      </c>
      <c r="E721">
        <v>3.1496062992126001E-3</v>
      </c>
      <c r="F721" t="s">
        <v>301</v>
      </c>
    </row>
    <row r="722" spans="1:6" x14ac:dyDescent="0.2">
      <c r="A722" t="s">
        <v>50</v>
      </c>
      <c r="B722" t="s">
        <v>175</v>
      </c>
      <c r="C722">
        <v>635</v>
      </c>
      <c r="D722">
        <v>0.62348330430714305</v>
      </c>
      <c r="E722">
        <v>3.1496062992126001E-3</v>
      </c>
      <c r="F722" t="s">
        <v>301</v>
      </c>
    </row>
    <row r="723" spans="1:6" x14ac:dyDescent="0.2">
      <c r="A723" t="s">
        <v>50</v>
      </c>
      <c r="B723" t="s">
        <v>17</v>
      </c>
      <c r="C723">
        <v>635</v>
      </c>
      <c r="D723">
        <v>0.62348330430714305</v>
      </c>
      <c r="E723">
        <v>3.1496062992126001E-3</v>
      </c>
      <c r="F723" t="s">
        <v>301</v>
      </c>
    </row>
    <row r="724" spans="1:6" x14ac:dyDescent="0.2">
      <c r="A724" t="s">
        <v>76</v>
      </c>
      <c r="B724" t="s">
        <v>106</v>
      </c>
      <c r="C724">
        <v>635</v>
      </c>
      <c r="D724">
        <v>0.62348330430714305</v>
      </c>
      <c r="E724">
        <v>3.1496062992126001E-3</v>
      </c>
      <c r="F724" t="s">
        <v>301</v>
      </c>
    </row>
    <row r="725" spans="1:6" x14ac:dyDescent="0.2">
      <c r="A725" t="s">
        <v>36</v>
      </c>
      <c r="B725" t="s">
        <v>177</v>
      </c>
      <c r="C725">
        <v>635</v>
      </c>
      <c r="D725">
        <v>0.62348330430714305</v>
      </c>
      <c r="E725">
        <v>3.1496062992126001E-3</v>
      </c>
      <c r="F725" t="s">
        <v>301</v>
      </c>
    </row>
    <row r="726" spans="1:6" x14ac:dyDescent="0.2">
      <c r="A726" t="s">
        <v>107</v>
      </c>
      <c r="B726" t="s">
        <v>129</v>
      </c>
      <c r="C726">
        <v>635</v>
      </c>
      <c r="D726">
        <v>0.62348330430714305</v>
      </c>
      <c r="E726">
        <v>3.1496062992126001E-3</v>
      </c>
      <c r="F726" t="s">
        <v>301</v>
      </c>
    </row>
    <row r="727" spans="1:6" x14ac:dyDescent="0.2">
      <c r="A727" t="s">
        <v>62</v>
      </c>
      <c r="B727" t="s">
        <v>38</v>
      </c>
      <c r="C727">
        <v>635</v>
      </c>
      <c r="D727">
        <v>0.62348330430714305</v>
      </c>
      <c r="E727">
        <v>3.1496062992126001E-3</v>
      </c>
      <c r="F727" t="s">
        <v>301</v>
      </c>
    </row>
    <row r="728" spans="1:6" x14ac:dyDescent="0.2">
      <c r="A728" t="s">
        <v>107</v>
      </c>
      <c r="B728" t="s">
        <v>62</v>
      </c>
      <c r="C728">
        <v>635</v>
      </c>
      <c r="D728">
        <v>0.62348330430714305</v>
      </c>
      <c r="E728">
        <v>3.1496062992126001E-3</v>
      </c>
      <c r="F728" t="s">
        <v>301</v>
      </c>
    </row>
    <row r="729" spans="1:6" x14ac:dyDescent="0.2">
      <c r="A729" t="s">
        <v>17</v>
      </c>
      <c r="B729" t="s">
        <v>106</v>
      </c>
      <c r="C729">
        <v>635</v>
      </c>
      <c r="D729">
        <v>0.62348330430714305</v>
      </c>
      <c r="E729">
        <v>3.1496062992126001E-3</v>
      </c>
      <c r="F729" t="s">
        <v>301</v>
      </c>
    </row>
    <row r="730" spans="1:6" x14ac:dyDescent="0.2">
      <c r="A730" t="s">
        <v>107</v>
      </c>
      <c r="B730" t="s">
        <v>126</v>
      </c>
      <c r="C730">
        <v>635</v>
      </c>
      <c r="D730">
        <v>0.62348330430714305</v>
      </c>
      <c r="E730">
        <v>3.1496062992126001E-3</v>
      </c>
      <c r="F730" t="s">
        <v>301</v>
      </c>
    </row>
    <row r="731" spans="1:6" x14ac:dyDescent="0.2">
      <c r="A731" t="s">
        <v>57</v>
      </c>
      <c r="B731" t="s">
        <v>126</v>
      </c>
      <c r="C731">
        <v>635</v>
      </c>
      <c r="D731">
        <v>0.62348330430714305</v>
      </c>
      <c r="E731">
        <v>3.1496062992126001E-3</v>
      </c>
      <c r="F731" t="s">
        <v>301</v>
      </c>
    </row>
    <row r="732" spans="1:6" x14ac:dyDescent="0.2">
      <c r="A732" t="s">
        <v>36</v>
      </c>
      <c r="B732" t="s">
        <v>17</v>
      </c>
      <c r="C732">
        <v>635</v>
      </c>
      <c r="D732">
        <v>0.62348330430714305</v>
      </c>
      <c r="E732">
        <v>3.1496062992126001E-3</v>
      </c>
      <c r="F732" t="s">
        <v>301</v>
      </c>
    </row>
    <row r="733" spans="1:6" x14ac:dyDescent="0.2">
      <c r="A733" t="s">
        <v>106</v>
      </c>
      <c r="B733" t="s">
        <v>119</v>
      </c>
      <c r="C733">
        <v>635</v>
      </c>
      <c r="D733">
        <v>0.62348330430714305</v>
      </c>
      <c r="E733">
        <v>3.1496062992126001E-3</v>
      </c>
      <c r="F733" t="s">
        <v>301</v>
      </c>
    </row>
    <row r="734" spans="1:6" x14ac:dyDescent="0.2">
      <c r="A734" t="s">
        <v>36</v>
      </c>
      <c r="B734" t="s">
        <v>76</v>
      </c>
      <c r="C734">
        <v>635</v>
      </c>
      <c r="D734">
        <v>0.62348330430714305</v>
      </c>
      <c r="E734">
        <v>3.1496062992126001E-3</v>
      </c>
      <c r="F734" t="s">
        <v>301</v>
      </c>
    </row>
    <row r="735" spans="1:6" x14ac:dyDescent="0.2">
      <c r="A735" t="s">
        <v>119</v>
      </c>
      <c r="B735" t="s">
        <v>175</v>
      </c>
      <c r="C735">
        <v>635</v>
      </c>
      <c r="D735">
        <v>0.62348330430714305</v>
      </c>
      <c r="E735">
        <v>3.1496062992126001E-3</v>
      </c>
      <c r="F735" t="s">
        <v>301</v>
      </c>
    </row>
    <row r="736" spans="1:6" x14ac:dyDescent="0.2">
      <c r="A736" t="s">
        <v>73</v>
      </c>
      <c r="B736" t="s">
        <v>93</v>
      </c>
      <c r="C736">
        <v>635</v>
      </c>
      <c r="D736">
        <v>0.62348330430714305</v>
      </c>
      <c r="E736">
        <v>3.1496062992126001E-3</v>
      </c>
      <c r="F736" t="s">
        <v>301</v>
      </c>
    </row>
    <row r="737" spans="1:6" x14ac:dyDescent="0.2">
      <c r="A737" t="s">
        <v>118</v>
      </c>
      <c r="B737" t="s">
        <v>65</v>
      </c>
      <c r="C737">
        <v>635</v>
      </c>
      <c r="D737">
        <v>0.62348330430714305</v>
      </c>
      <c r="E737">
        <v>3.1496062992126001E-3</v>
      </c>
      <c r="F737" t="s">
        <v>301</v>
      </c>
    </row>
    <row r="738" spans="1:6" x14ac:dyDescent="0.2">
      <c r="A738" t="s">
        <v>76</v>
      </c>
      <c r="B738" t="s">
        <v>17</v>
      </c>
      <c r="C738">
        <v>635</v>
      </c>
      <c r="D738">
        <v>0.62348330430714305</v>
      </c>
      <c r="E738">
        <v>3.1496062992126001E-3</v>
      </c>
      <c r="F738" t="s">
        <v>301</v>
      </c>
    </row>
    <row r="739" spans="1:6" x14ac:dyDescent="0.2">
      <c r="A739" t="s">
        <v>107</v>
      </c>
      <c r="B739" t="s">
        <v>83</v>
      </c>
      <c r="C739">
        <v>635</v>
      </c>
      <c r="D739">
        <v>0.62348330430714305</v>
      </c>
      <c r="E739">
        <v>3.1496062992126001E-3</v>
      </c>
      <c r="F739" t="s">
        <v>301</v>
      </c>
    </row>
    <row r="740" spans="1:6" x14ac:dyDescent="0.2">
      <c r="A740" t="s">
        <v>118</v>
      </c>
      <c r="B740" t="s">
        <v>175</v>
      </c>
      <c r="C740">
        <v>635</v>
      </c>
      <c r="D740">
        <v>0.62348330430714305</v>
      </c>
      <c r="E740">
        <v>3.1496062992126001E-3</v>
      </c>
      <c r="F740" t="s">
        <v>301</v>
      </c>
    </row>
    <row r="741" spans="1:6" x14ac:dyDescent="0.2">
      <c r="A741" t="s">
        <v>57</v>
      </c>
      <c r="B741" t="s">
        <v>38</v>
      </c>
      <c r="C741">
        <v>635</v>
      </c>
      <c r="D741">
        <v>0.62348330430714305</v>
      </c>
      <c r="E741">
        <v>3.1496062992126001E-3</v>
      </c>
      <c r="F741" t="s">
        <v>301</v>
      </c>
    </row>
    <row r="742" spans="1:6" x14ac:dyDescent="0.2">
      <c r="A742" t="s">
        <v>106</v>
      </c>
      <c r="B742" t="s">
        <v>118</v>
      </c>
      <c r="C742">
        <v>635</v>
      </c>
      <c r="D742">
        <v>0.62348330430714305</v>
      </c>
      <c r="E742">
        <v>3.1496062992126001E-3</v>
      </c>
      <c r="F742" t="s">
        <v>301</v>
      </c>
    </row>
    <row r="743" spans="1:6" x14ac:dyDescent="0.2">
      <c r="A743" t="s">
        <v>73</v>
      </c>
      <c r="B743" t="s">
        <v>129</v>
      </c>
      <c r="C743">
        <v>635</v>
      </c>
      <c r="D743">
        <v>0.62348330430714305</v>
      </c>
      <c r="E743">
        <v>3.1496062992126001E-3</v>
      </c>
      <c r="F743" t="s">
        <v>301</v>
      </c>
    </row>
    <row r="744" spans="1:6" x14ac:dyDescent="0.2">
      <c r="A744" t="s">
        <v>17</v>
      </c>
      <c r="B744" t="s">
        <v>119</v>
      </c>
      <c r="C744">
        <v>635</v>
      </c>
      <c r="D744">
        <v>0.62348330430714305</v>
      </c>
      <c r="E744">
        <v>3.1496062992126001E-3</v>
      </c>
      <c r="F744" t="s">
        <v>301</v>
      </c>
    </row>
    <row r="745" spans="1:6" x14ac:dyDescent="0.2">
      <c r="A745" t="s">
        <v>73</v>
      </c>
      <c r="B745" t="s">
        <v>50</v>
      </c>
      <c r="C745">
        <v>635</v>
      </c>
      <c r="D745">
        <v>0.62348330430714305</v>
      </c>
      <c r="E745">
        <v>3.1496062992126001E-3</v>
      </c>
      <c r="F745" t="s">
        <v>301</v>
      </c>
    </row>
    <row r="746" spans="1:6" x14ac:dyDescent="0.2">
      <c r="A746" t="s">
        <v>93</v>
      </c>
      <c r="B746" t="s">
        <v>50</v>
      </c>
      <c r="C746">
        <v>635</v>
      </c>
      <c r="D746">
        <v>0.62348330430714305</v>
      </c>
      <c r="E746">
        <v>3.1496062992126001E-3</v>
      </c>
      <c r="F746" t="s">
        <v>301</v>
      </c>
    </row>
    <row r="747" spans="1:6" x14ac:dyDescent="0.2">
      <c r="A747" t="s">
        <v>65</v>
      </c>
      <c r="B747" t="s">
        <v>175</v>
      </c>
      <c r="C747">
        <v>635</v>
      </c>
      <c r="D747">
        <v>0.62348330430714305</v>
      </c>
      <c r="E747">
        <v>3.1496062992126001E-3</v>
      </c>
      <c r="F747" t="s">
        <v>301</v>
      </c>
    </row>
    <row r="748" spans="1:6" x14ac:dyDescent="0.2">
      <c r="A748" t="s">
        <v>83</v>
      </c>
      <c r="B748" t="s">
        <v>175</v>
      </c>
      <c r="C748">
        <v>635</v>
      </c>
      <c r="D748">
        <v>0.62348330430714305</v>
      </c>
      <c r="E748">
        <v>3.1496062992126001E-3</v>
      </c>
      <c r="F748" t="s">
        <v>301</v>
      </c>
    </row>
    <row r="749" spans="1:6" x14ac:dyDescent="0.2">
      <c r="A749" t="s">
        <v>62</v>
      </c>
      <c r="B749" t="s">
        <v>106</v>
      </c>
      <c r="C749">
        <v>635</v>
      </c>
      <c r="D749">
        <v>0.62348330430714305</v>
      </c>
      <c r="E749">
        <v>3.1496062992126001E-3</v>
      </c>
      <c r="F749" t="s">
        <v>301</v>
      </c>
    </row>
    <row r="750" spans="1:6" x14ac:dyDescent="0.2">
      <c r="A750" t="s">
        <v>65</v>
      </c>
      <c r="B750" t="s">
        <v>38</v>
      </c>
      <c r="C750">
        <v>635</v>
      </c>
      <c r="D750">
        <v>0.62348330430714305</v>
      </c>
      <c r="E750">
        <v>3.1496062992126001E-3</v>
      </c>
      <c r="F750" t="s">
        <v>301</v>
      </c>
    </row>
    <row r="751" spans="1:6" x14ac:dyDescent="0.2">
      <c r="A751" t="s">
        <v>93</v>
      </c>
      <c r="B751" t="s">
        <v>119</v>
      </c>
      <c r="C751">
        <v>635</v>
      </c>
      <c r="D751">
        <v>0.62348330430714305</v>
      </c>
      <c r="E751">
        <v>3.1496062992126001E-3</v>
      </c>
      <c r="F751" t="s">
        <v>301</v>
      </c>
    </row>
    <row r="752" spans="1:6" x14ac:dyDescent="0.2">
      <c r="A752" t="s">
        <v>62</v>
      </c>
      <c r="B752" t="s">
        <v>126</v>
      </c>
      <c r="C752">
        <v>635</v>
      </c>
      <c r="D752">
        <v>0.62348330430714305</v>
      </c>
      <c r="E752">
        <v>3.1496062992126001E-3</v>
      </c>
      <c r="F752" t="s">
        <v>301</v>
      </c>
    </row>
    <row r="753" spans="1:6" x14ac:dyDescent="0.2">
      <c r="A753" t="s">
        <v>36</v>
      </c>
      <c r="B753" t="s">
        <v>65</v>
      </c>
      <c r="C753">
        <v>635</v>
      </c>
      <c r="D753">
        <v>0.62348330430714305</v>
      </c>
      <c r="E753">
        <v>3.1496062992126001E-3</v>
      </c>
      <c r="F753" t="s">
        <v>301</v>
      </c>
    </row>
    <row r="754" spans="1:6" x14ac:dyDescent="0.2">
      <c r="A754" t="s">
        <v>36</v>
      </c>
      <c r="B754" t="s">
        <v>93</v>
      </c>
      <c r="C754">
        <v>635</v>
      </c>
      <c r="D754">
        <v>0.62348330430714305</v>
      </c>
      <c r="E754">
        <v>3.1496062992126001E-3</v>
      </c>
      <c r="F754" t="s">
        <v>301</v>
      </c>
    </row>
    <row r="755" spans="1:6" x14ac:dyDescent="0.2">
      <c r="A755" t="s">
        <v>106</v>
      </c>
      <c r="B755" t="s">
        <v>38</v>
      </c>
      <c r="C755">
        <v>635</v>
      </c>
      <c r="D755">
        <v>0.62348330430714305</v>
      </c>
      <c r="E755">
        <v>3.1496062992126001E-3</v>
      </c>
      <c r="F755" t="s">
        <v>301</v>
      </c>
    </row>
    <row r="756" spans="1:6" x14ac:dyDescent="0.2">
      <c r="A756" t="s">
        <v>62</v>
      </c>
      <c r="B756" t="s">
        <v>36</v>
      </c>
      <c r="C756">
        <v>635</v>
      </c>
      <c r="D756">
        <v>0.62348330430714305</v>
      </c>
      <c r="E756">
        <v>3.1496062992126001E-3</v>
      </c>
      <c r="F756" t="s">
        <v>301</v>
      </c>
    </row>
    <row r="757" spans="1:6" x14ac:dyDescent="0.2">
      <c r="A757" t="s">
        <v>119</v>
      </c>
      <c r="B757" t="s">
        <v>38</v>
      </c>
      <c r="C757">
        <v>635</v>
      </c>
      <c r="D757">
        <v>0.62348330430714305</v>
      </c>
      <c r="E757">
        <v>3.1496062992126001E-3</v>
      </c>
      <c r="F757" t="s">
        <v>301</v>
      </c>
    </row>
    <row r="758" spans="1:6" x14ac:dyDescent="0.2">
      <c r="A758" t="s">
        <v>36</v>
      </c>
      <c r="B758" t="s">
        <v>50</v>
      </c>
      <c r="C758">
        <v>635</v>
      </c>
      <c r="D758">
        <v>0.62348330430714305</v>
      </c>
      <c r="E758">
        <v>3.1496062992126001E-3</v>
      </c>
      <c r="F758" t="s">
        <v>301</v>
      </c>
    </row>
    <row r="759" spans="1:6" x14ac:dyDescent="0.2">
      <c r="A759" t="s">
        <v>17</v>
      </c>
      <c r="B759" t="s">
        <v>83</v>
      </c>
      <c r="C759">
        <v>635</v>
      </c>
      <c r="D759">
        <v>0.62348330430714305</v>
      </c>
      <c r="E759">
        <v>3.1496062992126001E-3</v>
      </c>
      <c r="F759" t="s">
        <v>301</v>
      </c>
    </row>
    <row r="760" spans="1:6" x14ac:dyDescent="0.2">
      <c r="A760" t="s">
        <v>50</v>
      </c>
      <c r="B760" t="s">
        <v>65</v>
      </c>
      <c r="C760">
        <v>635</v>
      </c>
      <c r="D760">
        <v>0.62348330430714305</v>
      </c>
      <c r="E760">
        <v>3.1496062992126001E-3</v>
      </c>
      <c r="F760" t="s">
        <v>301</v>
      </c>
    </row>
    <row r="761" spans="1:6" x14ac:dyDescent="0.2">
      <c r="A761" t="s">
        <v>17</v>
      </c>
      <c r="B761" t="s">
        <v>126</v>
      </c>
      <c r="C761">
        <v>635</v>
      </c>
      <c r="D761">
        <v>0.62348330430714305</v>
      </c>
      <c r="E761">
        <v>3.1496062992126001E-3</v>
      </c>
      <c r="F761" t="s">
        <v>301</v>
      </c>
    </row>
    <row r="762" spans="1:6" x14ac:dyDescent="0.2">
      <c r="A762" t="s">
        <v>73</v>
      </c>
      <c r="B762" t="s">
        <v>177</v>
      </c>
      <c r="C762">
        <v>635</v>
      </c>
      <c r="D762">
        <v>0.62348330430714305</v>
      </c>
      <c r="E762">
        <v>3.1496062992126001E-3</v>
      </c>
      <c r="F762" t="s">
        <v>301</v>
      </c>
    </row>
    <row r="763" spans="1:6" x14ac:dyDescent="0.2">
      <c r="A763" t="s">
        <v>106</v>
      </c>
      <c r="B763" t="s">
        <v>126</v>
      </c>
      <c r="C763">
        <v>635</v>
      </c>
      <c r="D763">
        <v>0.62348330430714305</v>
      </c>
      <c r="E763">
        <v>3.1496062992126001E-3</v>
      </c>
      <c r="F763" t="s">
        <v>301</v>
      </c>
    </row>
    <row r="764" spans="1:6" x14ac:dyDescent="0.2">
      <c r="A764" t="s">
        <v>73</v>
      </c>
      <c r="B764" t="s">
        <v>175</v>
      </c>
      <c r="C764">
        <v>635</v>
      </c>
      <c r="D764">
        <v>0.62348330430714305</v>
      </c>
      <c r="E764">
        <v>3.1496062992126001E-3</v>
      </c>
      <c r="F764" t="s">
        <v>301</v>
      </c>
    </row>
    <row r="765" spans="1:6" x14ac:dyDescent="0.2">
      <c r="A765" t="s">
        <v>36</v>
      </c>
      <c r="B765" t="s">
        <v>57</v>
      </c>
      <c r="C765">
        <v>635</v>
      </c>
      <c r="D765">
        <v>0.62348330430714305</v>
      </c>
      <c r="E765">
        <v>3.1496062992126001E-3</v>
      </c>
      <c r="F765" t="s">
        <v>301</v>
      </c>
    </row>
    <row r="766" spans="1:6" x14ac:dyDescent="0.2">
      <c r="A766" t="s">
        <v>93</v>
      </c>
      <c r="B766" t="s">
        <v>106</v>
      </c>
      <c r="C766">
        <v>635</v>
      </c>
      <c r="D766">
        <v>0.62348330430714305</v>
      </c>
      <c r="E766">
        <v>3.1496062992126001E-3</v>
      </c>
      <c r="F766" t="s">
        <v>301</v>
      </c>
    </row>
    <row r="767" spans="1:6" x14ac:dyDescent="0.2">
      <c r="A767" t="s">
        <v>73</v>
      </c>
      <c r="B767" t="s">
        <v>62</v>
      </c>
      <c r="C767">
        <v>635</v>
      </c>
      <c r="D767">
        <v>0.62348330430714305</v>
      </c>
      <c r="E767">
        <v>3.1496062992126001E-3</v>
      </c>
      <c r="F767" t="s">
        <v>301</v>
      </c>
    </row>
    <row r="768" spans="1:6" x14ac:dyDescent="0.2">
      <c r="A768" t="s">
        <v>93</v>
      </c>
      <c r="B768" t="s">
        <v>175</v>
      </c>
      <c r="C768">
        <v>635</v>
      </c>
      <c r="D768">
        <v>0.62348330430714305</v>
      </c>
      <c r="E768">
        <v>3.1496062992126001E-3</v>
      </c>
      <c r="F768" t="s">
        <v>301</v>
      </c>
    </row>
    <row r="769" spans="1:6" x14ac:dyDescent="0.2">
      <c r="A769" t="s">
        <v>50</v>
      </c>
      <c r="B769" t="s">
        <v>106</v>
      </c>
      <c r="C769">
        <v>635</v>
      </c>
      <c r="D769">
        <v>0.62348330430714305</v>
      </c>
      <c r="E769">
        <v>3.1496062992126001E-3</v>
      </c>
      <c r="F769" t="s">
        <v>301</v>
      </c>
    </row>
    <row r="770" spans="1:6" x14ac:dyDescent="0.2">
      <c r="A770" t="s">
        <v>57</v>
      </c>
      <c r="B770" t="s">
        <v>65</v>
      </c>
      <c r="C770">
        <v>635</v>
      </c>
      <c r="D770">
        <v>0.62348330430714305</v>
      </c>
      <c r="E770">
        <v>3.1496062992126001E-3</v>
      </c>
      <c r="F770" t="s">
        <v>301</v>
      </c>
    </row>
    <row r="771" spans="1:6" x14ac:dyDescent="0.2">
      <c r="A771" t="s">
        <v>177</v>
      </c>
      <c r="B771" t="s">
        <v>106</v>
      </c>
      <c r="C771">
        <v>635</v>
      </c>
      <c r="D771">
        <v>0.62348330430714305</v>
      </c>
      <c r="E771">
        <v>3.1496062992126001E-3</v>
      </c>
      <c r="F771" t="s">
        <v>301</v>
      </c>
    </row>
    <row r="772" spans="1:6" x14ac:dyDescent="0.2">
      <c r="A772" t="s">
        <v>36</v>
      </c>
      <c r="B772" t="s">
        <v>106</v>
      </c>
      <c r="C772">
        <v>635</v>
      </c>
      <c r="D772">
        <v>0.62348330430714305</v>
      </c>
      <c r="E772">
        <v>3.1496062992126001E-3</v>
      </c>
      <c r="F772" t="s">
        <v>301</v>
      </c>
    </row>
    <row r="773" spans="1:6" x14ac:dyDescent="0.2">
      <c r="A773" t="s">
        <v>107</v>
      </c>
      <c r="B773" t="s">
        <v>119</v>
      </c>
      <c r="C773">
        <v>635</v>
      </c>
      <c r="D773">
        <v>0.62348330430714305</v>
      </c>
      <c r="E773">
        <v>3.1496062992126001E-3</v>
      </c>
      <c r="F773" t="s">
        <v>301</v>
      </c>
    </row>
    <row r="774" spans="1:6" x14ac:dyDescent="0.2">
      <c r="A774" t="s">
        <v>76</v>
      </c>
      <c r="B774" t="s">
        <v>175</v>
      </c>
      <c r="C774">
        <v>635</v>
      </c>
      <c r="D774">
        <v>0.62348330430714305</v>
      </c>
      <c r="E774">
        <v>3.1496062992126001E-3</v>
      </c>
      <c r="F774" t="s">
        <v>301</v>
      </c>
    </row>
    <row r="775" spans="1:6" x14ac:dyDescent="0.2">
      <c r="A775" t="s">
        <v>83</v>
      </c>
      <c r="B775" t="s">
        <v>38</v>
      </c>
      <c r="C775">
        <v>635</v>
      </c>
      <c r="D775">
        <v>0.62348330430714305</v>
      </c>
      <c r="E775">
        <v>3.1496062992126001E-3</v>
      </c>
      <c r="F775" t="s">
        <v>301</v>
      </c>
    </row>
    <row r="776" spans="1:6" x14ac:dyDescent="0.2">
      <c r="A776" t="s">
        <v>106</v>
      </c>
      <c r="B776" t="s">
        <v>129</v>
      </c>
      <c r="C776">
        <v>635</v>
      </c>
      <c r="D776">
        <v>0.62348330430714305</v>
      </c>
      <c r="E776">
        <v>3.1496062992126001E-3</v>
      </c>
      <c r="F776" t="s">
        <v>301</v>
      </c>
    </row>
    <row r="777" spans="1:6" x14ac:dyDescent="0.2">
      <c r="A777" t="s">
        <v>107</v>
      </c>
      <c r="B777" t="s">
        <v>93</v>
      </c>
      <c r="C777">
        <v>635</v>
      </c>
      <c r="D777">
        <v>0.62348330430714305</v>
      </c>
      <c r="E777">
        <v>3.1496062992126001E-3</v>
      </c>
      <c r="F777" t="s">
        <v>301</v>
      </c>
    </row>
    <row r="778" spans="1:6" x14ac:dyDescent="0.2">
      <c r="A778" t="s">
        <v>62</v>
      </c>
      <c r="B778" t="s">
        <v>93</v>
      </c>
      <c r="C778">
        <v>635</v>
      </c>
      <c r="D778">
        <v>0.62348330430714305</v>
      </c>
      <c r="E778">
        <v>3.1496062992126001E-3</v>
      </c>
      <c r="F778" t="s">
        <v>301</v>
      </c>
    </row>
    <row r="779" spans="1:6" x14ac:dyDescent="0.2">
      <c r="A779" t="s">
        <v>93</v>
      </c>
      <c r="B779" t="s">
        <v>83</v>
      </c>
      <c r="C779">
        <v>635</v>
      </c>
      <c r="D779">
        <v>0.62348330430714305</v>
      </c>
      <c r="E779">
        <v>3.1496062992126001E-3</v>
      </c>
      <c r="F779" t="s">
        <v>301</v>
      </c>
    </row>
    <row r="780" spans="1:6" x14ac:dyDescent="0.2">
      <c r="A780" t="s">
        <v>93</v>
      </c>
      <c r="B780" t="s">
        <v>38</v>
      </c>
      <c r="C780">
        <v>635</v>
      </c>
      <c r="D780">
        <v>0.62348330430714305</v>
      </c>
      <c r="E780">
        <v>3.1496062992126001E-3</v>
      </c>
      <c r="F780" t="s">
        <v>301</v>
      </c>
    </row>
    <row r="781" spans="1:6" x14ac:dyDescent="0.2">
      <c r="A781" t="s">
        <v>106</v>
      </c>
      <c r="B781" t="s">
        <v>83</v>
      </c>
      <c r="C781">
        <v>635</v>
      </c>
      <c r="D781">
        <v>0.62348330430714305</v>
      </c>
      <c r="E781">
        <v>3.1496062992126001E-3</v>
      </c>
      <c r="F781" t="s">
        <v>301</v>
      </c>
    </row>
    <row r="782" spans="1:6" x14ac:dyDescent="0.2">
      <c r="A782" t="s">
        <v>177</v>
      </c>
      <c r="B782" t="s">
        <v>65</v>
      </c>
      <c r="C782">
        <v>635</v>
      </c>
      <c r="D782">
        <v>0.62348330430714305</v>
      </c>
      <c r="E782">
        <v>3.1496062992126001E-3</v>
      </c>
      <c r="F782" t="s">
        <v>301</v>
      </c>
    </row>
    <row r="783" spans="1:6" x14ac:dyDescent="0.2">
      <c r="A783" t="s">
        <v>62</v>
      </c>
      <c r="B783" t="s">
        <v>65</v>
      </c>
      <c r="C783">
        <v>635</v>
      </c>
      <c r="D783">
        <v>0.62348330430714305</v>
      </c>
      <c r="E783">
        <v>3.1496062992126001E-3</v>
      </c>
      <c r="F783" t="s">
        <v>301</v>
      </c>
    </row>
    <row r="784" spans="1:6" x14ac:dyDescent="0.2">
      <c r="A784" t="s">
        <v>119</v>
      </c>
      <c r="B784" t="s">
        <v>65</v>
      </c>
      <c r="C784">
        <v>635</v>
      </c>
      <c r="D784">
        <v>0.62348330430714305</v>
      </c>
      <c r="E784">
        <v>3.1496062992126001E-3</v>
      </c>
      <c r="F784" t="s">
        <v>301</v>
      </c>
    </row>
    <row r="785" spans="1:6" x14ac:dyDescent="0.2">
      <c r="A785" t="s">
        <v>177</v>
      </c>
      <c r="B785" t="s">
        <v>50</v>
      </c>
      <c r="C785">
        <v>635</v>
      </c>
      <c r="D785">
        <v>0.62348330430714305</v>
      </c>
      <c r="E785">
        <v>3.1496062992126001E-3</v>
      </c>
      <c r="F785" t="s">
        <v>301</v>
      </c>
    </row>
    <row r="786" spans="1:6" x14ac:dyDescent="0.2">
      <c r="A786" t="s">
        <v>17</v>
      </c>
      <c r="B786" t="s">
        <v>118</v>
      </c>
      <c r="C786">
        <v>635</v>
      </c>
      <c r="D786">
        <v>0.62348330430714305</v>
      </c>
      <c r="E786">
        <v>3.1496062992126001E-3</v>
      </c>
      <c r="F786" t="s">
        <v>301</v>
      </c>
    </row>
    <row r="787" spans="1:6" x14ac:dyDescent="0.2">
      <c r="A787" t="s">
        <v>38</v>
      </c>
      <c r="B787" t="s">
        <v>175</v>
      </c>
      <c r="C787">
        <v>635</v>
      </c>
      <c r="D787">
        <v>0.62348330430714305</v>
      </c>
      <c r="E787">
        <v>3.1496062992126001E-3</v>
      </c>
      <c r="F787" t="s">
        <v>301</v>
      </c>
    </row>
    <row r="788" spans="1:6" x14ac:dyDescent="0.2">
      <c r="A788" t="s">
        <v>107</v>
      </c>
      <c r="B788" t="s">
        <v>17</v>
      </c>
      <c r="C788">
        <v>635</v>
      </c>
      <c r="D788">
        <v>0.62348330430714305</v>
      </c>
      <c r="E788">
        <v>3.1496062992126001E-3</v>
      </c>
      <c r="F788" t="s">
        <v>301</v>
      </c>
    </row>
    <row r="789" spans="1:6" x14ac:dyDescent="0.2">
      <c r="A789" t="s">
        <v>107</v>
      </c>
      <c r="B789" t="s">
        <v>118</v>
      </c>
      <c r="C789">
        <v>635</v>
      </c>
      <c r="D789">
        <v>0.62348330430714305</v>
      </c>
      <c r="E789">
        <v>3.1496062992126001E-3</v>
      </c>
      <c r="F789" t="s">
        <v>301</v>
      </c>
    </row>
    <row r="790" spans="1:6" x14ac:dyDescent="0.2">
      <c r="A790" t="s">
        <v>57</v>
      </c>
      <c r="B790" t="s">
        <v>177</v>
      </c>
      <c r="C790">
        <v>635</v>
      </c>
      <c r="D790">
        <v>0.62348330430714305</v>
      </c>
      <c r="E790">
        <v>3.1496062992126001E-3</v>
      </c>
      <c r="F790" t="s">
        <v>301</v>
      </c>
    </row>
    <row r="791" spans="1:6" x14ac:dyDescent="0.2">
      <c r="A791" t="s">
        <v>65</v>
      </c>
      <c r="B791" t="s">
        <v>83</v>
      </c>
      <c r="C791">
        <v>635</v>
      </c>
      <c r="D791">
        <v>0.62348330430714305</v>
      </c>
      <c r="E791">
        <v>3.1496062992126001E-3</v>
      </c>
      <c r="F791" t="s">
        <v>301</v>
      </c>
    </row>
    <row r="792" spans="1:6" x14ac:dyDescent="0.2">
      <c r="A792" t="s">
        <v>193</v>
      </c>
      <c r="B792" t="s">
        <v>81</v>
      </c>
      <c r="C792">
        <v>961</v>
      </c>
      <c r="D792">
        <v>0.234672540443183</v>
      </c>
      <c r="E792">
        <v>2.08116545265349E-3</v>
      </c>
      <c r="F792" t="s">
        <v>302</v>
      </c>
    </row>
    <row r="793" spans="1:6" x14ac:dyDescent="0.2">
      <c r="A793" t="s">
        <v>193</v>
      </c>
      <c r="B793" t="s">
        <v>38</v>
      </c>
      <c r="C793">
        <v>961</v>
      </c>
      <c r="D793">
        <v>0.234672540443183</v>
      </c>
      <c r="E793">
        <v>2.08116545265349E-3</v>
      </c>
      <c r="F793" t="s">
        <v>302</v>
      </c>
    </row>
    <row r="794" spans="1:6" x14ac:dyDescent="0.2">
      <c r="A794" t="s">
        <v>124</v>
      </c>
      <c r="B794" t="s">
        <v>81</v>
      </c>
      <c r="C794">
        <v>961</v>
      </c>
      <c r="D794">
        <v>0.234672540443183</v>
      </c>
      <c r="E794">
        <v>2.08116545265349E-3</v>
      </c>
      <c r="F794" t="s">
        <v>302</v>
      </c>
    </row>
    <row r="795" spans="1:6" x14ac:dyDescent="0.2">
      <c r="A795" t="s">
        <v>124</v>
      </c>
      <c r="B795" t="s">
        <v>38</v>
      </c>
      <c r="C795">
        <v>961</v>
      </c>
      <c r="D795">
        <v>0.234672540443183</v>
      </c>
      <c r="E795">
        <v>2.08116545265349E-3</v>
      </c>
      <c r="F795" t="s">
        <v>302</v>
      </c>
    </row>
    <row r="796" spans="1:6" x14ac:dyDescent="0.2">
      <c r="A796" t="s">
        <v>81</v>
      </c>
      <c r="B796" t="s">
        <v>83</v>
      </c>
      <c r="C796">
        <v>961</v>
      </c>
      <c r="D796">
        <v>0.234672540443183</v>
      </c>
      <c r="E796">
        <v>2.08116545265349E-3</v>
      </c>
      <c r="F796" t="s">
        <v>302</v>
      </c>
    </row>
    <row r="797" spans="1:6" x14ac:dyDescent="0.2">
      <c r="A797" t="s">
        <v>104</v>
      </c>
      <c r="B797" t="s">
        <v>126</v>
      </c>
      <c r="C797">
        <v>961</v>
      </c>
      <c r="D797">
        <v>0.234672540443183</v>
      </c>
      <c r="E797">
        <v>2.08116545265349E-3</v>
      </c>
      <c r="F797" t="s">
        <v>302</v>
      </c>
    </row>
    <row r="798" spans="1:6" x14ac:dyDescent="0.2">
      <c r="A798" t="s">
        <v>81</v>
      </c>
      <c r="B798" t="s">
        <v>38</v>
      </c>
      <c r="C798">
        <v>961</v>
      </c>
      <c r="D798">
        <v>0.234672540443183</v>
      </c>
      <c r="E798">
        <v>2.08116545265349E-3</v>
      </c>
      <c r="F798" t="s">
        <v>302</v>
      </c>
    </row>
    <row r="799" spans="1:6" x14ac:dyDescent="0.2">
      <c r="A799" t="s">
        <v>124</v>
      </c>
      <c r="B799" t="s">
        <v>193</v>
      </c>
      <c r="C799">
        <v>961</v>
      </c>
      <c r="D799">
        <v>0.234672540443183</v>
      </c>
      <c r="E799">
        <v>2.08116545265349E-3</v>
      </c>
      <c r="F799" t="s">
        <v>302</v>
      </c>
    </row>
    <row r="800" spans="1:6" x14ac:dyDescent="0.2">
      <c r="A800" t="s">
        <v>62</v>
      </c>
      <c r="B800" t="s">
        <v>81</v>
      </c>
      <c r="C800">
        <v>961</v>
      </c>
      <c r="D800">
        <v>0.234672540443183</v>
      </c>
      <c r="E800">
        <v>2.08116545265349E-3</v>
      </c>
      <c r="F800" t="s">
        <v>302</v>
      </c>
    </row>
    <row r="801" spans="1:6" x14ac:dyDescent="0.2">
      <c r="A801" t="s">
        <v>104</v>
      </c>
      <c r="B801" t="s">
        <v>38</v>
      </c>
      <c r="C801">
        <v>961</v>
      </c>
      <c r="D801">
        <v>0.234672540443183</v>
      </c>
      <c r="E801">
        <v>2.08116545265349E-3</v>
      </c>
      <c r="F801" t="s">
        <v>302</v>
      </c>
    </row>
    <row r="802" spans="1:6" x14ac:dyDescent="0.2">
      <c r="A802" t="s">
        <v>104</v>
      </c>
      <c r="B802" t="s">
        <v>81</v>
      </c>
      <c r="C802">
        <v>961</v>
      </c>
      <c r="D802">
        <v>0.234672540443183</v>
      </c>
      <c r="E802">
        <v>2.08116545265349E-3</v>
      </c>
      <c r="F802" t="s">
        <v>302</v>
      </c>
    </row>
    <row r="803" spans="1:6" x14ac:dyDescent="0.2">
      <c r="A803" t="s">
        <v>81</v>
      </c>
      <c r="B803" t="s">
        <v>126</v>
      </c>
      <c r="C803">
        <v>961</v>
      </c>
      <c r="D803">
        <v>0.234672540443183</v>
      </c>
      <c r="E803">
        <v>2.08116545265349E-3</v>
      </c>
      <c r="F803" t="s">
        <v>302</v>
      </c>
    </row>
    <row r="804" spans="1:6" x14ac:dyDescent="0.2">
      <c r="A804" t="s">
        <v>124</v>
      </c>
      <c r="B804" t="s">
        <v>62</v>
      </c>
      <c r="C804">
        <v>961</v>
      </c>
      <c r="D804">
        <v>0.234672540443183</v>
      </c>
      <c r="E804">
        <v>2.08116545265349E-3</v>
      </c>
      <c r="F804" t="s">
        <v>302</v>
      </c>
    </row>
    <row r="805" spans="1:6" x14ac:dyDescent="0.2">
      <c r="A805" t="s">
        <v>193</v>
      </c>
      <c r="B805" t="s">
        <v>126</v>
      </c>
      <c r="C805">
        <v>961</v>
      </c>
      <c r="D805">
        <v>0.234672540443183</v>
      </c>
      <c r="E805">
        <v>2.08116545265349E-3</v>
      </c>
      <c r="F805" t="s">
        <v>302</v>
      </c>
    </row>
    <row r="806" spans="1:6" x14ac:dyDescent="0.2">
      <c r="A806" t="s">
        <v>104</v>
      </c>
      <c r="B806" t="s">
        <v>83</v>
      </c>
      <c r="C806">
        <v>961</v>
      </c>
      <c r="D806">
        <v>0.234672540443183</v>
      </c>
      <c r="E806">
        <v>2.08116545265349E-3</v>
      </c>
      <c r="F806" t="s">
        <v>302</v>
      </c>
    </row>
    <row r="807" spans="1:6" x14ac:dyDescent="0.2">
      <c r="A807" t="s">
        <v>193</v>
      </c>
      <c r="B807" t="s">
        <v>62</v>
      </c>
      <c r="C807">
        <v>961</v>
      </c>
      <c r="D807">
        <v>0.234672540443183</v>
      </c>
      <c r="E807">
        <v>2.08116545265349E-3</v>
      </c>
      <c r="F807" t="s">
        <v>302</v>
      </c>
    </row>
    <row r="808" spans="1:6" x14ac:dyDescent="0.2">
      <c r="A808" t="s">
        <v>104</v>
      </c>
      <c r="B808" t="s">
        <v>62</v>
      </c>
      <c r="C808">
        <v>961</v>
      </c>
      <c r="D808">
        <v>0.234672540443183</v>
      </c>
      <c r="E808">
        <v>2.08116545265349E-3</v>
      </c>
      <c r="F808" t="s">
        <v>302</v>
      </c>
    </row>
    <row r="809" spans="1:6" x14ac:dyDescent="0.2">
      <c r="A809" t="s">
        <v>124</v>
      </c>
      <c r="B809" t="s">
        <v>104</v>
      </c>
      <c r="C809">
        <v>961</v>
      </c>
      <c r="D809">
        <v>0.234672540443183</v>
      </c>
      <c r="E809">
        <v>2.08116545265349E-3</v>
      </c>
      <c r="F809" t="s">
        <v>302</v>
      </c>
    </row>
    <row r="810" spans="1:6" x14ac:dyDescent="0.2">
      <c r="A810" t="s">
        <v>193</v>
      </c>
      <c r="B810" t="s">
        <v>83</v>
      </c>
      <c r="C810">
        <v>961</v>
      </c>
      <c r="D810">
        <v>0.234672540443183</v>
      </c>
      <c r="E810">
        <v>2.08116545265349E-3</v>
      </c>
      <c r="F810" t="s">
        <v>302</v>
      </c>
    </row>
    <row r="811" spans="1:6" x14ac:dyDescent="0.2">
      <c r="A811" t="s">
        <v>124</v>
      </c>
      <c r="B811" t="s">
        <v>83</v>
      </c>
      <c r="C811">
        <v>961</v>
      </c>
      <c r="D811">
        <v>0.234672540443183</v>
      </c>
      <c r="E811">
        <v>2.08116545265349E-3</v>
      </c>
      <c r="F811" t="s">
        <v>302</v>
      </c>
    </row>
    <row r="812" spans="1:6" x14ac:dyDescent="0.2">
      <c r="A812" t="s">
        <v>89</v>
      </c>
      <c r="B812" t="s">
        <v>177</v>
      </c>
      <c r="C812">
        <v>1256</v>
      </c>
      <c r="D812">
        <v>-1.6539768325505699E-2</v>
      </c>
      <c r="E812">
        <v>1.5923566878980899E-3</v>
      </c>
      <c r="F812" t="s">
        <v>303</v>
      </c>
    </row>
    <row r="813" spans="1:6" x14ac:dyDescent="0.2">
      <c r="A813" t="s">
        <v>89</v>
      </c>
      <c r="B813" t="s">
        <v>62</v>
      </c>
      <c r="C813">
        <v>1256</v>
      </c>
      <c r="D813">
        <v>-1.6539768325505699E-2</v>
      </c>
      <c r="E813">
        <v>1.5923566878980899E-3</v>
      </c>
      <c r="F813" t="s">
        <v>303</v>
      </c>
    </row>
    <row r="814" spans="1:6" x14ac:dyDescent="0.2">
      <c r="A814" t="s">
        <v>41</v>
      </c>
      <c r="B814" t="s">
        <v>177</v>
      </c>
      <c r="C814">
        <v>1256</v>
      </c>
      <c r="D814">
        <v>-1.6539768325505699E-2</v>
      </c>
      <c r="E814">
        <v>1.5923566878980899E-3</v>
      </c>
      <c r="F814" t="s">
        <v>303</v>
      </c>
    </row>
    <row r="815" spans="1:6" x14ac:dyDescent="0.2">
      <c r="A815" t="s">
        <v>41</v>
      </c>
      <c r="B815" t="s">
        <v>37</v>
      </c>
      <c r="C815">
        <v>1256</v>
      </c>
      <c r="D815">
        <v>-1.6539768325505699E-2</v>
      </c>
      <c r="E815">
        <v>1.5923566878980899E-3</v>
      </c>
      <c r="F815" t="s">
        <v>303</v>
      </c>
    </row>
    <row r="816" spans="1:6" x14ac:dyDescent="0.2">
      <c r="A816" t="s">
        <v>34</v>
      </c>
      <c r="B816" t="s">
        <v>37</v>
      </c>
      <c r="C816">
        <v>1256</v>
      </c>
      <c r="D816">
        <v>-1.6539768325505699E-2</v>
      </c>
      <c r="E816">
        <v>1.5923566878980899E-3</v>
      </c>
      <c r="F816" t="s">
        <v>303</v>
      </c>
    </row>
    <row r="817" spans="1:6" x14ac:dyDescent="0.2">
      <c r="A817" t="s">
        <v>47</v>
      </c>
      <c r="B817" t="s">
        <v>177</v>
      </c>
      <c r="C817">
        <v>1256</v>
      </c>
      <c r="D817">
        <v>-1.6539768325505699E-2</v>
      </c>
      <c r="E817">
        <v>1.5923566878980899E-3</v>
      </c>
      <c r="F817" t="s">
        <v>303</v>
      </c>
    </row>
    <row r="818" spans="1:6" x14ac:dyDescent="0.2">
      <c r="A818" t="s">
        <v>34</v>
      </c>
      <c r="B818" t="s">
        <v>117</v>
      </c>
      <c r="C818">
        <v>1256</v>
      </c>
      <c r="D818">
        <v>-1.6539768325505699E-2</v>
      </c>
      <c r="E818">
        <v>1.5923566878980899E-3</v>
      </c>
      <c r="F818" t="s">
        <v>303</v>
      </c>
    </row>
    <row r="819" spans="1:6" x14ac:dyDescent="0.2">
      <c r="A819" t="s">
        <v>117</v>
      </c>
      <c r="B819" t="s">
        <v>175</v>
      </c>
      <c r="C819">
        <v>1256</v>
      </c>
      <c r="D819">
        <v>-1.6539768325505699E-2</v>
      </c>
      <c r="E819">
        <v>1.5923566878980899E-3</v>
      </c>
      <c r="F819" t="s">
        <v>303</v>
      </c>
    </row>
    <row r="820" spans="1:6" x14ac:dyDescent="0.2">
      <c r="A820" t="s">
        <v>102</v>
      </c>
      <c r="B820" t="s">
        <v>37</v>
      </c>
      <c r="C820">
        <v>1256</v>
      </c>
      <c r="D820">
        <v>-1.6539768325505699E-2</v>
      </c>
      <c r="E820">
        <v>1.5923566878980899E-3</v>
      </c>
      <c r="F820" t="s">
        <v>303</v>
      </c>
    </row>
    <row r="821" spans="1:6" x14ac:dyDescent="0.2">
      <c r="A821" t="s">
        <v>89</v>
      </c>
      <c r="B821" t="s">
        <v>41</v>
      </c>
      <c r="C821">
        <v>1256</v>
      </c>
      <c r="D821">
        <v>-1.6539768325505699E-2</v>
      </c>
      <c r="E821">
        <v>1.5923566878980899E-3</v>
      </c>
      <c r="F821" t="s">
        <v>303</v>
      </c>
    </row>
    <row r="822" spans="1:6" x14ac:dyDescent="0.2">
      <c r="A822" t="s">
        <v>117</v>
      </c>
      <c r="B822" t="s">
        <v>177</v>
      </c>
      <c r="C822">
        <v>1256</v>
      </c>
      <c r="D822">
        <v>-1.6539768325505699E-2</v>
      </c>
      <c r="E822">
        <v>1.5923566878980899E-3</v>
      </c>
      <c r="F822" t="s">
        <v>303</v>
      </c>
    </row>
    <row r="823" spans="1:6" x14ac:dyDescent="0.2">
      <c r="A823" t="s">
        <v>41</v>
      </c>
      <c r="B823" t="s">
        <v>65</v>
      </c>
      <c r="C823">
        <v>1256</v>
      </c>
      <c r="D823">
        <v>-1.6539768325505699E-2</v>
      </c>
      <c r="E823">
        <v>1.5923566878980899E-3</v>
      </c>
      <c r="F823" t="s">
        <v>303</v>
      </c>
    </row>
    <row r="824" spans="1:6" x14ac:dyDescent="0.2">
      <c r="A824" t="s">
        <v>89</v>
      </c>
      <c r="B824" t="s">
        <v>37</v>
      </c>
      <c r="C824">
        <v>1256</v>
      </c>
      <c r="D824">
        <v>-1.6539768325505699E-2</v>
      </c>
      <c r="E824">
        <v>1.5923566878980899E-3</v>
      </c>
      <c r="F824" t="s">
        <v>303</v>
      </c>
    </row>
    <row r="825" spans="1:6" x14ac:dyDescent="0.2">
      <c r="A825" t="s">
        <v>175</v>
      </c>
      <c r="B825" t="s">
        <v>116</v>
      </c>
      <c r="C825">
        <v>1256</v>
      </c>
      <c r="D825">
        <v>-1.6539768325505699E-2</v>
      </c>
      <c r="E825">
        <v>1.5923566878980899E-3</v>
      </c>
      <c r="F825" t="s">
        <v>303</v>
      </c>
    </row>
    <row r="826" spans="1:6" x14ac:dyDescent="0.2">
      <c r="A826" t="s">
        <v>62</v>
      </c>
      <c r="B826" t="s">
        <v>117</v>
      </c>
      <c r="C826">
        <v>1256</v>
      </c>
      <c r="D826">
        <v>-1.6539768325505699E-2</v>
      </c>
      <c r="E826">
        <v>1.5923566878980899E-3</v>
      </c>
      <c r="F826" t="s">
        <v>303</v>
      </c>
    </row>
    <row r="827" spans="1:6" x14ac:dyDescent="0.2">
      <c r="A827" t="s">
        <v>47</v>
      </c>
      <c r="B827" t="s">
        <v>41</v>
      </c>
      <c r="C827">
        <v>1256</v>
      </c>
      <c r="D827">
        <v>-1.6539768325505699E-2</v>
      </c>
      <c r="E827">
        <v>1.5923566878980899E-3</v>
      </c>
      <c r="F827" t="s">
        <v>303</v>
      </c>
    </row>
    <row r="828" spans="1:6" x14ac:dyDescent="0.2">
      <c r="A828" t="s">
        <v>41</v>
      </c>
      <c r="B828" t="s">
        <v>17</v>
      </c>
      <c r="C828">
        <v>1256</v>
      </c>
      <c r="D828">
        <v>-1.6539768325505699E-2</v>
      </c>
      <c r="E828">
        <v>1.5923566878980899E-3</v>
      </c>
      <c r="F828" t="s">
        <v>303</v>
      </c>
    </row>
    <row r="829" spans="1:6" x14ac:dyDescent="0.2">
      <c r="A829" t="s">
        <v>79</v>
      </c>
      <c r="B829" t="s">
        <v>116</v>
      </c>
      <c r="C829">
        <v>1256</v>
      </c>
      <c r="D829">
        <v>-1.6539768325505699E-2</v>
      </c>
      <c r="E829">
        <v>1.5923566878980899E-3</v>
      </c>
      <c r="F829" t="s">
        <v>303</v>
      </c>
    </row>
    <row r="830" spans="1:6" x14ac:dyDescent="0.2">
      <c r="A830" t="s">
        <v>34</v>
      </c>
      <c r="B830" t="s">
        <v>47</v>
      </c>
      <c r="C830">
        <v>1256</v>
      </c>
      <c r="D830">
        <v>-1.6539768325505699E-2</v>
      </c>
      <c r="E830">
        <v>1.5923566878980899E-3</v>
      </c>
      <c r="F830" t="s">
        <v>303</v>
      </c>
    </row>
    <row r="831" spans="1:6" x14ac:dyDescent="0.2">
      <c r="A831" t="s">
        <v>34</v>
      </c>
      <c r="B831" t="s">
        <v>116</v>
      </c>
      <c r="C831">
        <v>1256</v>
      </c>
      <c r="D831">
        <v>-1.6539768325505699E-2</v>
      </c>
      <c r="E831">
        <v>1.5923566878980899E-3</v>
      </c>
      <c r="F831" t="s">
        <v>303</v>
      </c>
    </row>
    <row r="832" spans="1:6" x14ac:dyDescent="0.2">
      <c r="A832" t="s">
        <v>117</v>
      </c>
      <c r="B832" t="s">
        <v>37</v>
      </c>
      <c r="C832">
        <v>1256</v>
      </c>
      <c r="D832">
        <v>-1.6539768325505699E-2</v>
      </c>
      <c r="E832">
        <v>1.5923566878980899E-3</v>
      </c>
      <c r="F832" t="s">
        <v>303</v>
      </c>
    </row>
    <row r="833" spans="1:6" x14ac:dyDescent="0.2">
      <c r="A833" t="s">
        <v>17</v>
      </c>
      <c r="B833" t="s">
        <v>116</v>
      </c>
      <c r="C833">
        <v>1256</v>
      </c>
      <c r="D833">
        <v>-1.6539768325505699E-2</v>
      </c>
      <c r="E833">
        <v>1.5923566878980899E-3</v>
      </c>
      <c r="F833" t="s">
        <v>303</v>
      </c>
    </row>
    <row r="834" spans="1:6" x14ac:dyDescent="0.2">
      <c r="A834" t="s">
        <v>79</v>
      </c>
      <c r="B834" t="s">
        <v>37</v>
      </c>
      <c r="C834">
        <v>1256</v>
      </c>
      <c r="D834">
        <v>-1.6539768325505699E-2</v>
      </c>
      <c r="E834">
        <v>1.5923566878980899E-3</v>
      </c>
      <c r="F834" t="s">
        <v>303</v>
      </c>
    </row>
    <row r="835" spans="1:6" x14ac:dyDescent="0.2">
      <c r="A835" t="s">
        <v>79</v>
      </c>
      <c r="B835" t="s">
        <v>175</v>
      </c>
      <c r="C835">
        <v>1256</v>
      </c>
      <c r="D835">
        <v>-1.6539768325505699E-2</v>
      </c>
      <c r="E835">
        <v>1.5923566878980899E-3</v>
      </c>
      <c r="F835" t="s">
        <v>303</v>
      </c>
    </row>
    <row r="836" spans="1:6" x14ac:dyDescent="0.2">
      <c r="A836" t="s">
        <v>41</v>
      </c>
      <c r="B836" t="s">
        <v>116</v>
      </c>
      <c r="C836">
        <v>1256</v>
      </c>
      <c r="D836">
        <v>-1.6539768325505699E-2</v>
      </c>
      <c r="E836">
        <v>1.5923566878980899E-3</v>
      </c>
      <c r="F836" t="s">
        <v>303</v>
      </c>
    </row>
    <row r="837" spans="1:6" x14ac:dyDescent="0.2">
      <c r="A837" t="s">
        <v>37</v>
      </c>
      <c r="B837" t="s">
        <v>116</v>
      </c>
      <c r="C837">
        <v>1256</v>
      </c>
      <c r="D837">
        <v>-1.6539768325505699E-2</v>
      </c>
      <c r="E837">
        <v>1.5923566878980899E-3</v>
      </c>
      <c r="F837" t="s">
        <v>303</v>
      </c>
    </row>
    <row r="838" spans="1:6" x14ac:dyDescent="0.2">
      <c r="A838" t="s">
        <v>34</v>
      </c>
      <c r="B838" t="s">
        <v>102</v>
      </c>
      <c r="C838">
        <v>1256</v>
      </c>
      <c r="D838">
        <v>-1.6539768325505699E-2</v>
      </c>
      <c r="E838">
        <v>1.5923566878980899E-3</v>
      </c>
      <c r="F838" t="s">
        <v>303</v>
      </c>
    </row>
    <row r="839" spans="1:6" x14ac:dyDescent="0.2">
      <c r="A839" t="s">
        <v>102</v>
      </c>
      <c r="B839" t="s">
        <v>17</v>
      </c>
      <c r="C839">
        <v>1256</v>
      </c>
      <c r="D839">
        <v>-1.6539768325505699E-2</v>
      </c>
      <c r="E839">
        <v>1.5923566878980899E-3</v>
      </c>
      <c r="F839" t="s">
        <v>303</v>
      </c>
    </row>
    <row r="840" spans="1:6" x14ac:dyDescent="0.2">
      <c r="A840" t="s">
        <v>177</v>
      </c>
      <c r="B840" t="s">
        <v>37</v>
      </c>
      <c r="C840">
        <v>1256</v>
      </c>
      <c r="D840">
        <v>-1.6539768325505699E-2</v>
      </c>
      <c r="E840">
        <v>1.5923566878980899E-3</v>
      </c>
      <c r="F840" t="s">
        <v>303</v>
      </c>
    </row>
    <row r="841" spans="1:6" x14ac:dyDescent="0.2">
      <c r="A841" t="s">
        <v>47</v>
      </c>
      <c r="B841" t="s">
        <v>175</v>
      </c>
      <c r="C841">
        <v>1256</v>
      </c>
      <c r="D841">
        <v>-1.6539768325505699E-2</v>
      </c>
      <c r="E841">
        <v>1.5923566878980899E-3</v>
      </c>
      <c r="F841" t="s">
        <v>303</v>
      </c>
    </row>
    <row r="842" spans="1:6" x14ac:dyDescent="0.2">
      <c r="A842" t="s">
        <v>47</v>
      </c>
      <c r="B842" t="s">
        <v>37</v>
      </c>
      <c r="C842">
        <v>1256</v>
      </c>
      <c r="D842">
        <v>-1.6539768325505699E-2</v>
      </c>
      <c r="E842">
        <v>1.5923566878980899E-3</v>
      </c>
      <c r="F842" t="s">
        <v>303</v>
      </c>
    </row>
    <row r="843" spans="1:6" x14ac:dyDescent="0.2">
      <c r="A843" t="s">
        <v>89</v>
      </c>
      <c r="B843" t="s">
        <v>47</v>
      </c>
      <c r="C843">
        <v>1256</v>
      </c>
      <c r="D843">
        <v>-1.6539768325505699E-2</v>
      </c>
      <c r="E843">
        <v>1.5923566878980899E-3</v>
      </c>
      <c r="F843" t="s">
        <v>303</v>
      </c>
    </row>
    <row r="844" spans="1:6" x14ac:dyDescent="0.2">
      <c r="A844" t="s">
        <v>41</v>
      </c>
      <c r="B844" t="s">
        <v>62</v>
      </c>
      <c r="C844">
        <v>1256</v>
      </c>
      <c r="D844">
        <v>-1.6539768325505699E-2</v>
      </c>
      <c r="E844">
        <v>1.5923566878980899E-3</v>
      </c>
      <c r="F844" t="s">
        <v>303</v>
      </c>
    </row>
    <row r="845" spans="1:6" x14ac:dyDescent="0.2">
      <c r="A845" t="s">
        <v>79</v>
      </c>
      <c r="B845" t="s">
        <v>65</v>
      </c>
      <c r="C845">
        <v>1256</v>
      </c>
      <c r="D845">
        <v>-1.6539768325505699E-2</v>
      </c>
      <c r="E845">
        <v>1.5923566878980899E-3</v>
      </c>
      <c r="F845" t="s">
        <v>303</v>
      </c>
    </row>
    <row r="846" spans="1:6" x14ac:dyDescent="0.2">
      <c r="A846" t="s">
        <v>177</v>
      </c>
      <c r="B846" t="s">
        <v>116</v>
      </c>
      <c r="C846">
        <v>1256</v>
      </c>
      <c r="D846">
        <v>-1.6539768325505699E-2</v>
      </c>
      <c r="E846">
        <v>1.5923566878980899E-3</v>
      </c>
      <c r="F846" t="s">
        <v>303</v>
      </c>
    </row>
    <row r="847" spans="1:6" x14ac:dyDescent="0.2">
      <c r="A847" t="s">
        <v>17</v>
      </c>
      <c r="B847" t="s">
        <v>37</v>
      </c>
      <c r="C847">
        <v>1256</v>
      </c>
      <c r="D847">
        <v>-1.6539768325505699E-2</v>
      </c>
      <c r="E847">
        <v>1.5923566878980899E-3</v>
      </c>
      <c r="F847" t="s">
        <v>303</v>
      </c>
    </row>
    <row r="848" spans="1:6" x14ac:dyDescent="0.2">
      <c r="A848" t="s">
        <v>62</v>
      </c>
      <c r="B848" t="s">
        <v>116</v>
      </c>
      <c r="C848">
        <v>1256</v>
      </c>
      <c r="D848">
        <v>-1.6539768325505699E-2</v>
      </c>
      <c r="E848">
        <v>1.5923566878980899E-3</v>
      </c>
      <c r="F848" t="s">
        <v>303</v>
      </c>
    </row>
    <row r="849" spans="1:6" x14ac:dyDescent="0.2">
      <c r="A849" t="s">
        <v>89</v>
      </c>
      <c r="B849" t="s">
        <v>79</v>
      </c>
      <c r="C849">
        <v>1256</v>
      </c>
      <c r="D849">
        <v>-1.6539768325505699E-2</v>
      </c>
      <c r="E849">
        <v>1.5923566878980899E-3</v>
      </c>
      <c r="F849" t="s">
        <v>303</v>
      </c>
    </row>
    <row r="850" spans="1:6" x14ac:dyDescent="0.2">
      <c r="A850" t="s">
        <v>62</v>
      </c>
      <c r="B850" t="s">
        <v>37</v>
      </c>
      <c r="C850">
        <v>1256</v>
      </c>
      <c r="D850">
        <v>-1.6539768325505699E-2</v>
      </c>
      <c r="E850">
        <v>1.5923566878980899E-3</v>
      </c>
      <c r="F850" t="s">
        <v>303</v>
      </c>
    </row>
    <row r="851" spans="1:6" x14ac:dyDescent="0.2">
      <c r="A851" t="s">
        <v>79</v>
      </c>
      <c r="B851" t="s">
        <v>117</v>
      </c>
      <c r="C851">
        <v>1256</v>
      </c>
      <c r="D851">
        <v>-1.6539768325505699E-2</v>
      </c>
      <c r="E851">
        <v>1.5923566878980899E-3</v>
      </c>
      <c r="F851" t="s">
        <v>303</v>
      </c>
    </row>
    <row r="852" spans="1:6" x14ac:dyDescent="0.2">
      <c r="A852" t="s">
        <v>47</v>
      </c>
      <c r="B852" t="s">
        <v>102</v>
      </c>
      <c r="C852">
        <v>1256</v>
      </c>
      <c r="D852">
        <v>-1.6539768325505699E-2</v>
      </c>
      <c r="E852">
        <v>1.5923566878980899E-3</v>
      </c>
      <c r="F852" t="s">
        <v>303</v>
      </c>
    </row>
    <row r="853" spans="1:6" x14ac:dyDescent="0.2">
      <c r="A853" t="s">
        <v>89</v>
      </c>
      <c r="B853" t="s">
        <v>34</v>
      </c>
      <c r="C853">
        <v>1256</v>
      </c>
      <c r="D853">
        <v>-1.6539768325505699E-2</v>
      </c>
      <c r="E853">
        <v>1.5923566878980899E-3</v>
      </c>
      <c r="F853" t="s">
        <v>303</v>
      </c>
    </row>
    <row r="854" spans="1:6" x14ac:dyDescent="0.2">
      <c r="A854" t="s">
        <v>89</v>
      </c>
      <c r="B854" t="s">
        <v>65</v>
      </c>
      <c r="C854">
        <v>1256</v>
      </c>
      <c r="D854">
        <v>-1.6539768325505699E-2</v>
      </c>
      <c r="E854">
        <v>1.5923566878980899E-3</v>
      </c>
      <c r="F854" t="s">
        <v>303</v>
      </c>
    </row>
    <row r="855" spans="1:6" x14ac:dyDescent="0.2">
      <c r="A855" t="s">
        <v>117</v>
      </c>
      <c r="B855" t="s">
        <v>17</v>
      </c>
      <c r="C855">
        <v>1256</v>
      </c>
      <c r="D855">
        <v>-1.6539768325505699E-2</v>
      </c>
      <c r="E855">
        <v>1.5923566878980899E-3</v>
      </c>
      <c r="F855" t="s">
        <v>303</v>
      </c>
    </row>
    <row r="856" spans="1:6" x14ac:dyDescent="0.2">
      <c r="A856" t="s">
        <v>47</v>
      </c>
      <c r="B856" t="s">
        <v>79</v>
      </c>
      <c r="C856">
        <v>1256</v>
      </c>
      <c r="D856">
        <v>-1.6539768325505699E-2</v>
      </c>
      <c r="E856">
        <v>1.5923566878980899E-3</v>
      </c>
      <c r="F856" t="s">
        <v>303</v>
      </c>
    </row>
    <row r="857" spans="1:6" x14ac:dyDescent="0.2">
      <c r="A857" t="s">
        <v>102</v>
      </c>
      <c r="B857" t="s">
        <v>175</v>
      </c>
      <c r="C857">
        <v>1256</v>
      </c>
      <c r="D857">
        <v>-1.6539768325505699E-2</v>
      </c>
      <c r="E857">
        <v>1.5923566878980899E-3</v>
      </c>
      <c r="F857" t="s">
        <v>303</v>
      </c>
    </row>
    <row r="858" spans="1:6" x14ac:dyDescent="0.2">
      <c r="A858" t="s">
        <v>102</v>
      </c>
      <c r="B858" t="s">
        <v>65</v>
      </c>
      <c r="C858">
        <v>1256</v>
      </c>
      <c r="D858">
        <v>-1.6539768325505699E-2</v>
      </c>
      <c r="E858">
        <v>1.5923566878980899E-3</v>
      </c>
      <c r="F858" t="s">
        <v>303</v>
      </c>
    </row>
    <row r="859" spans="1:6" x14ac:dyDescent="0.2">
      <c r="A859" t="s">
        <v>89</v>
      </c>
      <c r="B859" t="s">
        <v>102</v>
      </c>
      <c r="C859">
        <v>1256</v>
      </c>
      <c r="D859">
        <v>-1.6539768325505699E-2</v>
      </c>
      <c r="E859">
        <v>1.5923566878980899E-3</v>
      </c>
      <c r="F859" t="s">
        <v>303</v>
      </c>
    </row>
    <row r="860" spans="1:6" x14ac:dyDescent="0.2">
      <c r="A860" t="s">
        <v>37</v>
      </c>
      <c r="B860" t="s">
        <v>175</v>
      </c>
      <c r="C860">
        <v>1256</v>
      </c>
      <c r="D860">
        <v>-1.6539768325505699E-2</v>
      </c>
      <c r="E860">
        <v>1.5923566878980899E-3</v>
      </c>
      <c r="F860" t="s">
        <v>303</v>
      </c>
    </row>
    <row r="861" spans="1:6" x14ac:dyDescent="0.2">
      <c r="A861" t="s">
        <v>62</v>
      </c>
      <c r="B861" t="s">
        <v>102</v>
      </c>
      <c r="C861">
        <v>1256</v>
      </c>
      <c r="D861">
        <v>-1.6539768325505699E-2</v>
      </c>
      <c r="E861">
        <v>1.5923566878980899E-3</v>
      </c>
      <c r="F861" t="s">
        <v>303</v>
      </c>
    </row>
    <row r="862" spans="1:6" x14ac:dyDescent="0.2">
      <c r="A862" t="s">
        <v>89</v>
      </c>
      <c r="B862" t="s">
        <v>116</v>
      </c>
      <c r="C862">
        <v>1256</v>
      </c>
      <c r="D862">
        <v>-1.6539768325505699E-2</v>
      </c>
      <c r="E862">
        <v>1.5923566878980899E-3</v>
      </c>
      <c r="F862" t="s">
        <v>303</v>
      </c>
    </row>
    <row r="863" spans="1:6" x14ac:dyDescent="0.2">
      <c r="A863" t="s">
        <v>34</v>
      </c>
      <c r="B863" t="s">
        <v>65</v>
      </c>
      <c r="C863">
        <v>1256</v>
      </c>
      <c r="D863">
        <v>-1.6539768325505699E-2</v>
      </c>
      <c r="E863">
        <v>1.5923566878980899E-3</v>
      </c>
      <c r="F863" t="s">
        <v>303</v>
      </c>
    </row>
    <row r="864" spans="1:6" x14ac:dyDescent="0.2">
      <c r="A864" t="s">
        <v>34</v>
      </c>
      <c r="B864" t="s">
        <v>41</v>
      </c>
      <c r="C864">
        <v>1256</v>
      </c>
      <c r="D864">
        <v>-1.6539768325505699E-2</v>
      </c>
      <c r="E864">
        <v>1.5923566878980899E-3</v>
      </c>
      <c r="F864" t="s">
        <v>303</v>
      </c>
    </row>
    <row r="865" spans="1:6" x14ac:dyDescent="0.2">
      <c r="A865" t="s">
        <v>41</v>
      </c>
      <c r="B865" t="s">
        <v>102</v>
      </c>
      <c r="C865">
        <v>1256</v>
      </c>
      <c r="D865">
        <v>-1.6539768325505699E-2</v>
      </c>
      <c r="E865">
        <v>1.5923566878980899E-3</v>
      </c>
      <c r="F865" t="s">
        <v>303</v>
      </c>
    </row>
    <row r="866" spans="1:6" x14ac:dyDescent="0.2">
      <c r="A866" t="s">
        <v>37</v>
      </c>
      <c r="B866" t="s">
        <v>65</v>
      </c>
      <c r="C866">
        <v>1256</v>
      </c>
      <c r="D866">
        <v>-1.6539768325505699E-2</v>
      </c>
      <c r="E866">
        <v>1.5923566878980899E-3</v>
      </c>
      <c r="F866" t="s">
        <v>303</v>
      </c>
    </row>
    <row r="867" spans="1:6" x14ac:dyDescent="0.2">
      <c r="A867" t="s">
        <v>41</v>
      </c>
      <c r="B867" t="s">
        <v>175</v>
      </c>
      <c r="C867">
        <v>1256</v>
      </c>
      <c r="D867">
        <v>-1.6539768325505699E-2</v>
      </c>
      <c r="E867">
        <v>1.5923566878980899E-3</v>
      </c>
      <c r="F867" t="s">
        <v>303</v>
      </c>
    </row>
    <row r="868" spans="1:6" x14ac:dyDescent="0.2">
      <c r="A868" t="s">
        <v>41</v>
      </c>
      <c r="B868" t="s">
        <v>117</v>
      </c>
      <c r="C868">
        <v>1256</v>
      </c>
      <c r="D868">
        <v>-1.6539768325505699E-2</v>
      </c>
      <c r="E868">
        <v>1.5923566878980899E-3</v>
      </c>
      <c r="F868" t="s">
        <v>303</v>
      </c>
    </row>
    <row r="869" spans="1:6" x14ac:dyDescent="0.2">
      <c r="A869" t="s">
        <v>89</v>
      </c>
      <c r="B869" t="s">
        <v>117</v>
      </c>
      <c r="C869">
        <v>1256</v>
      </c>
      <c r="D869">
        <v>-1.6539768325505699E-2</v>
      </c>
      <c r="E869">
        <v>1.5923566878980899E-3</v>
      </c>
      <c r="F869" t="s">
        <v>303</v>
      </c>
    </row>
    <row r="870" spans="1:6" x14ac:dyDescent="0.2">
      <c r="A870" t="s">
        <v>102</v>
      </c>
      <c r="B870" t="s">
        <v>117</v>
      </c>
      <c r="C870">
        <v>1256</v>
      </c>
      <c r="D870">
        <v>-1.6539768325505699E-2</v>
      </c>
      <c r="E870">
        <v>1.5923566878980899E-3</v>
      </c>
      <c r="F870" t="s">
        <v>303</v>
      </c>
    </row>
    <row r="871" spans="1:6" x14ac:dyDescent="0.2">
      <c r="A871" t="s">
        <v>89</v>
      </c>
      <c r="B871" t="s">
        <v>175</v>
      </c>
      <c r="C871">
        <v>1256</v>
      </c>
      <c r="D871">
        <v>-1.6539768325505699E-2</v>
      </c>
      <c r="E871">
        <v>1.5923566878980899E-3</v>
      </c>
      <c r="F871" t="s">
        <v>303</v>
      </c>
    </row>
    <row r="872" spans="1:6" x14ac:dyDescent="0.2">
      <c r="A872" t="s">
        <v>102</v>
      </c>
      <c r="B872" t="s">
        <v>116</v>
      </c>
      <c r="C872">
        <v>1256</v>
      </c>
      <c r="D872">
        <v>-1.6539768325505699E-2</v>
      </c>
      <c r="E872">
        <v>1.5923566878980899E-3</v>
      </c>
      <c r="F872" t="s">
        <v>303</v>
      </c>
    </row>
    <row r="873" spans="1:6" x14ac:dyDescent="0.2">
      <c r="A873" t="s">
        <v>102</v>
      </c>
      <c r="B873" t="s">
        <v>177</v>
      </c>
      <c r="C873">
        <v>1256</v>
      </c>
      <c r="D873">
        <v>-1.6539768325505699E-2</v>
      </c>
      <c r="E873">
        <v>1.5923566878980899E-3</v>
      </c>
      <c r="F873" t="s">
        <v>303</v>
      </c>
    </row>
    <row r="874" spans="1:6" x14ac:dyDescent="0.2">
      <c r="A874" t="s">
        <v>41</v>
      </c>
      <c r="B874" t="s">
        <v>79</v>
      </c>
      <c r="C874">
        <v>1256</v>
      </c>
      <c r="D874">
        <v>-1.6539768325505699E-2</v>
      </c>
      <c r="E874">
        <v>1.5923566878980899E-3</v>
      </c>
      <c r="F874" t="s">
        <v>303</v>
      </c>
    </row>
    <row r="875" spans="1:6" x14ac:dyDescent="0.2">
      <c r="A875" t="s">
        <v>178</v>
      </c>
      <c r="B875" t="s">
        <v>187</v>
      </c>
      <c r="C875">
        <v>1284</v>
      </c>
      <c r="D875">
        <v>-3.7228956885869503E-2</v>
      </c>
      <c r="E875">
        <v>1.5576323987538899E-3</v>
      </c>
      <c r="F875" t="s">
        <v>304</v>
      </c>
    </row>
    <row r="876" spans="1:6" x14ac:dyDescent="0.2">
      <c r="A876" t="s">
        <v>99</v>
      </c>
      <c r="B876" t="s">
        <v>38</v>
      </c>
      <c r="C876">
        <v>1395</v>
      </c>
      <c r="D876">
        <v>-0.11503270546946399</v>
      </c>
      <c r="E876">
        <v>1.4336917562723999E-3</v>
      </c>
      <c r="F876" t="s">
        <v>305</v>
      </c>
    </row>
    <row r="877" spans="1:6" x14ac:dyDescent="0.2">
      <c r="A877" t="s">
        <v>121</v>
      </c>
      <c r="B877" t="s">
        <v>118</v>
      </c>
      <c r="C877">
        <v>1395</v>
      </c>
      <c r="D877">
        <v>-0.11503270546946399</v>
      </c>
      <c r="E877">
        <v>1.4336917562723999E-3</v>
      </c>
      <c r="F877" t="s">
        <v>305</v>
      </c>
    </row>
    <row r="878" spans="1:6" x14ac:dyDescent="0.2">
      <c r="A878" t="s">
        <v>121</v>
      </c>
      <c r="B878" t="s">
        <v>38</v>
      </c>
      <c r="C878">
        <v>1395</v>
      </c>
      <c r="D878">
        <v>-0.11503270546946399</v>
      </c>
      <c r="E878">
        <v>1.4336917562723999E-3</v>
      </c>
      <c r="F878" t="s">
        <v>305</v>
      </c>
    </row>
    <row r="879" spans="1:6" x14ac:dyDescent="0.2">
      <c r="A879" t="s">
        <v>95</v>
      </c>
      <c r="B879" t="s">
        <v>100</v>
      </c>
      <c r="C879">
        <v>1395</v>
      </c>
      <c r="D879">
        <v>-0.11503270546946399</v>
      </c>
      <c r="E879">
        <v>1.4336917562723999E-3</v>
      </c>
      <c r="F879" t="s">
        <v>305</v>
      </c>
    </row>
    <row r="880" spans="1:6" x14ac:dyDescent="0.2">
      <c r="A880" t="s">
        <v>95</v>
      </c>
      <c r="B880" t="s">
        <v>118</v>
      </c>
      <c r="C880">
        <v>1395</v>
      </c>
      <c r="D880">
        <v>-0.11503270546946399</v>
      </c>
      <c r="E880">
        <v>1.4336917562723999E-3</v>
      </c>
      <c r="F880" t="s">
        <v>305</v>
      </c>
    </row>
    <row r="881" spans="1:6" x14ac:dyDescent="0.2">
      <c r="A881" t="s">
        <v>99</v>
      </c>
      <c r="B881" t="s">
        <v>187</v>
      </c>
      <c r="C881">
        <v>1395</v>
      </c>
      <c r="D881">
        <v>-0.11503270546946399</v>
      </c>
      <c r="E881">
        <v>1.4336917562723999E-3</v>
      </c>
      <c r="F881" t="s">
        <v>305</v>
      </c>
    </row>
    <row r="882" spans="1:6" x14ac:dyDescent="0.2">
      <c r="A882" t="s">
        <v>100</v>
      </c>
      <c r="B882" t="s">
        <v>38</v>
      </c>
      <c r="C882">
        <v>1395</v>
      </c>
      <c r="D882">
        <v>-0.11503270546946399</v>
      </c>
      <c r="E882">
        <v>1.4336917562723999E-3</v>
      </c>
      <c r="F882" t="s">
        <v>305</v>
      </c>
    </row>
    <row r="883" spans="1:6" x14ac:dyDescent="0.2">
      <c r="A883" t="s">
        <v>62</v>
      </c>
      <c r="B883" t="s">
        <v>100</v>
      </c>
      <c r="C883">
        <v>1395</v>
      </c>
      <c r="D883">
        <v>-0.11503270546946399</v>
      </c>
      <c r="E883">
        <v>1.4336917562723999E-3</v>
      </c>
      <c r="F883" t="s">
        <v>305</v>
      </c>
    </row>
    <row r="884" spans="1:6" x14ac:dyDescent="0.2">
      <c r="A884" t="s">
        <v>95</v>
      </c>
      <c r="B884" t="s">
        <v>121</v>
      </c>
      <c r="C884">
        <v>1395</v>
      </c>
      <c r="D884">
        <v>-0.11503270546946399</v>
      </c>
      <c r="E884">
        <v>1.4336917562723999E-3</v>
      </c>
      <c r="F884" t="s">
        <v>305</v>
      </c>
    </row>
    <row r="885" spans="1:6" x14ac:dyDescent="0.2">
      <c r="A885" t="s">
        <v>187</v>
      </c>
      <c r="B885" t="s">
        <v>38</v>
      </c>
      <c r="C885">
        <v>1395</v>
      </c>
      <c r="D885">
        <v>-0.11503270546946399</v>
      </c>
      <c r="E885">
        <v>1.4336917562723999E-3</v>
      </c>
      <c r="F885" t="s">
        <v>305</v>
      </c>
    </row>
    <row r="886" spans="1:6" x14ac:dyDescent="0.2">
      <c r="A886" t="s">
        <v>178</v>
      </c>
      <c r="B886" t="s">
        <v>62</v>
      </c>
      <c r="C886">
        <v>1395</v>
      </c>
      <c r="D886">
        <v>-0.11503270546946399</v>
      </c>
      <c r="E886">
        <v>1.4336917562723999E-3</v>
      </c>
      <c r="F886" t="s">
        <v>305</v>
      </c>
    </row>
    <row r="887" spans="1:6" x14ac:dyDescent="0.2">
      <c r="A887" t="s">
        <v>95</v>
      </c>
      <c r="B887" t="s">
        <v>178</v>
      </c>
      <c r="C887">
        <v>1395</v>
      </c>
      <c r="D887">
        <v>-0.11503270546946399</v>
      </c>
      <c r="E887">
        <v>1.4336917562723999E-3</v>
      </c>
      <c r="F887" t="s">
        <v>305</v>
      </c>
    </row>
    <row r="888" spans="1:6" x14ac:dyDescent="0.2">
      <c r="A888" t="s">
        <v>100</v>
      </c>
      <c r="B888" t="s">
        <v>118</v>
      </c>
      <c r="C888">
        <v>1395</v>
      </c>
      <c r="D888">
        <v>-0.11503270546946399</v>
      </c>
      <c r="E888">
        <v>1.4336917562723999E-3</v>
      </c>
      <c r="F888" t="s">
        <v>305</v>
      </c>
    </row>
    <row r="889" spans="1:6" x14ac:dyDescent="0.2">
      <c r="A889" t="s">
        <v>99</v>
      </c>
      <c r="B889" t="s">
        <v>129</v>
      </c>
      <c r="C889">
        <v>1395</v>
      </c>
      <c r="D889">
        <v>-0.11503270546946399</v>
      </c>
      <c r="E889">
        <v>1.4336917562723999E-3</v>
      </c>
      <c r="F889" t="s">
        <v>305</v>
      </c>
    </row>
    <row r="890" spans="1:6" x14ac:dyDescent="0.2">
      <c r="A890" t="s">
        <v>178</v>
      </c>
      <c r="B890" t="s">
        <v>129</v>
      </c>
      <c r="C890">
        <v>1395</v>
      </c>
      <c r="D890">
        <v>-0.11503270546946399</v>
      </c>
      <c r="E890">
        <v>1.4336917562723999E-3</v>
      </c>
      <c r="F890" t="s">
        <v>305</v>
      </c>
    </row>
    <row r="891" spans="1:6" x14ac:dyDescent="0.2">
      <c r="A891" t="s">
        <v>187</v>
      </c>
      <c r="B891" t="s">
        <v>100</v>
      </c>
      <c r="C891">
        <v>1395</v>
      </c>
      <c r="D891">
        <v>-0.11503270546946399</v>
      </c>
      <c r="E891">
        <v>1.4336917562723999E-3</v>
      </c>
      <c r="F891" t="s">
        <v>305</v>
      </c>
    </row>
    <row r="892" spans="1:6" x14ac:dyDescent="0.2">
      <c r="A892" t="s">
        <v>62</v>
      </c>
      <c r="B892" t="s">
        <v>121</v>
      </c>
      <c r="C892">
        <v>1395</v>
      </c>
      <c r="D892">
        <v>-0.11503270546946399</v>
      </c>
      <c r="E892">
        <v>1.4336917562723999E-3</v>
      </c>
      <c r="F892" t="s">
        <v>305</v>
      </c>
    </row>
    <row r="893" spans="1:6" x14ac:dyDescent="0.2">
      <c r="A893" t="s">
        <v>99</v>
      </c>
      <c r="B893" t="s">
        <v>62</v>
      </c>
      <c r="C893">
        <v>1395</v>
      </c>
      <c r="D893">
        <v>-0.11503270546946399</v>
      </c>
      <c r="E893">
        <v>1.4336917562723999E-3</v>
      </c>
      <c r="F893" t="s">
        <v>305</v>
      </c>
    </row>
    <row r="894" spans="1:6" x14ac:dyDescent="0.2">
      <c r="A894" t="s">
        <v>95</v>
      </c>
      <c r="B894" t="s">
        <v>38</v>
      </c>
      <c r="C894">
        <v>1395</v>
      </c>
      <c r="D894">
        <v>-0.11503270546946399</v>
      </c>
      <c r="E894">
        <v>1.4336917562723999E-3</v>
      </c>
      <c r="F894" t="s">
        <v>305</v>
      </c>
    </row>
    <row r="895" spans="1:6" x14ac:dyDescent="0.2">
      <c r="A895" t="s">
        <v>95</v>
      </c>
      <c r="B895" t="s">
        <v>62</v>
      </c>
      <c r="C895">
        <v>1395</v>
      </c>
      <c r="D895">
        <v>-0.11503270546946399</v>
      </c>
      <c r="E895">
        <v>1.4336917562723999E-3</v>
      </c>
      <c r="F895" t="s">
        <v>305</v>
      </c>
    </row>
    <row r="896" spans="1:6" x14ac:dyDescent="0.2">
      <c r="A896" t="s">
        <v>100</v>
      </c>
      <c r="B896" t="s">
        <v>129</v>
      </c>
      <c r="C896">
        <v>1395</v>
      </c>
      <c r="D896">
        <v>-0.11503270546946399</v>
      </c>
      <c r="E896">
        <v>1.4336917562723999E-3</v>
      </c>
      <c r="F896" t="s">
        <v>305</v>
      </c>
    </row>
    <row r="897" spans="1:6" x14ac:dyDescent="0.2">
      <c r="A897" t="s">
        <v>95</v>
      </c>
      <c r="B897" t="s">
        <v>99</v>
      </c>
      <c r="C897">
        <v>1395</v>
      </c>
      <c r="D897">
        <v>-0.11503270546946399</v>
      </c>
      <c r="E897">
        <v>1.4336917562723999E-3</v>
      </c>
      <c r="F897" t="s">
        <v>305</v>
      </c>
    </row>
    <row r="898" spans="1:6" x14ac:dyDescent="0.2">
      <c r="A898" t="s">
        <v>95</v>
      </c>
      <c r="B898" t="s">
        <v>187</v>
      </c>
      <c r="C898">
        <v>1395</v>
      </c>
      <c r="D898">
        <v>-0.11503270546946399</v>
      </c>
      <c r="E898">
        <v>1.4336917562723999E-3</v>
      </c>
      <c r="F898" t="s">
        <v>305</v>
      </c>
    </row>
    <row r="899" spans="1:6" x14ac:dyDescent="0.2">
      <c r="A899" t="s">
        <v>187</v>
      </c>
      <c r="B899" t="s">
        <v>121</v>
      </c>
      <c r="C899">
        <v>1395</v>
      </c>
      <c r="D899">
        <v>-0.11503270546946399</v>
      </c>
      <c r="E899">
        <v>1.4336917562723999E-3</v>
      </c>
      <c r="F899" t="s">
        <v>305</v>
      </c>
    </row>
    <row r="900" spans="1:6" x14ac:dyDescent="0.2">
      <c r="A900" t="s">
        <v>178</v>
      </c>
      <c r="B900" t="s">
        <v>100</v>
      </c>
      <c r="C900">
        <v>1395</v>
      </c>
      <c r="D900">
        <v>-0.11503270546946399</v>
      </c>
      <c r="E900">
        <v>1.4336917562723999E-3</v>
      </c>
      <c r="F900" t="s">
        <v>305</v>
      </c>
    </row>
    <row r="901" spans="1:6" x14ac:dyDescent="0.2">
      <c r="A901" t="s">
        <v>95</v>
      </c>
      <c r="B901" t="s">
        <v>129</v>
      </c>
      <c r="C901">
        <v>1395</v>
      </c>
      <c r="D901">
        <v>-0.11503270546946399</v>
      </c>
      <c r="E901">
        <v>1.4336917562723999E-3</v>
      </c>
      <c r="F901" t="s">
        <v>305</v>
      </c>
    </row>
    <row r="902" spans="1:6" x14ac:dyDescent="0.2">
      <c r="A902" t="s">
        <v>121</v>
      </c>
      <c r="B902" t="s">
        <v>129</v>
      </c>
      <c r="C902">
        <v>1395</v>
      </c>
      <c r="D902">
        <v>-0.11503270546946399</v>
      </c>
      <c r="E902">
        <v>1.4336917562723999E-3</v>
      </c>
      <c r="F902" t="s">
        <v>305</v>
      </c>
    </row>
    <row r="903" spans="1:6" x14ac:dyDescent="0.2">
      <c r="A903" t="s">
        <v>178</v>
      </c>
      <c r="B903" t="s">
        <v>121</v>
      </c>
      <c r="C903">
        <v>1395</v>
      </c>
      <c r="D903">
        <v>-0.11503270546946399</v>
      </c>
      <c r="E903">
        <v>1.4336917562723999E-3</v>
      </c>
      <c r="F903" t="s">
        <v>305</v>
      </c>
    </row>
    <row r="904" spans="1:6" x14ac:dyDescent="0.2">
      <c r="A904" t="s">
        <v>120</v>
      </c>
      <c r="B904" t="s">
        <v>175</v>
      </c>
      <c r="C904">
        <v>8076</v>
      </c>
      <c r="D904">
        <v>-1.76280285607439</v>
      </c>
      <c r="E904">
        <v>2.4764735017335302E-4</v>
      </c>
      <c r="F904" t="s">
        <v>306</v>
      </c>
    </row>
    <row r="905" spans="1:6" x14ac:dyDescent="0.2">
      <c r="A905" t="s">
        <v>102</v>
      </c>
      <c r="B905" t="s">
        <v>129</v>
      </c>
      <c r="C905">
        <v>8076</v>
      </c>
      <c r="D905">
        <v>-1.76280285607439</v>
      </c>
      <c r="E905">
        <v>2.4764735017335302E-4</v>
      </c>
      <c r="F905" t="s">
        <v>306</v>
      </c>
    </row>
    <row r="906" spans="1:6" x14ac:dyDescent="0.2">
      <c r="A906" t="s">
        <v>17</v>
      </c>
      <c r="B906" t="s">
        <v>66</v>
      </c>
      <c r="C906">
        <v>8076</v>
      </c>
      <c r="D906">
        <v>-1.76280285607439</v>
      </c>
      <c r="E906">
        <v>2.4764735017335302E-4</v>
      </c>
      <c r="F906" t="s">
        <v>306</v>
      </c>
    </row>
    <row r="907" spans="1:6" x14ac:dyDescent="0.2">
      <c r="A907" t="s">
        <v>94</v>
      </c>
      <c r="B907" t="s">
        <v>74</v>
      </c>
      <c r="C907">
        <v>8076</v>
      </c>
      <c r="D907">
        <v>-1.76280285607439</v>
      </c>
      <c r="E907">
        <v>2.4764735017335302E-4</v>
      </c>
      <c r="F907" t="s">
        <v>306</v>
      </c>
    </row>
    <row r="908" spans="1:6" x14ac:dyDescent="0.2">
      <c r="A908" t="s">
        <v>67</v>
      </c>
      <c r="B908" t="s">
        <v>106</v>
      </c>
      <c r="C908">
        <v>8076</v>
      </c>
      <c r="D908">
        <v>-1.76280285607439</v>
      </c>
      <c r="E908">
        <v>2.4764735017335302E-4</v>
      </c>
      <c r="F908" t="s">
        <v>306</v>
      </c>
    </row>
    <row r="909" spans="1:6" x14ac:dyDescent="0.2">
      <c r="A909" t="s">
        <v>104</v>
      </c>
      <c r="B909" t="s">
        <v>125</v>
      </c>
      <c r="C909">
        <v>8076</v>
      </c>
      <c r="D909">
        <v>-1.76280285607439</v>
      </c>
      <c r="E909">
        <v>2.4764735017335302E-4</v>
      </c>
      <c r="F909" t="s">
        <v>306</v>
      </c>
    </row>
    <row r="910" spans="1:6" x14ac:dyDescent="0.2">
      <c r="A910" t="s">
        <v>187</v>
      </c>
      <c r="B910" t="s">
        <v>106</v>
      </c>
      <c r="C910">
        <v>8076</v>
      </c>
      <c r="D910">
        <v>-1.76280285607439</v>
      </c>
      <c r="E910">
        <v>2.4764735017335302E-4</v>
      </c>
      <c r="F910" t="s">
        <v>306</v>
      </c>
    </row>
    <row r="911" spans="1:6" x14ac:dyDescent="0.2">
      <c r="A911" t="s">
        <v>94</v>
      </c>
      <c r="B911" t="s">
        <v>126</v>
      </c>
      <c r="C911">
        <v>8076</v>
      </c>
      <c r="D911">
        <v>-1.76280285607439</v>
      </c>
      <c r="E911">
        <v>2.4764735017335302E-4</v>
      </c>
      <c r="F911" t="s">
        <v>306</v>
      </c>
    </row>
    <row r="912" spans="1:6" x14ac:dyDescent="0.2">
      <c r="A912" t="s">
        <v>177</v>
      </c>
      <c r="B912" t="s">
        <v>108</v>
      </c>
      <c r="C912">
        <v>8076</v>
      </c>
      <c r="D912">
        <v>-1.76280285607439</v>
      </c>
      <c r="E912">
        <v>2.4764735017335302E-4</v>
      </c>
      <c r="F912" t="s">
        <v>306</v>
      </c>
    </row>
    <row r="913" spans="1:6" x14ac:dyDescent="0.2">
      <c r="A913" t="s">
        <v>95</v>
      </c>
      <c r="B913" t="s">
        <v>37</v>
      </c>
      <c r="C913">
        <v>8076</v>
      </c>
      <c r="D913">
        <v>-1.76280285607439</v>
      </c>
      <c r="E913">
        <v>2.4764735017335302E-4</v>
      </c>
      <c r="F913" t="s">
        <v>306</v>
      </c>
    </row>
    <row r="914" spans="1:6" x14ac:dyDescent="0.2">
      <c r="A914" t="s">
        <v>60</v>
      </c>
      <c r="B914" t="s">
        <v>126</v>
      </c>
      <c r="C914">
        <v>8076</v>
      </c>
      <c r="D914">
        <v>-1.76280285607439</v>
      </c>
      <c r="E914">
        <v>2.4764735017335302E-4</v>
      </c>
      <c r="F914" t="s">
        <v>306</v>
      </c>
    </row>
    <row r="915" spans="1:6" x14ac:dyDescent="0.2">
      <c r="A915" t="s">
        <v>90</v>
      </c>
      <c r="B915" t="s">
        <v>50</v>
      </c>
      <c r="C915">
        <v>8076</v>
      </c>
      <c r="D915">
        <v>-1.76280285607439</v>
      </c>
      <c r="E915">
        <v>2.4764735017335302E-4</v>
      </c>
      <c r="F915" t="s">
        <v>306</v>
      </c>
    </row>
    <row r="916" spans="1:6" x14ac:dyDescent="0.2">
      <c r="A916" t="s">
        <v>102</v>
      </c>
      <c r="B916" t="s">
        <v>50</v>
      </c>
      <c r="C916">
        <v>8076</v>
      </c>
      <c r="D916">
        <v>-1.76280285607439</v>
      </c>
      <c r="E916">
        <v>2.4764735017335302E-4</v>
      </c>
      <c r="F916" t="s">
        <v>306</v>
      </c>
    </row>
    <row r="917" spans="1:6" x14ac:dyDescent="0.2">
      <c r="A917" t="s">
        <v>95</v>
      </c>
      <c r="B917" t="s">
        <v>92</v>
      </c>
      <c r="C917">
        <v>8076</v>
      </c>
      <c r="D917">
        <v>-1.76280285607439</v>
      </c>
      <c r="E917">
        <v>2.4764735017335302E-4</v>
      </c>
      <c r="F917" t="s">
        <v>306</v>
      </c>
    </row>
    <row r="918" spans="1:6" x14ac:dyDescent="0.2">
      <c r="A918" t="s">
        <v>177</v>
      </c>
      <c r="B918" t="s">
        <v>25</v>
      </c>
      <c r="C918">
        <v>8076</v>
      </c>
      <c r="D918">
        <v>-1.76280285607439</v>
      </c>
      <c r="E918">
        <v>2.4764735017335302E-4</v>
      </c>
      <c r="F918" t="s">
        <v>306</v>
      </c>
    </row>
    <row r="919" spans="1:6" x14ac:dyDescent="0.2">
      <c r="A919" t="s">
        <v>83</v>
      </c>
      <c r="B919" t="s">
        <v>61</v>
      </c>
      <c r="C919">
        <v>8076</v>
      </c>
      <c r="D919">
        <v>-1.76280285607439</v>
      </c>
      <c r="E919">
        <v>2.4764735017335302E-4</v>
      </c>
      <c r="F919" t="s">
        <v>306</v>
      </c>
    </row>
    <row r="920" spans="1:6" x14ac:dyDescent="0.2">
      <c r="A920" t="s">
        <v>100</v>
      </c>
      <c r="B920" t="s">
        <v>37</v>
      </c>
      <c r="C920">
        <v>8076</v>
      </c>
      <c r="D920">
        <v>-1.76280285607439</v>
      </c>
      <c r="E920">
        <v>2.4764735017335302E-4</v>
      </c>
      <c r="F920" t="s">
        <v>306</v>
      </c>
    </row>
    <row r="921" spans="1:6" x14ac:dyDescent="0.2">
      <c r="A921" t="s">
        <v>32</v>
      </c>
      <c r="B921" t="s">
        <v>189</v>
      </c>
      <c r="C921">
        <v>8076</v>
      </c>
      <c r="D921">
        <v>-1.76280285607439</v>
      </c>
      <c r="E921">
        <v>2.4764735017335302E-4</v>
      </c>
      <c r="F921" t="s">
        <v>306</v>
      </c>
    </row>
    <row r="922" spans="1:6" x14ac:dyDescent="0.2">
      <c r="A922" t="s">
        <v>124</v>
      </c>
      <c r="B922" t="s">
        <v>125</v>
      </c>
      <c r="C922">
        <v>8076</v>
      </c>
      <c r="D922">
        <v>-1.76280285607439</v>
      </c>
      <c r="E922">
        <v>2.4764735017335302E-4</v>
      </c>
      <c r="F922" t="s">
        <v>306</v>
      </c>
    </row>
    <row r="923" spans="1:6" x14ac:dyDescent="0.2">
      <c r="A923" t="s">
        <v>107</v>
      </c>
      <c r="B923" t="s">
        <v>79</v>
      </c>
      <c r="C923">
        <v>8076</v>
      </c>
      <c r="D923">
        <v>-1.76280285607439</v>
      </c>
      <c r="E923">
        <v>2.4764735017335302E-4</v>
      </c>
      <c r="F923" t="s">
        <v>306</v>
      </c>
    </row>
    <row r="924" spans="1:6" x14ac:dyDescent="0.2">
      <c r="A924" t="s">
        <v>102</v>
      </c>
      <c r="B924" t="s">
        <v>120</v>
      </c>
      <c r="C924">
        <v>8076</v>
      </c>
      <c r="D924">
        <v>-1.76280285607439</v>
      </c>
      <c r="E924">
        <v>2.4764735017335302E-4</v>
      </c>
      <c r="F924" t="s">
        <v>306</v>
      </c>
    </row>
    <row r="925" spans="1:6" x14ac:dyDescent="0.2">
      <c r="A925" t="s">
        <v>73</v>
      </c>
      <c r="B925" t="s">
        <v>163</v>
      </c>
      <c r="C925">
        <v>8076</v>
      </c>
      <c r="D925">
        <v>-1.76280285607439</v>
      </c>
      <c r="E925">
        <v>2.4764735017335302E-4</v>
      </c>
      <c r="F925" t="s">
        <v>306</v>
      </c>
    </row>
    <row r="926" spans="1:6" x14ac:dyDescent="0.2">
      <c r="A926" t="s">
        <v>177</v>
      </c>
      <c r="B926" t="s">
        <v>111</v>
      </c>
      <c r="C926">
        <v>8076</v>
      </c>
      <c r="D926">
        <v>-1.76280285607439</v>
      </c>
      <c r="E926">
        <v>2.4764735017335302E-4</v>
      </c>
      <c r="F926" t="s">
        <v>306</v>
      </c>
    </row>
    <row r="927" spans="1:6" x14ac:dyDescent="0.2">
      <c r="A927" t="s">
        <v>124</v>
      </c>
      <c r="B927" t="s">
        <v>187</v>
      </c>
      <c r="C927">
        <v>8076</v>
      </c>
      <c r="D927">
        <v>-1.76280285607439</v>
      </c>
      <c r="E927">
        <v>2.4764735017335302E-4</v>
      </c>
      <c r="F927" t="s">
        <v>306</v>
      </c>
    </row>
    <row r="928" spans="1:6" x14ac:dyDescent="0.2">
      <c r="A928" t="s">
        <v>90</v>
      </c>
      <c r="B928" t="s">
        <v>106</v>
      </c>
      <c r="C928">
        <v>8076</v>
      </c>
      <c r="D928">
        <v>-1.76280285607439</v>
      </c>
      <c r="E928">
        <v>2.4764735017335302E-4</v>
      </c>
      <c r="F928" t="s">
        <v>306</v>
      </c>
    </row>
    <row r="929" spans="1:6" x14ac:dyDescent="0.2">
      <c r="A929" t="s">
        <v>187</v>
      </c>
      <c r="B929" t="s">
        <v>108</v>
      </c>
      <c r="C929">
        <v>8076</v>
      </c>
      <c r="D929">
        <v>-1.76280285607439</v>
      </c>
      <c r="E929">
        <v>2.4764735017335302E-4</v>
      </c>
      <c r="F929" t="s">
        <v>306</v>
      </c>
    </row>
    <row r="930" spans="1:6" x14ac:dyDescent="0.2">
      <c r="A930" t="s">
        <v>124</v>
      </c>
      <c r="B930" t="s">
        <v>74</v>
      </c>
      <c r="C930">
        <v>8076</v>
      </c>
      <c r="D930">
        <v>-1.76280285607439</v>
      </c>
      <c r="E930">
        <v>2.4764735017335302E-4</v>
      </c>
      <c r="F930" t="s">
        <v>306</v>
      </c>
    </row>
    <row r="931" spans="1:6" x14ac:dyDescent="0.2">
      <c r="A931" t="s">
        <v>28</v>
      </c>
      <c r="B931" t="s">
        <v>189</v>
      </c>
      <c r="C931">
        <v>8076</v>
      </c>
      <c r="D931">
        <v>-1.76280285607439</v>
      </c>
      <c r="E931">
        <v>2.4764735017335302E-4</v>
      </c>
      <c r="F931" t="s">
        <v>306</v>
      </c>
    </row>
    <row r="932" spans="1:6" x14ac:dyDescent="0.2">
      <c r="A932" t="s">
        <v>163</v>
      </c>
      <c r="B932" t="s">
        <v>177</v>
      </c>
      <c r="C932">
        <v>8076</v>
      </c>
      <c r="D932">
        <v>-1.76280285607439</v>
      </c>
      <c r="E932">
        <v>2.4764735017335302E-4</v>
      </c>
      <c r="F932" t="s">
        <v>306</v>
      </c>
    </row>
    <row r="933" spans="1:6" x14ac:dyDescent="0.2">
      <c r="A933" t="s">
        <v>45</v>
      </c>
      <c r="B933" t="s">
        <v>61</v>
      </c>
      <c r="C933">
        <v>8076</v>
      </c>
      <c r="D933">
        <v>-1.76280285607439</v>
      </c>
      <c r="E933">
        <v>2.4764735017335302E-4</v>
      </c>
      <c r="F933" t="s">
        <v>306</v>
      </c>
    </row>
    <row r="934" spans="1:6" x14ac:dyDescent="0.2">
      <c r="A934" t="s">
        <v>32</v>
      </c>
      <c r="B934" t="s">
        <v>37</v>
      </c>
      <c r="C934">
        <v>8076</v>
      </c>
      <c r="D934">
        <v>-1.76280285607439</v>
      </c>
      <c r="E934">
        <v>2.4764735017335302E-4</v>
      </c>
      <c r="F934" t="s">
        <v>306</v>
      </c>
    </row>
    <row r="935" spans="1:6" x14ac:dyDescent="0.2">
      <c r="A935" t="s">
        <v>95</v>
      </c>
      <c r="B935" t="s">
        <v>36</v>
      </c>
      <c r="C935">
        <v>8076</v>
      </c>
      <c r="D935">
        <v>-1.76280285607439</v>
      </c>
      <c r="E935">
        <v>2.4764735017335302E-4</v>
      </c>
      <c r="F935" t="s">
        <v>306</v>
      </c>
    </row>
    <row r="936" spans="1:6" x14ac:dyDescent="0.2">
      <c r="A936" t="s">
        <v>100</v>
      </c>
      <c r="B936" t="s">
        <v>53</v>
      </c>
      <c r="C936">
        <v>8076</v>
      </c>
      <c r="D936">
        <v>-1.76280285607439</v>
      </c>
      <c r="E936">
        <v>2.4764735017335302E-4</v>
      </c>
      <c r="F936" t="s">
        <v>306</v>
      </c>
    </row>
    <row r="937" spans="1:6" x14ac:dyDescent="0.2">
      <c r="A937" t="s">
        <v>193</v>
      </c>
      <c r="B937" t="s">
        <v>175</v>
      </c>
      <c r="C937">
        <v>8076</v>
      </c>
      <c r="D937">
        <v>-1.76280285607439</v>
      </c>
      <c r="E937">
        <v>2.4764735017335302E-4</v>
      </c>
      <c r="F937" t="s">
        <v>306</v>
      </c>
    </row>
    <row r="938" spans="1:6" x14ac:dyDescent="0.2">
      <c r="A938" t="s">
        <v>36</v>
      </c>
      <c r="B938" t="s">
        <v>120</v>
      </c>
      <c r="C938">
        <v>8076</v>
      </c>
      <c r="D938">
        <v>-1.76280285607439</v>
      </c>
      <c r="E938">
        <v>2.4764735017335302E-4</v>
      </c>
      <c r="F938" t="s">
        <v>306</v>
      </c>
    </row>
    <row r="939" spans="1:6" x14ac:dyDescent="0.2">
      <c r="A939" t="s">
        <v>102</v>
      </c>
      <c r="B939" t="s">
        <v>25</v>
      </c>
      <c r="C939">
        <v>8076</v>
      </c>
      <c r="D939">
        <v>-1.76280285607439</v>
      </c>
      <c r="E939">
        <v>2.4764735017335302E-4</v>
      </c>
      <c r="F939" t="s">
        <v>306</v>
      </c>
    </row>
    <row r="940" spans="1:6" x14ac:dyDescent="0.2">
      <c r="A940" t="s">
        <v>73</v>
      </c>
      <c r="B940" t="s">
        <v>95</v>
      </c>
      <c r="C940">
        <v>8076</v>
      </c>
      <c r="D940">
        <v>-1.76280285607439</v>
      </c>
      <c r="E940">
        <v>2.4764735017335302E-4</v>
      </c>
      <c r="F940" t="s">
        <v>306</v>
      </c>
    </row>
    <row r="941" spans="1:6" x14ac:dyDescent="0.2">
      <c r="A941" t="s">
        <v>125</v>
      </c>
      <c r="B941" t="s">
        <v>123</v>
      </c>
      <c r="C941">
        <v>8076</v>
      </c>
      <c r="D941">
        <v>-1.76280285607439</v>
      </c>
      <c r="E941">
        <v>2.4764735017335302E-4</v>
      </c>
      <c r="F941" t="s">
        <v>306</v>
      </c>
    </row>
    <row r="942" spans="1:6" x14ac:dyDescent="0.2">
      <c r="A942" t="s">
        <v>90</v>
      </c>
      <c r="B942" t="s">
        <v>60</v>
      </c>
      <c r="C942">
        <v>8076</v>
      </c>
      <c r="D942">
        <v>-1.76280285607439</v>
      </c>
      <c r="E942">
        <v>2.4764735017335302E-4</v>
      </c>
      <c r="F942" t="s">
        <v>306</v>
      </c>
    </row>
    <row r="943" spans="1:6" x14ac:dyDescent="0.2">
      <c r="A943" t="s">
        <v>79</v>
      </c>
      <c r="B943" t="s">
        <v>74</v>
      </c>
      <c r="C943">
        <v>8076</v>
      </c>
      <c r="D943">
        <v>-1.76280285607439</v>
      </c>
      <c r="E943">
        <v>2.4764735017335302E-4</v>
      </c>
      <c r="F943" t="s">
        <v>306</v>
      </c>
    </row>
    <row r="944" spans="1:6" x14ac:dyDescent="0.2">
      <c r="A944" t="s">
        <v>90</v>
      </c>
      <c r="B944" t="s">
        <v>126</v>
      </c>
      <c r="C944">
        <v>8076</v>
      </c>
      <c r="D944">
        <v>-1.76280285607439</v>
      </c>
      <c r="E944">
        <v>2.4764735017335302E-4</v>
      </c>
      <c r="F944" t="s">
        <v>306</v>
      </c>
    </row>
    <row r="945" spans="1:6" x14ac:dyDescent="0.2">
      <c r="A945" t="s">
        <v>212</v>
      </c>
      <c r="B945" t="s">
        <v>58</v>
      </c>
      <c r="C945">
        <v>8076</v>
      </c>
      <c r="D945">
        <v>-1.76280285607439</v>
      </c>
      <c r="E945">
        <v>2.4764735017335302E-4</v>
      </c>
      <c r="F945" t="s">
        <v>306</v>
      </c>
    </row>
    <row r="946" spans="1:6" x14ac:dyDescent="0.2">
      <c r="A946" t="s">
        <v>58</v>
      </c>
      <c r="B946" t="s">
        <v>102</v>
      </c>
      <c r="C946">
        <v>8076</v>
      </c>
      <c r="D946">
        <v>-1.76280285607439</v>
      </c>
      <c r="E946">
        <v>2.4764735017335302E-4</v>
      </c>
      <c r="F946" t="s">
        <v>306</v>
      </c>
    </row>
    <row r="947" spans="1:6" x14ac:dyDescent="0.2">
      <c r="A947" t="s">
        <v>102</v>
      </c>
      <c r="B947" t="s">
        <v>114</v>
      </c>
      <c r="C947">
        <v>8076</v>
      </c>
      <c r="D947">
        <v>-1.76280285607439</v>
      </c>
      <c r="E947">
        <v>2.4764735017335302E-4</v>
      </c>
      <c r="F947" t="s">
        <v>306</v>
      </c>
    </row>
    <row r="948" spans="1:6" x14ac:dyDescent="0.2">
      <c r="A948" t="s">
        <v>45</v>
      </c>
      <c r="B948" t="s">
        <v>108</v>
      </c>
      <c r="C948">
        <v>8076</v>
      </c>
      <c r="D948">
        <v>-1.76280285607439</v>
      </c>
      <c r="E948">
        <v>2.4764735017335302E-4</v>
      </c>
      <c r="F948" t="s">
        <v>306</v>
      </c>
    </row>
    <row r="949" spans="1:6" x14ac:dyDescent="0.2">
      <c r="A949" t="s">
        <v>107</v>
      </c>
      <c r="B949" t="s">
        <v>120</v>
      </c>
      <c r="C949">
        <v>8076</v>
      </c>
      <c r="D949">
        <v>-1.76280285607439</v>
      </c>
      <c r="E949">
        <v>2.4764735017335302E-4</v>
      </c>
      <c r="F949" t="s">
        <v>306</v>
      </c>
    </row>
    <row r="950" spans="1:6" x14ac:dyDescent="0.2">
      <c r="A950" t="s">
        <v>45</v>
      </c>
      <c r="B950" t="s">
        <v>177</v>
      </c>
      <c r="C950">
        <v>8076</v>
      </c>
      <c r="D950">
        <v>-1.76280285607439</v>
      </c>
      <c r="E950">
        <v>2.4764735017335302E-4</v>
      </c>
      <c r="F950" t="s">
        <v>306</v>
      </c>
    </row>
    <row r="951" spans="1:6" x14ac:dyDescent="0.2">
      <c r="A951" t="s">
        <v>90</v>
      </c>
      <c r="B951" t="s">
        <v>83</v>
      </c>
      <c r="C951">
        <v>8076</v>
      </c>
      <c r="D951">
        <v>-1.76280285607439</v>
      </c>
      <c r="E951">
        <v>2.4764735017335302E-4</v>
      </c>
      <c r="F951" t="s">
        <v>306</v>
      </c>
    </row>
    <row r="952" spans="1:6" x14ac:dyDescent="0.2">
      <c r="A952" t="s">
        <v>212</v>
      </c>
      <c r="B952" t="s">
        <v>111</v>
      </c>
      <c r="C952">
        <v>8076</v>
      </c>
      <c r="D952">
        <v>-1.76280285607439</v>
      </c>
      <c r="E952">
        <v>2.4764735017335302E-4</v>
      </c>
      <c r="F952" t="s">
        <v>306</v>
      </c>
    </row>
    <row r="953" spans="1:6" x14ac:dyDescent="0.2">
      <c r="A953" t="s">
        <v>94</v>
      </c>
      <c r="B953" t="s">
        <v>102</v>
      </c>
      <c r="C953">
        <v>8076</v>
      </c>
      <c r="D953">
        <v>-1.76280285607439</v>
      </c>
      <c r="E953">
        <v>2.4764735017335302E-4</v>
      </c>
      <c r="F953" t="s">
        <v>306</v>
      </c>
    </row>
    <row r="954" spans="1:6" x14ac:dyDescent="0.2">
      <c r="A954" t="s">
        <v>28</v>
      </c>
      <c r="B954" t="s">
        <v>175</v>
      </c>
      <c r="C954">
        <v>8076</v>
      </c>
      <c r="D954">
        <v>-1.76280285607439</v>
      </c>
      <c r="E954">
        <v>2.4764735017335302E-4</v>
      </c>
      <c r="F954" t="s">
        <v>306</v>
      </c>
    </row>
    <row r="955" spans="1:6" x14ac:dyDescent="0.2">
      <c r="A955" t="s">
        <v>187</v>
      </c>
      <c r="B955" t="s">
        <v>36</v>
      </c>
      <c r="C955">
        <v>8076</v>
      </c>
      <c r="D955">
        <v>-1.76280285607439</v>
      </c>
      <c r="E955">
        <v>2.4764735017335302E-4</v>
      </c>
      <c r="F955" t="s">
        <v>306</v>
      </c>
    </row>
    <row r="956" spans="1:6" x14ac:dyDescent="0.2">
      <c r="A956" t="s">
        <v>189</v>
      </c>
      <c r="B956" t="s">
        <v>108</v>
      </c>
      <c r="C956">
        <v>8076</v>
      </c>
      <c r="D956">
        <v>-1.76280285607439</v>
      </c>
      <c r="E956">
        <v>2.4764735017335302E-4</v>
      </c>
      <c r="F956" t="s">
        <v>306</v>
      </c>
    </row>
    <row r="957" spans="1:6" x14ac:dyDescent="0.2">
      <c r="A957" t="s">
        <v>124</v>
      </c>
      <c r="B957" t="s">
        <v>28</v>
      </c>
      <c r="C957">
        <v>8076</v>
      </c>
      <c r="D957">
        <v>-1.76280285607439</v>
      </c>
      <c r="E957">
        <v>2.4764735017335302E-4</v>
      </c>
      <c r="F957" t="s">
        <v>306</v>
      </c>
    </row>
    <row r="958" spans="1:6" x14ac:dyDescent="0.2">
      <c r="A958" t="s">
        <v>163</v>
      </c>
      <c r="B958" t="s">
        <v>187</v>
      </c>
      <c r="C958">
        <v>8076</v>
      </c>
      <c r="D958">
        <v>-1.76280285607439</v>
      </c>
      <c r="E958">
        <v>2.4764735017335302E-4</v>
      </c>
      <c r="F958" t="s">
        <v>306</v>
      </c>
    </row>
    <row r="959" spans="1:6" x14ac:dyDescent="0.2">
      <c r="A959" t="s">
        <v>83</v>
      </c>
      <c r="B959" t="s">
        <v>111</v>
      </c>
      <c r="C959">
        <v>8076</v>
      </c>
      <c r="D959">
        <v>-1.76280285607439</v>
      </c>
      <c r="E959">
        <v>2.4764735017335302E-4</v>
      </c>
      <c r="F959" t="s">
        <v>306</v>
      </c>
    </row>
    <row r="960" spans="1:6" x14ac:dyDescent="0.2">
      <c r="A960" t="s">
        <v>95</v>
      </c>
      <c r="B960" t="s">
        <v>106</v>
      </c>
      <c r="C960">
        <v>8076</v>
      </c>
      <c r="D960">
        <v>-1.76280285607439</v>
      </c>
      <c r="E960">
        <v>2.4764735017335302E-4</v>
      </c>
      <c r="F960" t="s">
        <v>306</v>
      </c>
    </row>
    <row r="961" spans="1:6" x14ac:dyDescent="0.2">
      <c r="A961" t="s">
        <v>212</v>
      </c>
      <c r="B961" t="s">
        <v>177</v>
      </c>
      <c r="C961">
        <v>8076</v>
      </c>
      <c r="D961">
        <v>-1.76280285607439</v>
      </c>
      <c r="E961">
        <v>2.4764735017335302E-4</v>
      </c>
      <c r="F961" t="s">
        <v>306</v>
      </c>
    </row>
    <row r="962" spans="1:6" x14ac:dyDescent="0.2">
      <c r="A962" t="s">
        <v>90</v>
      </c>
      <c r="B962" t="s">
        <v>36</v>
      </c>
      <c r="C962">
        <v>8076</v>
      </c>
      <c r="D962">
        <v>-1.76280285607439</v>
      </c>
      <c r="E962">
        <v>2.4764735017335302E-4</v>
      </c>
      <c r="F962" t="s">
        <v>306</v>
      </c>
    </row>
    <row r="963" spans="1:6" x14ac:dyDescent="0.2">
      <c r="A963" t="s">
        <v>45</v>
      </c>
      <c r="B963" t="s">
        <v>126</v>
      </c>
      <c r="C963">
        <v>8076</v>
      </c>
      <c r="D963">
        <v>-1.76280285607439</v>
      </c>
      <c r="E963">
        <v>2.4764735017335302E-4</v>
      </c>
      <c r="F963" t="s">
        <v>306</v>
      </c>
    </row>
    <row r="964" spans="1:6" x14ac:dyDescent="0.2">
      <c r="A964" t="s">
        <v>79</v>
      </c>
      <c r="B964" t="s">
        <v>50</v>
      </c>
      <c r="C964">
        <v>8076</v>
      </c>
      <c r="D964">
        <v>-1.76280285607439</v>
      </c>
      <c r="E964">
        <v>2.4764735017335302E-4</v>
      </c>
      <c r="F964" t="s">
        <v>306</v>
      </c>
    </row>
    <row r="965" spans="1:6" x14ac:dyDescent="0.2">
      <c r="A965" t="s">
        <v>92</v>
      </c>
      <c r="B965" t="s">
        <v>108</v>
      </c>
      <c r="C965">
        <v>8076</v>
      </c>
      <c r="D965">
        <v>-1.76280285607439</v>
      </c>
      <c r="E965">
        <v>2.4764735017335302E-4</v>
      </c>
      <c r="F965" t="s">
        <v>306</v>
      </c>
    </row>
    <row r="966" spans="1:6" x14ac:dyDescent="0.2">
      <c r="A966" t="s">
        <v>59</v>
      </c>
      <c r="B966" t="s">
        <v>114</v>
      </c>
      <c r="C966">
        <v>8076</v>
      </c>
      <c r="D966">
        <v>-1.76280285607439</v>
      </c>
      <c r="E966">
        <v>2.4764735017335302E-4</v>
      </c>
      <c r="F966" t="s">
        <v>306</v>
      </c>
    </row>
    <row r="967" spans="1:6" x14ac:dyDescent="0.2">
      <c r="A967" t="s">
        <v>106</v>
      </c>
      <c r="B967" t="s">
        <v>108</v>
      </c>
      <c r="C967">
        <v>8076</v>
      </c>
      <c r="D967">
        <v>-1.76280285607439</v>
      </c>
      <c r="E967">
        <v>2.4764735017335302E-4</v>
      </c>
      <c r="F967" t="s">
        <v>306</v>
      </c>
    </row>
    <row r="968" spans="1:6" x14ac:dyDescent="0.2">
      <c r="A968" t="s">
        <v>73</v>
      </c>
      <c r="B968" t="s">
        <v>94</v>
      </c>
      <c r="C968">
        <v>8076</v>
      </c>
      <c r="D968">
        <v>-1.76280285607439</v>
      </c>
      <c r="E968">
        <v>2.4764735017335302E-4</v>
      </c>
      <c r="F968" t="s">
        <v>306</v>
      </c>
    </row>
    <row r="969" spans="1:6" x14ac:dyDescent="0.2">
      <c r="A969" t="s">
        <v>95</v>
      </c>
      <c r="B969" t="s">
        <v>32</v>
      </c>
      <c r="C969">
        <v>8076</v>
      </c>
      <c r="D969">
        <v>-1.76280285607439</v>
      </c>
      <c r="E969">
        <v>2.4764735017335302E-4</v>
      </c>
      <c r="F969" t="s">
        <v>306</v>
      </c>
    </row>
    <row r="970" spans="1:6" x14ac:dyDescent="0.2">
      <c r="A970" t="s">
        <v>107</v>
      </c>
      <c r="B970" t="s">
        <v>114</v>
      </c>
      <c r="C970">
        <v>8076</v>
      </c>
      <c r="D970">
        <v>-1.76280285607439</v>
      </c>
      <c r="E970">
        <v>2.4764735017335302E-4</v>
      </c>
      <c r="F970" t="s">
        <v>306</v>
      </c>
    </row>
    <row r="971" spans="1:6" x14ac:dyDescent="0.2">
      <c r="A971" t="s">
        <v>90</v>
      </c>
      <c r="B971" t="s">
        <v>187</v>
      </c>
      <c r="C971">
        <v>8076</v>
      </c>
      <c r="D971">
        <v>-1.76280285607439</v>
      </c>
      <c r="E971">
        <v>2.4764735017335302E-4</v>
      </c>
      <c r="F971" t="s">
        <v>306</v>
      </c>
    </row>
    <row r="972" spans="1:6" x14ac:dyDescent="0.2">
      <c r="A972" t="s">
        <v>92</v>
      </c>
      <c r="B972" t="s">
        <v>38</v>
      </c>
      <c r="C972">
        <v>8076</v>
      </c>
      <c r="D972">
        <v>-1.76280285607439</v>
      </c>
      <c r="E972">
        <v>2.4764735017335302E-4</v>
      </c>
      <c r="F972" t="s">
        <v>306</v>
      </c>
    </row>
    <row r="973" spans="1:6" x14ac:dyDescent="0.2">
      <c r="A973" t="s">
        <v>17</v>
      </c>
      <c r="B973" t="s">
        <v>111</v>
      </c>
      <c r="C973">
        <v>8076</v>
      </c>
      <c r="D973">
        <v>-1.76280285607439</v>
      </c>
      <c r="E973">
        <v>2.4764735017335302E-4</v>
      </c>
      <c r="F973" t="s">
        <v>306</v>
      </c>
    </row>
    <row r="974" spans="1:6" x14ac:dyDescent="0.2">
      <c r="A974" t="s">
        <v>36</v>
      </c>
      <c r="B974" t="s">
        <v>53</v>
      </c>
      <c r="C974">
        <v>8076</v>
      </c>
      <c r="D974">
        <v>-1.76280285607439</v>
      </c>
      <c r="E974">
        <v>2.4764735017335302E-4</v>
      </c>
      <c r="F974" t="s">
        <v>306</v>
      </c>
    </row>
    <row r="975" spans="1:6" x14ac:dyDescent="0.2">
      <c r="A975" t="s">
        <v>177</v>
      </c>
      <c r="B975" t="s">
        <v>66</v>
      </c>
      <c r="C975">
        <v>8076</v>
      </c>
      <c r="D975">
        <v>-1.76280285607439</v>
      </c>
      <c r="E975">
        <v>2.4764735017335302E-4</v>
      </c>
      <c r="F975" t="s">
        <v>306</v>
      </c>
    </row>
    <row r="976" spans="1:6" x14ac:dyDescent="0.2">
      <c r="A976" t="s">
        <v>79</v>
      </c>
      <c r="B976" t="s">
        <v>53</v>
      </c>
      <c r="C976">
        <v>8076</v>
      </c>
      <c r="D976">
        <v>-1.76280285607439</v>
      </c>
      <c r="E976">
        <v>2.4764735017335302E-4</v>
      </c>
      <c r="F976" t="s">
        <v>306</v>
      </c>
    </row>
    <row r="977" spans="1:6" x14ac:dyDescent="0.2">
      <c r="A977" t="s">
        <v>104</v>
      </c>
      <c r="B977" t="s">
        <v>36</v>
      </c>
      <c r="C977">
        <v>8076</v>
      </c>
      <c r="D977">
        <v>-1.76280285607439</v>
      </c>
      <c r="E977">
        <v>2.4764735017335302E-4</v>
      </c>
      <c r="F977" t="s">
        <v>306</v>
      </c>
    </row>
    <row r="978" spans="1:6" x14ac:dyDescent="0.2">
      <c r="A978" t="s">
        <v>67</v>
      </c>
      <c r="B978" t="s">
        <v>175</v>
      </c>
      <c r="C978">
        <v>8076</v>
      </c>
      <c r="D978">
        <v>-1.76280285607439</v>
      </c>
      <c r="E978">
        <v>2.4764735017335302E-4</v>
      </c>
      <c r="F978" t="s">
        <v>306</v>
      </c>
    </row>
    <row r="979" spans="1:6" x14ac:dyDescent="0.2">
      <c r="A979" t="s">
        <v>90</v>
      </c>
      <c r="B979" t="s">
        <v>120</v>
      </c>
      <c r="C979">
        <v>8076</v>
      </c>
      <c r="D979">
        <v>-1.76280285607439</v>
      </c>
      <c r="E979">
        <v>2.4764735017335302E-4</v>
      </c>
      <c r="F979" t="s">
        <v>306</v>
      </c>
    </row>
    <row r="980" spans="1:6" x14ac:dyDescent="0.2">
      <c r="A980" t="s">
        <v>212</v>
      </c>
      <c r="B980" t="s">
        <v>163</v>
      </c>
      <c r="C980">
        <v>8076</v>
      </c>
      <c r="D980">
        <v>-1.76280285607439</v>
      </c>
      <c r="E980">
        <v>2.4764735017335302E-4</v>
      </c>
      <c r="F980" t="s">
        <v>306</v>
      </c>
    </row>
    <row r="981" spans="1:6" x14ac:dyDescent="0.2">
      <c r="A981" t="s">
        <v>125</v>
      </c>
      <c r="B981" t="s">
        <v>25</v>
      </c>
      <c r="C981">
        <v>8076</v>
      </c>
      <c r="D981">
        <v>-1.76280285607439</v>
      </c>
      <c r="E981">
        <v>2.4764735017335302E-4</v>
      </c>
      <c r="F981" t="s">
        <v>306</v>
      </c>
    </row>
    <row r="982" spans="1:6" x14ac:dyDescent="0.2">
      <c r="A982" t="s">
        <v>106</v>
      </c>
      <c r="B982" t="s">
        <v>37</v>
      </c>
      <c r="C982">
        <v>8076</v>
      </c>
      <c r="D982">
        <v>-1.76280285607439</v>
      </c>
      <c r="E982">
        <v>2.4764735017335302E-4</v>
      </c>
      <c r="F982" t="s">
        <v>306</v>
      </c>
    </row>
    <row r="983" spans="1:6" x14ac:dyDescent="0.2">
      <c r="A983" t="s">
        <v>90</v>
      </c>
      <c r="B983" t="s">
        <v>114</v>
      </c>
      <c r="C983">
        <v>8076</v>
      </c>
      <c r="D983">
        <v>-1.76280285607439</v>
      </c>
      <c r="E983">
        <v>2.4764735017335302E-4</v>
      </c>
      <c r="F983" t="s">
        <v>306</v>
      </c>
    </row>
    <row r="984" spans="1:6" x14ac:dyDescent="0.2">
      <c r="A984" t="s">
        <v>61</v>
      </c>
      <c r="B984" t="s">
        <v>111</v>
      </c>
      <c r="C984">
        <v>8076</v>
      </c>
      <c r="D984">
        <v>-1.76280285607439</v>
      </c>
      <c r="E984">
        <v>2.4764735017335302E-4</v>
      </c>
      <c r="F984" t="s">
        <v>306</v>
      </c>
    </row>
    <row r="985" spans="1:6" x14ac:dyDescent="0.2">
      <c r="A985" t="s">
        <v>102</v>
      </c>
      <c r="B985" t="s">
        <v>189</v>
      </c>
      <c r="C985">
        <v>8076</v>
      </c>
      <c r="D985">
        <v>-1.76280285607439</v>
      </c>
      <c r="E985">
        <v>2.4764735017335302E-4</v>
      </c>
      <c r="F985" t="s">
        <v>306</v>
      </c>
    </row>
    <row r="986" spans="1:6" x14ac:dyDescent="0.2">
      <c r="A986" t="s">
        <v>212</v>
      </c>
      <c r="B986" t="s">
        <v>102</v>
      </c>
      <c r="C986">
        <v>8076</v>
      </c>
      <c r="D986">
        <v>-1.76280285607439</v>
      </c>
      <c r="E986">
        <v>2.4764735017335302E-4</v>
      </c>
      <c r="F986" t="s">
        <v>306</v>
      </c>
    </row>
    <row r="987" spans="1:6" x14ac:dyDescent="0.2">
      <c r="A987" t="s">
        <v>163</v>
      </c>
      <c r="B987" t="s">
        <v>120</v>
      </c>
      <c r="C987">
        <v>8076</v>
      </c>
      <c r="D987">
        <v>-1.76280285607439</v>
      </c>
      <c r="E987">
        <v>2.4764735017335302E-4</v>
      </c>
      <c r="F987" t="s">
        <v>306</v>
      </c>
    </row>
    <row r="988" spans="1:6" x14ac:dyDescent="0.2">
      <c r="A988" t="s">
        <v>104</v>
      </c>
      <c r="B988" t="s">
        <v>60</v>
      </c>
      <c r="C988">
        <v>8076</v>
      </c>
      <c r="D988">
        <v>-1.76280285607439</v>
      </c>
      <c r="E988">
        <v>2.4764735017335302E-4</v>
      </c>
      <c r="F988" t="s">
        <v>306</v>
      </c>
    </row>
    <row r="989" spans="1:6" x14ac:dyDescent="0.2">
      <c r="A989" t="s">
        <v>107</v>
      </c>
      <c r="B989" t="s">
        <v>189</v>
      </c>
      <c r="C989">
        <v>8076</v>
      </c>
      <c r="D989">
        <v>-1.76280285607439</v>
      </c>
      <c r="E989">
        <v>2.4764735017335302E-4</v>
      </c>
      <c r="F989" t="s">
        <v>306</v>
      </c>
    </row>
    <row r="990" spans="1:6" x14ac:dyDescent="0.2">
      <c r="A990" t="s">
        <v>79</v>
      </c>
      <c r="B990" t="s">
        <v>25</v>
      </c>
      <c r="C990">
        <v>8076</v>
      </c>
      <c r="D990">
        <v>-1.76280285607439</v>
      </c>
      <c r="E990">
        <v>2.4764735017335302E-4</v>
      </c>
      <c r="F990" t="s">
        <v>306</v>
      </c>
    </row>
    <row r="991" spans="1:6" x14ac:dyDescent="0.2">
      <c r="A991" t="s">
        <v>79</v>
      </c>
      <c r="B991" t="s">
        <v>189</v>
      </c>
      <c r="C991">
        <v>8076</v>
      </c>
      <c r="D991">
        <v>-1.76280285607439</v>
      </c>
      <c r="E991">
        <v>2.4764735017335302E-4</v>
      </c>
      <c r="F991" t="s">
        <v>306</v>
      </c>
    </row>
    <row r="992" spans="1:6" x14ac:dyDescent="0.2">
      <c r="A992" t="s">
        <v>123</v>
      </c>
      <c r="B992" t="s">
        <v>114</v>
      </c>
      <c r="C992">
        <v>8076</v>
      </c>
      <c r="D992">
        <v>-1.76280285607439</v>
      </c>
      <c r="E992">
        <v>2.4764735017335302E-4</v>
      </c>
      <c r="F992" t="s">
        <v>306</v>
      </c>
    </row>
    <row r="993" spans="1:6" x14ac:dyDescent="0.2">
      <c r="A993" t="s">
        <v>163</v>
      </c>
      <c r="B993" t="s">
        <v>60</v>
      </c>
      <c r="C993">
        <v>8076</v>
      </c>
      <c r="D993">
        <v>-1.76280285607439</v>
      </c>
      <c r="E993">
        <v>2.4764735017335302E-4</v>
      </c>
      <c r="F993" t="s">
        <v>306</v>
      </c>
    </row>
    <row r="994" spans="1:6" x14ac:dyDescent="0.2">
      <c r="A994" t="s">
        <v>100</v>
      </c>
      <c r="B994" t="s">
        <v>36</v>
      </c>
      <c r="C994">
        <v>8076</v>
      </c>
      <c r="D994">
        <v>-1.76280285607439</v>
      </c>
      <c r="E994">
        <v>2.4764735017335302E-4</v>
      </c>
      <c r="F994" t="s">
        <v>306</v>
      </c>
    </row>
    <row r="995" spans="1:6" x14ac:dyDescent="0.2">
      <c r="A995" t="s">
        <v>53</v>
      </c>
      <c r="B995" t="s">
        <v>175</v>
      </c>
      <c r="C995">
        <v>8076</v>
      </c>
      <c r="D995">
        <v>-1.76280285607439</v>
      </c>
      <c r="E995">
        <v>2.4764735017335302E-4</v>
      </c>
      <c r="F995" t="s">
        <v>306</v>
      </c>
    </row>
    <row r="996" spans="1:6" x14ac:dyDescent="0.2">
      <c r="A996" t="s">
        <v>62</v>
      </c>
      <c r="B996" t="s">
        <v>61</v>
      </c>
      <c r="C996">
        <v>8076</v>
      </c>
      <c r="D996">
        <v>-1.76280285607439</v>
      </c>
      <c r="E996">
        <v>2.4764735017335302E-4</v>
      </c>
      <c r="F996" t="s">
        <v>306</v>
      </c>
    </row>
    <row r="997" spans="1:6" x14ac:dyDescent="0.2">
      <c r="A997" t="s">
        <v>187</v>
      </c>
      <c r="B997" t="s">
        <v>60</v>
      </c>
      <c r="C997">
        <v>8076</v>
      </c>
      <c r="D997">
        <v>-1.76280285607439</v>
      </c>
      <c r="E997">
        <v>2.4764735017335302E-4</v>
      </c>
      <c r="F997" t="s">
        <v>306</v>
      </c>
    </row>
    <row r="998" spans="1:6" x14ac:dyDescent="0.2">
      <c r="A998" t="s">
        <v>104</v>
      </c>
      <c r="B998" t="s">
        <v>120</v>
      </c>
      <c r="C998">
        <v>8076</v>
      </c>
      <c r="D998">
        <v>-1.76280285607439</v>
      </c>
      <c r="E998">
        <v>2.4764735017335302E-4</v>
      </c>
      <c r="F998" t="s">
        <v>306</v>
      </c>
    </row>
    <row r="999" spans="1:6" x14ac:dyDescent="0.2">
      <c r="A999" t="s">
        <v>92</v>
      </c>
      <c r="B999" t="s">
        <v>177</v>
      </c>
      <c r="C999">
        <v>8076</v>
      </c>
      <c r="D999">
        <v>-1.76280285607439</v>
      </c>
      <c r="E999">
        <v>2.4764735017335302E-4</v>
      </c>
      <c r="F999" t="s">
        <v>306</v>
      </c>
    </row>
    <row r="1000" spans="1:6" x14ac:dyDescent="0.2">
      <c r="A1000" t="s">
        <v>73</v>
      </c>
      <c r="B1000" t="s">
        <v>58</v>
      </c>
      <c r="C1000">
        <v>8076</v>
      </c>
      <c r="D1000">
        <v>-1.76280285607439</v>
      </c>
      <c r="E1000">
        <v>2.4764735017335302E-4</v>
      </c>
      <c r="F1000" t="s">
        <v>306</v>
      </c>
    </row>
    <row r="1001" spans="1:6" x14ac:dyDescent="0.2">
      <c r="A1001" t="s">
        <v>163</v>
      </c>
      <c r="B1001" t="s">
        <v>83</v>
      </c>
      <c r="C1001">
        <v>8076</v>
      </c>
      <c r="D1001">
        <v>-1.76280285607439</v>
      </c>
      <c r="E1001">
        <v>2.4764735017335302E-4</v>
      </c>
      <c r="F1001" t="s">
        <v>306</v>
      </c>
    </row>
    <row r="1002" spans="1:6" x14ac:dyDescent="0.2">
      <c r="A1002" t="s">
        <v>90</v>
      </c>
      <c r="B1002" t="s">
        <v>62</v>
      </c>
      <c r="C1002">
        <v>8076</v>
      </c>
      <c r="D1002">
        <v>-1.76280285607439</v>
      </c>
      <c r="E1002">
        <v>2.4764735017335302E-4</v>
      </c>
      <c r="F1002" t="s">
        <v>306</v>
      </c>
    </row>
    <row r="1003" spans="1:6" x14ac:dyDescent="0.2">
      <c r="A1003" t="s">
        <v>32</v>
      </c>
      <c r="B1003" t="s">
        <v>177</v>
      </c>
      <c r="C1003">
        <v>8076</v>
      </c>
      <c r="D1003">
        <v>-1.76280285607439</v>
      </c>
      <c r="E1003">
        <v>2.4764735017335302E-4</v>
      </c>
      <c r="F1003" t="s">
        <v>306</v>
      </c>
    </row>
    <row r="1004" spans="1:6" x14ac:dyDescent="0.2">
      <c r="A1004" t="s">
        <v>58</v>
      </c>
      <c r="B1004" t="s">
        <v>32</v>
      </c>
      <c r="C1004">
        <v>8076</v>
      </c>
      <c r="D1004">
        <v>-1.76280285607439</v>
      </c>
      <c r="E1004">
        <v>2.4764735017335302E-4</v>
      </c>
      <c r="F1004" t="s">
        <v>306</v>
      </c>
    </row>
    <row r="1005" spans="1:6" x14ac:dyDescent="0.2">
      <c r="A1005" t="s">
        <v>95</v>
      </c>
      <c r="B1005" t="s">
        <v>90</v>
      </c>
      <c r="C1005">
        <v>8076</v>
      </c>
      <c r="D1005">
        <v>-1.76280285607439</v>
      </c>
      <c r="E1005">
        <v>2.4764735017335302E-4</v>
      </c>
      <c r="F1005" t="s">
        <v>306</v>
      </c>
    </row>
    <row r="1006" spans="1:6" x14ac:dyDescent="0.2">
      <c r="A1006" t="s">
        <v>187</v>
      </c>
      <c r="B1006" t="s">
        <v>79</v>
      </c>
      <c r="C1006">
        <v>8076</v>
      </c>
      <c r="D1006">
        <v>-1.76280285607439</v>
      </c>
      <c r="E1006">
        <v>2.4764735017335302E-4</v>
      </c>
      <c r="F1006" t="s">
        <v>306</v>
      </c>
    </row>
    <row r="1007" spans="1:6" x14ac:dyDescent="0.2">
      <c r="A1007" t="s">
        <v>163</v>
      </c>
      <c r="B1007" t="s">
        <v>175</v>
      </c>
      <c r="C1007">
        <v>8076</v>
      </c>
      <c r="D1007">
        <v>-1.76280285607439</v>
      </c>
      <c r="E1007">
        <v>2.4764735017335302E-4</v>
      </c>
      <c r="F1007" t="s">
        <v>306</v>
      </c>
    </row>
    <row r="1008" spans="1:6" x14ac:dyDescent="0.2">
      <c r="A1008" t="s">
        <v>124</v>
      </c>
      <c r="B1008" t="s">
        <v>107</v>
      </c>
      <c r="C1008">
        <v>8076</v>
      </c>
      <c r="D1008">
        <v>-1.76280285607439</v>
      </c>
      <c r="E1008">
        <v>2.4764735017335302E-4</v>
      </c>
      <c r="F1008" t="s">
        <v>306</v>
      </c>
    </row>
    <row r="1009" spans="1:6" x14ac:dyDescent="0.2">
      <c r="A1009" t="s">
        <v>107</v>
      </c>
      <c r="B1009" t="s">
        <v>125</v>
      </c>
      <c r="C1009">
        <v>8076</v>
      </c>
      <c r="D1009">
        <v>-1.76280285607439</v>
      </c>
      <c r="E1009">
        <v>2.4764735017335302E-4</v>
      </c>
      <c r="F1009" t="s">
        <v>306</v>
      </c>
    </row>
    <row r="1010" spans="1:6" x14ac:dyDescent="0.2">
      <c r="A1010" t="s">
        <v>111</v>
      </c>
      <c r="B1010" t="s">
        <v>114</v>
      </c>
      <c r="C1010">
        <v>8076</v>
      </c>
      <c r="D1010">
        <v>-1.76280285607439</v>
      </c>
      <c r="E1010">
        <v>2.4764735017335302E-4</v>
      </c>
      <c r="F1010" t="s">
        <v>306</v>
      </c>
    </row>
    <row r="1011" spans="1:6" x14ac:dyDescent="0.2">
      <c r="A1011" t="s">
        <v>60</v>
      </c>
      <c r="B1011" t="s">
        <v>50</v>
      </c>
      <c r="C1011">
        <v>8076</v>
      </c>
      <c r="D1011">
        <v>-1.76280285607439</v>
      </c>
      <c r="E1011">
        <v>2.4764735017335302E-4</v>
      </c>
      <c r="F1011" t="s">
        <v>306</v>
      </c>
    </row>
    <row r="1012" spans="1:6" x14ac:dyDescent="0.2">
      <c r="A1012" t="s">
        <v>163</v>
      </c>
      <c r="B1012" t="s">
        <v>28</v>
      </c>
      <c r="C1012">
        <v>8076</v>
      </c>
      <c r="D1012">
        <v>-1.76280285607439</v>
      </c>
      <c r="E1012">
        <v>2.4764735017335302E-4</v>
      </c>
      <c r="F1012" t="s">
        <v>306</v>
      </c>
    </row>
    <row r="1013" spans="1:6" x14ac:dyDescent="0.2">
      <c r="A1013" t="s">
        <v>120</v>
      </c>
      <c r="B1013" t="s">
        <v>61</v>
      </c>
      <c r="C1013">
        <v>8076</v>
      </c>
      <c r="D1013">
        <v>-1.76280285607439</v>
      </c>
      <c r="E1013">
        <v>2.4764735017335302E-4</v>
      </c>
      <c r="F1013" t="s">
        <v>306</v>
      </c>
    </row>
    <row r="1014" spans="1:6" x14ac:dyDescent="0.2">
      <c r="A1014" t="s">
        <v>163</v>
      </c>
      <c r="B1014" t="s">
        <v>38</v>
      </c>
      <c r="C1014">
        <v>8076</v>
      </c>
      <c r="D1014">
        <v>-1.76280285607439</v>
      </c>
      <c r="E1014">
        <v>2.4764735017335302E-4</v>
      </c>
      <c r="F1014" t="s">
        <v>306</v>
      </c>
    </row>
    <row r="1015" spans="1:6" x14ac:dyDescent="0.2">
      <c r="A1015" t="s">
        <v>124</v>
      </c>
      <c r="B1015" t="s">
        <v>50</v>
      </c>
      <c r="C1015">
        <v>8076</v>
      </c>
      <c r="D1015">
        <v>-1.76280285607439</v>
      </c>
      <c r="E1015">
        <v>2.4764735017335302E-4</v>
      </c>
      <c r="F1015" t="s">
        <v>306</v>
      </c>
    </row>
    <row r="1016" spans="1:6" x14ac:dyDescent="0.2">
      <c r="A1016" t="s">
        <v>189</v>
      </c>
      <c r="B1016" t="s">
        <v>111</v>
      </c>
      <c r="C1016">
        <v>8076</v>
      </c>
      <c r="D1016">
        <v>-1.76280285607439</v>
      </c>
      <c r="E1016">
        <v>2.4764735017335302E-4</v>
      </c>
      <c r="F1016" t="s">
        <v>306</v>
      </c>
    </row>
    <row r="1017" spans="1:6" x14ac:dyDescent="0.2">
      <c r="A1017" t="s">
        <v>124</v>
      </c>
      <c r="B1017" t="s">
        <v>108</v>
      </c>
      <c r="C1017">
        <v>8076</v>
      </c>
      <c r="D1017">
        <v>-1.76280285607439</v>
      </c>
      <c r="E1017">
        <v>2.4764735017335302E-4</v>
      </c>
      <c r="F1017" t="s">
        <v>306</v>
      </c>
    </row>
    <row r="1018" spans="1:6" x14ac:dyDescent="0.2">
      <c r="A1018" t="s">
        <v>125</v>
      </c>
      <c r="B1018" t="s">
        <v>129</v>
      </c>
      <c r="C1018">
        <v>8076</v>
      </c>
      <c r="D1018">
        <v>-1.76280285607439</v>
      </c>
      <c r="E1018">
        <v>2.4764735017335302E-4</v>
      </c>
      <c r="F1018" t="s">
        <v>306</v>
      </c>
    </row>
    <row r="1019" spans="1:6" x14ac:dyDescent="0.2">
      <c r="A1019" t="s">
        <v>123</v>
      </c>
      <c r="B1019" t="s">
        <v>50</v>
      </c>
      <c r="C1019">
        <v>8076</v>
      </c>
      <c r="D1019">
        <v>-1.76280285607439</v>
      </c>
      <c r="E1019">
        <v>2.4764735017335302E-4</v>
      </c>
      <c r="F1019" t="s">
        <v>306</v>
      </c>
    </row>
    <row r="1020" spans="1:6" x14ac:dyDescent="0.2">
      <c r="A1020" t="s">
        <v>94</v>
      </c>
      <c r="B1020" t="s">
        <v>37</v>
      </c>
      <c r="C1020">
        <v>8076</v>
      </c>
      <c r="D1020">
        <v>-1.76280285607439</v>
      </c>
      <c r="E1020">
        <v>2.4764735017335302E-4</v>
      </c>
      <c r="F1020" t="s">
        <v>306</v>
      </c>
    </row>
    <row r="1021" spans="1:6" x14ac:dyDescent="0.2">
      <c r="A1021" t="s">
        <v>212</v>
      </c>
      <c r="B1021" t="s">
        <v>60</v>
      </c>
      <c r="C1021">
        <v>8076</v>
      </c>
      <c r="D1021">
        <v>-1.76280285607439</v>
      </c>
      <c r="E1021">
        <v>2.4764735017335302E-4</v>
      </c>
      <c r="F1021" t="s">
        <v>306</v>
      </c>
    </row>
    <row r="1022" spans="1:6" x14ac:dyDescent="0.2">
      <c r="A1022" t="s">
        <v>107</v>
      </c>
      <c r="B1022" t="s">
        <v>111</v>
      </c>
      <c r="C1022">
        <v>8076</v>
      </c>
      <c r="D1022">
        <v>-1.76280285607439</v>
      </c>
      <c r="E1022">
        <v>2.4764735017335302E-4</v>
      </c>
      <c r="F1022" t="s">
        <v>306</v>
      </c>
    </row>
    <row r="1023" spans="1:6" x14ac:dyDescent="0.2">
      <c r="A1023" t="s">
        <v>67</v>
      </c>
      <c r="B1023" t="s">
        <v>28</v>
      </c>
      <c r="C1023">
        <v>8076</v>
      </c>
      <c r="D1023">
        <v>-1.76280285607439</v>
      </c>
      <c r="E1023">
        <v>2.4764735017335302E-4</v>
      </c>
      <c r="F1023" t="s">
        <v>306</v>
      </c>
    </row>
    <row r="1024" spans="1:6" x14ac:dyDescent="0.2">
      <c r="A1024" t="s">
        <v>37</v>
      </c>
      <c r="B1024" t="s">
        <v>25</v>
      </c>
      <c r="C1024">
        <v>8076</v>
      </c>
      <c r="D1024">
        <v>-1.76280285607439</v>
      </c>
      <c r="E1024">
        <v>2.4764735017335302E-4</v>
      </c>
      <c r="F1024" t="s">
        <v>306</v>
      </c>
    </row>
    <row r="1025" spans="1:6" x14ac:dyDescent="0.2">
      <c r="A1025" t="s">
        <v>100</v>
      </c>
      <c r="B1025" t="s">
        <v>125</v>
      </c>
      <c r="C1025">
        <v>8076</v>
      </c>
      <c r="D1025">
        <v>-1.76280285607439</v>
      </c>
      <c r="E1025">
        <v>2.4764735017335302E-4</v>
      </c>
      <c r="F1025" t="s">
        <v>306</v>
      </c>
    </row>
    <row r="1026" spans="1:6" x14ac:dyDescent="0.2">
      <c r="A1026" t="s">
        <v>58</v>
      </c>
      <c r="B1026" t="s">
        <v>53</v>
      </c>
      <c r="C1026">
        <v>8076</v>
      </c>
      <c r="D1026">
        <v>-1.76280285607439</v>
      </c>
      <c r="E1026">
        <v>2.4764735017335302E-4</v>
      </c>
      <c r="F1026" t="s">
        <v>306</v>
      </c>
    </row>
    <row r="1027" spans="1:6" x14ac:dyDescent="0.2">
      <c r="A1027" t="s">
        <v>67</v>
      </c>
      <c r="B1027" t="s">
        <v>104</v>
      </c>
      <c r="C1027">
        <v>8076</v>
      </c>
      <c r="D1027">
        <v>-1.76280285607439</v>
      </c>
      <c r="E1027">
        <v>2.4764735017335302E-4</v>
      </c>
      <c r="F1027" t="s">
        <v>306</v>
      </c>
    </row>
    <row r="1028" spans="1:6" x14ac:dyDescent="0.2">
      <c r="A1028" t="s">
        <v>62</v>
      </c>
      <c r="B1028" t="s">
        <v>92</v>
      </c>
      <c r="C1028">
        <v>8076</v>
      </c>
      <c r="D1028">
        <v>-1.76280285607439</v>
      </c>
      <c r="E1028">
        <v>2.4764735017335302E-4</v>
      </c>
      <c r="F1028" t="s">
        <v>306</v>
      </c>
    </row>
    <row r="1029" spans="1:6" x14ac:dyDescent="0.2">
      <c r="A1029" t="s">
        <v>90</v>
      </c>
      <c r="B1029" t="s">
        <v>61</v>
      </c>
      <c r="C1029">
        <v>8076</v>
      </c>
      <c r="D1029">
        <v>-1.76280285607439</v>
      </c>
      <c r="E1029">
        <v>2.4764735017335302E-4</v>
      </c>
      <c r="F1029" t="s">
        <v>306</v>
      </c>
    </row>
    <row r="1030" spans="1:6" x14ac:dyDescent="0.2">
      <c r="A1030" t="s">
        <v>187</v>
      </c>
      <c r="B1030" t="s">
        <v>177</v>
      </c>
      <c r="C1030">
        <v>8076</v>
      </c>
      <c r="D1030">
        <v>-1.76280285607439</v>
      </c>
      <c r="E1030">
        <v>2.4764735017335302E-4</v>
      </c>
      <c r="F1030" t="s">
        <v>306</v>
      </c>
    </row>
    <row r="1031" spans="1:6" x14ac:dyDescent="0.2">
      <c r="A1031" t="s">
        <v>104</v>
      </c>
      <c r="B1031" t="s">
        <v>50</v>
      </c>
      <c r="C1031">
        <v>8076</v>
      </c>
      <c r="D1031">
        <v>-1.76280285607439</v>
      </c>
      <c r="E1031">
        <v>2.4764735017335302E-4</v>
      </c>
      <c r="F1031" t="s">
        <v>306</v>
      </c>
    </row>
    <row r="1032" spans="1:6" x14ac:dyDescent="0.2">
      <c r="A1032" t="s">
        <v>74</v>
      </c>
      <c r="B1032" t="s">
        <v>38</v>
      </c>
      <c r="C1032">
        <v>8076</v>
      </c>
      <c r="D1032">
        <v>-1.76280285607439</v>
      </c>
      <c r="E1032">
        <v>2.4764735017335302E-4</v>
      </c>
      <c r="F1032" t="s">
        <v>306</v>
      </c>
    </row>
    <row r="1033" spans="1:6" x14ac:dyDescent="0.2">
      <c r="A1033" t="s">
        <v>28</v>
      </c>
      <c r="B1033" t="s">
        <v>61</v>
      </c>
      <c r="C1033">
        <v>8076</v>
      </c>
      <c r="D1033">
        <v>-1.76280285607439</v>
      </c>
      <c r="E1033">
        <v>2.4764735017335302E-4</v>
      </c>
      <c r="F1033" t="s">
        <v>306</v>
      </c>
    </row>
    <row r="1034" spans="1:6" x14ac:dyDescent="0.2">
      <c r="A1034" t="s">
        <v>126</v>
      </c>
      <c r="B1034" t="s">
        <v>61</v>
      </c>
      <c r="C1034">
        <v>8076</v>
      </c>
      <c r="D1034">
        <v>-1.76280285607439</v>
      </c>
      <c r="E1034">
        <v>2.4764735017335302E-4</v>
      </c>
      <c r="F1034" t="s">
        <v>306</v>
      </c>
    </row>
    <row r="1035" spans="1:6" x14ac:dyDescent="0.2">
      <c r="A1035" t="s">
        <v>107</v>
      </c>
      <c r="B1035" t="s">
        <v>123</v>
      </c>
      <c r="C1035">
        <v>8076</v>
      </c>
      <c r="D1035">
        <v>-1.76280285607439</v>
      </c>
      <c r="E1035">
        <v>2.4764735017335302E-4</v>
      </c>
      <c r="F1035" t="s">
        <v>306</v>
      </c>
    </row>
    <row r="1036" spans="1:6" x14ac:dyDescent="0.2">
      <c r="A1036" t="s">
        <v>90</v>
      </c>
      <c r="B1036" t="s">
        <v>177</v>
      </c>
      <c r="C1036">
        <v>8076</v>
      </c>
      <c r="D1036">
        <v>-1.76280285607439</v>
      </c>
      <c r="E1036">
        <v>2.4764735017335302E-4</v>
      </c>
      <c r="F1036" t="s">
        <v>306</v>
      </c>
    </row>
    <row r="1037" spans="1:6" x14ac:dyDescent="0.2">
      <c r="A1037" t="s">
        <v>59</v>
      </c>
      <c r="B1037" t="s">
        <v>175</v>
      </c>
      <c r="C1037">
        <v>8076</v>
      </c>
      <c r="D1037">
        <v>-1.76280285607439</v>
      </c>
      <c r="E1037">
        <v>2.4764735017335302E-4</v>
      </c>
      <c r="F1037" t="s">
        <v>306</v>
      </c>
    </row>
    <row r="1038" spans="1:6" x14ac:dyDescent="0.2">
      <c r="A1038" t="s">
        <v>73</v>
      </c>
      <c r="B1038" t="s">
        <v>193</v>
      </c>
      <c r="C1038">
        <v>8076</v>
      </c>
      <c r="D1038">
        <v>-1.76280285607439</v>
      </c>
      <c r="E1038">
        <v>2.4764735017335302E-4</v>
      </c>
      <c r="F1038" t="s">
        <v>306</v>
      </c>
    </row>
    <row r="1039" spans="1:6" x14ac:dyDescent="0.2">
      <c r="A1039" t="s">
        <v>58</v>
      </c>
      <c r="B1039" t="s">
        <v>45</v>
      </c>
      <c r="C1039">
        <v>8076</v>
      </c>
      <c r="D1039">
        <v>-1.76280285607439</v>
      </c>
      <c r="E1039">
        <v>2.4764735017335302E-4</v>
      </c>
      <c r="F1039" t="s">
        <v>306</v>
      </c>
    </row>
    <row r="1040" spans="1:6" x14ac:dyDescent="0.2">
      <c r="A1040" t="s">
        <v>95</v>
      </c>
      <c r="B1040" t="s">
        <v>50</v>
      </c>
      <c r="C1040">
        <v>8076</v>
      </c>
      <c r="D1040">
        <v>-1.76280285607439</v>
      </c>
      <c r="E1040">
        <v>2.4764735017335302E-4</v>
      </c>
      <c r="F1040" t="s">
        <v>306</v>
      </c>
    </row>
    <row r="1041" spans="1:6" x14ac:dyDescent="0.2">
      <c r="A1041" t="s">
        <v>163</v>
      </c>
      <c r="B1041" t="s">
        <v>94</v>
      </c>
      <c r="C1041">
        <v>8076</v>
      </c>
      <c r="D1041">
        <v>-1.76280285607439</v>
      </c>
      <c r="E1041">
        <v>2.4764735017335302E-4</v>
      </c>
      <c r="F1041" t="s">
        <v>306</v>
      </c>
    </row>
    <row r="1042" spans="1:6" x14ac:dyDescent="0.2">
      <c r="A1042" t="s">
        <v>67</v>
      </c>
      <c r="B1042" t="s">
        <v>61</v>
      </c>
      <c r="C1042">
        <v>8076</v>
      </c>
      <c r="D1042">
        <v>-1.76280285607439</v>
      </c>
      <c r="E1042">
        <v>2.4764735017335302E-4</v>
      </c>
      <c r="F1042" t="s">
        <v>306</v>
      </c>
    </row>
    <row r="1043" spans="1:6" x14ac:dyDescent="0.2">
      <c r="A1043" t="s">
        <v>129</v>
      </c>
      <c r="B1043" t="s">
        <v>61</v>
      </c>
      <c r="C1043">
        <v>8076</v>
      </c>
      <c r="D1043">
        <v>-1.76280285607439</v>
      </c>
      <c r="E1043">
        <v>2.4764735017335302E-4</v>
      </c>
      <c r="F1043" t="s">
        <v>306</v>
      </c>
    </row>
    <row r="1044" spans="1:6" x14ac:dyDescent="0.2">
      <c r="A1044" t="s">
        <v>94</v>
      </c>
      <c r="B1044" t="s">
        <v>62</v>
      </c>
      <c r="C1044">
        <v>8076</v>
      </c>
      <c r="D1044">
        <v>-1.76280285607439</v>
      </c>
      <c r="E1044">
        <v>2.4764735017335302E-4</v>
      </c>
      <c r="F1044" t="s">
        <v>306</v>
      </c>
    </row>
    <row r="1045" spans="1:6" x14ac:dyDescent="0.2">
      <c r="A1045" t="s">
        <v>73</v>
      </c>
      <c r="B1045" t="s">
        <v>100</v>
      </c>
      <c r="C1045">
        <v>8076</v>
      </c>
      <c r="D1045">
        <v>-1.76280285607439</v>
      </c>
      <c r="E1045">
        <v>2.4764735017335302E-4</v>
      </c>
      <c r="F1045" t="s">
        <v>306</v>
      </c>
    </row>
    <row r="1046" spans="1:6" x14ac:dyDescent="0.2">
      <c r="A1046" t="s">
        <v>212</v>
      </c>
      <c r="B1046" t="s">
        <v>100</v>
      </c>
      <c r="C1046">
        <v>8076</v>
      </c>
      <c r="D1046">
        <v>-1.76280285607439</v>
      </c>
      <c r="E1046">
        <v>2.4764735017335302E-4</v>
      </c>
      <c r="F1046" t="s">
        <v>306</v>
      </c>
    </row>
    <row r="1047" spans="1:6" x14ac:dyDescent="0.2">
      <c r="A1047" t="s">
        <v>60</v>
      </c>
      <c r="B1047" t="s">
        <v>25</v>
      </c>
      <c r="C1047">
        <v>8076</v>
      </c>
      <c r="D1047">
        <v>-1.76280285607439</v>
      </c>
      <c r="E1047">
        <v>2.4764735017335302E-4</v>
      </c>
      <c r="F1047" t="s">
        <v>306</v>
      </c>
    </row>
    <row r="1048" spans="1:6" x14ac:dyDescent="0.2">
      <c r="A1048" t="s">
        <v>102</v>
      </c>
      <c r="B1048" t="s">
        <v>45</v>
      </c>
      <c r="C1048">
        <v>8076</v>
      </c>
      <c r="D1048">
        <v>-1.76280285607439</v>
      </c>
      <c r="E1048">
        <v>2.4764735017335302E-4</v>
      </c>
      <c r="F1048" t="s">
        <v>306</v>
      </c>
    </row>
    <row r="1049" spans="1:6" x14ac:dyDescent="0.2">
      <c r="A1049" t="s">
        <v>45</v>
      </c>
      <c r="B1049" t="s">
        <v>28</v>
      </c>
      <c r="C1049">
        <v>8076</v>
      </c>
      <c r="D1049">
        <v>-1.76280285607439</v>
      </c>
      <c r="E1049">
        <v>2.4764735017335302E-4</v>
      </c>
      <c r="F1049" t="s">
        <v>306</v>
      </c>
    </row>
    <row r="1050" spans="1:6" x14ac:dyDescent="0.2">
      <c r="A1050" t="s">
        <v>107</v>
      </c>
      <c r="B1050" t="s">
        <v>187</v>
      </c>
      <c r="C1050">
        <v>8076</v>
      </c>
      <c r="D1050">
        <v>-1.76280285607439</v>
      </c>
      <c r="E1050">
        <v>2.4764735017335302E-4</v>
      </c>
      <c r="F1050" t="s">
        <v>306</v>
      </c>
    </row>
    <row r="1051" spans="1:6" x14ac:dyDescent="0.2">
      <c r="A1051" t="s">
        <v>92</v>
      </c>
      <c r="B1051" t="s">
        <v>120</v>
      </c>
      <c r="C1051">
        <v>8076</v>
      </c>
      <c r="D1051">
        <v>-1.76280285607439</v>
      </c>
      <c r="E1051">
        <v>2.4764735017335302E-4</v>
      </c>
      <c r="F1051" t="s">
        <v>306</v>
      </c>
    </row>
    <row r="1052" spans="1:6" x14ac:dyDescent="0.2">
      <c r="A1052" t="s">
        <v>90</v>
      </c>
      <c r="B1052" t="s">
        <v>129</v>
      </c>
      <c r="C1052">
        <v>8076</v>
      </c>
      <c r="D1052">
        <v>-1.76280285607439</v>
      </c>
      <c r="E1052">
        <v>2.4764735017335302E-4</v>
      </c>
      <c r="F1052" t="s">
        <v>306</v>
      </c>
    </row>
    <row r="1053" spans="1:6" x14ac:dyDescent="0.2">
      <c r="A1053" t="s">
        <v>193</v>
      </c>
      <c r="B1053" t="s">
        <v>92</v>
      </c>
      <c r="C1053">
        <v>8076</v>
      </c>
      <c r="D1053">
        <v>-1.76280285607439</v>
      </c>
      <c r="E1053">
        <v>2.4764735017335302E-4</v>
      </c>
      <c r="F1053" t="s">
        <v>306</v>
      </c>
    </row>
    <row r="1054" spans="1:6" x14ac:dyDescent="0.2">
      <c r="A1054" t="s">
        <v>92</v>
      </c>
      <c r="B1054" t="s">
        <v>189</v>
      </c>
      <c r="C1054">
        <v>8076</v>
      </c>
      <c r="D1054">
        <v>-1.76280285607439</v>
      </c>
      <c r="E1054">
        <v>2.4764735017335302E-4</v>
      </c>
      <c r="F1054" t="s">
        <v>306</v>
      </c>
    </row>
    <row r="1055" spans="1:6" x14ac:dyDescent="0.2">
      <c r="A1055" t="s">
        <v>94</v>
      </c>
      <c r="B1055" t="s">
        <v>106</v>
      </c>
      <c r="C1055">
        <v>8076</v>
      </c>
      <c r="D1055">
        <v>-1.76280285607439</v>
      </c>
      <c r="E1055">
        <v>2.4764735017335302E-4</v>
      </c>
      <c r="F1055" t="s">
        <v>306</v>
      </c>
    </row>
    <row r="1056" spans="1:6" x14ac:dyDescent="0.2">
      <c r="A1056" t="s">
        <v>67</v>
      </c>
      <c r="B1056" t="s">
        <v>102</v>
      </c>
      <c r="C1056">
        <v>8076</v>
      </c>
      <c r="D1056">
        <v>-1.76280285607439</v>
      </c>
      <c r="E1056">
        <v>2.4764735017335302E-4</v>
      </c>
      <c r="F1056" t="s">
        <v>306</v>
      </c>
    </row>
    <row r="1057" spans="1:6" x14ac:dyDescent="0.2">
      <c r="A1057" t="s">
        <v>50</v>
      </c>
      <c r="B1057" t="s">
        <v>28</v>
      </c>
      <c r="C1057">
        <v>8076</v>
      </c>
      <c r="D1057">
        <v>-1.76280285607439</v>
      </c>
      <c r="E1057">
        <v>2.4764735017335302E-4</v>
      </c>
      <c r="F1057" t="s">
        <v>306</v>
      </c>
    </row>
    <row r="1058" spans="1:6" x14ac:dyDescent="0.2">
      <c r="A1058" t="s">
        <v>126</v>
      </c>
      <c r="B1058" t="s">
        <v>120</v>
      </c>
      <c r="C1058">
        <v>8076</v>
      </c>
      <c r="D1058">
        <v>-1.76280285607439</v>
      </c>
      <c r="E1058">
        <v>2.4764735017335302E-4</v>
      </c>
      <c r="F1058" t="s">
        <v>306</v>
      </c>
    </row>
    <row r="1059" spans="1:6" x14ac:dyDescent="0.2">
      <c r="A1059" t="s">
        <v>126</v>
      </c>
      <c r="B1059" t="s">
        <v>66</v>
      </c>
      <c r="C1059">
        <v>8076</v>
      </c>
      <c r="D1059">
        <v>-1.76280285607439</v>
      </c>
      <c r="E1059">
        <v>2.4764735017335302E-4</v>
      </c>
      <c r="F1059" t="s">
        <v>306</v>
      </c>
    </row>
    <row r="1060" spans="1:6" x14ac:dyDescent="0.2">
      <c r="A1060" t="s">
        <v>32</v>
      </c>
      <c r="B1060" t="s">
        <v>61</v>
      </c>
      <c r="C1060">
        <v>8076</v>
      </c>
      <c r="D1060">
        <v>-1.76280285607439</v>
      </c>
      <c r="E1060">
        <v>2.4764735017335302E-4</v>
      </c>
      <c r="F1060" t="s">
        <v>306</v>
      </c>
    </row>
    <row r="1061" spans="1:6" x14ac:dyDescent="0.2">
      <c r="A1061" t="s">
        <v>123</v>
      </c>
      <c r="B1061" t="s">
        <v>129</v>
      </c>
      <c r="C1061">
        <v>8076</v>
      </c>
      <c r="D1061">
        <v>-1.76280285607439</v>
      </c>
      <c r="E1061">
        <v>2.4764735017335302E-4</v>
      </c>
      <c r="F1061" t="s">
        <v>306</v>
      </c>
    </row>
    <row r="1062" spans="1:6" x14ac:dyDescent="0.2">
      <c r="A1062" t="s">
        <v>123</v>
      </c>
      <c r="B1062" t="s">
        <v>25</v>
      </c>
      <c r="C1062">
        <v>8076</v>
      </c>
      <c r="D1062">
        <v>-1.76280285607439</v>
      </c>
      <c r="E1062">
        <v>2.4764735017335302E-4</v>
      </c>
      <c r="F1062" t="s">
        <v>306</v>
      </c>
    </row>
    <row r="1063" spans="1:6" x14ac:dyDescent="0.2">
      <c r="A1063" t="s">
        <v>125</v>
      </c>
      <c r="B1063" t="s">
        <v>53</v>
      </c>
      <c r="C1063">
        <v>8076</v>
      </c>
      <c r="D1063">
        <v>-1.76280285607439</v>
      </c>
      <c r="E1063">
        <v>2.4764735017335302E-4</v>
      </c>
      <c r="F1063" t="s">
        <v>306</v>
      </c>
    </row>
    <row r="1064" spans="1:6" x14ac:dyDescent="0.2">
      <c r="A1064" t="s">
        <v>58</v>
      </c>
      <c r="B1064" t="s">
        <v>100</v>
      </c>
      <c r="C1064">
        <v>8076</v>
      </c>
      <c r="D1064">
        <v>-1.76280285607439</v>
      </c>
      <c r="E1064">
        <v>2.4764735017335302E-4</v>
      </c>
      <c r="F1064" t="s">
        <v>306</v>
      </c>
    </row>
    <row r="1065" spans="1:6" x14ac:dyDescent="0.2">
      <c r="A1065" t="s">
        <v>58</v>
      </c>
      <c r="B1065" t="s">
        <v>28</v>
      </c>
      <c r="C1065">
        <v>8076</v>
      </c>
      <c r="D1065">
        <v>-1.76280285607439</v>
      </c>
      <c r="E1065">
        <v>2.4764735017335302E-4</v>
      </c>
      <c r="F1065" t="s">
        <v>306</v>
      </c>
    </row>
    <row r="1066" spans="1:6" x14ac:dyDescent="0.2">
      <c r="A1066" t="s">
        <v>193</v>
      </c>
      <c r="B1066" t="s">
        <v>53</v>
      </c>
      <c r="C1066">
        <v>8076</v>
      </c>
      <c r="D1066">
        <v>-1.76280285607439</v>
      </c>
      <c r="E1066">
        <v>2.4764735017335302E-4</v>
      </c>
      <c r="F1066" t="s">
        <v>306</v>
      </c>
    </row>
    <row r="1067" spans="1:6" x14ac:dyDescent="0.2">
      <c r="A1067" t="s">
        <v>58</v>
      </c>
      <c r="B1067" t="s">
        <v>36</v>
      </c>
      <c r="C1067">
        <v>8076</v>
      </c>
      <c r="D1067">
        <v>-1.76280285607439</v>
      </c>
      <c r="E1067">
        <v>2.4764735017335302E-4</v>
      </c>
      <c r="F1067" t="s">
        <v>306</v>
      </c>
    </row>
    <row r="1068" spans="1:6" x14ac:dyDescent="0.2">
      <c r="A1068" t="s">
        <v>60</v>
      </c>
      <c r="B1068" t="s">
        <v>37</v>
      </c>
      <c r="C1068">
        <v>8076</v>
      </c>
      <c r="D1068">
        <v>-1.76280285607439</v>
      </c>
      <c r="E1068">
        <v>2.4764735017335302E-4</v>
      </c>
      <c r="F1068" t="s">
        <v>306</v>
      </c>
    </row>
    <row r="1069" spans="1:6" x14ac:dyDescent="0.2">
      <c r="A1069" t="s">
        <v>59</v>
      </c>
      <c r="B1069" t="s">
        <v>83</v>
      </c>
      <c r="C1069">
        <v>8076</v>
      </c>
      <c r="D1069">
        <v>-1.76280285607439</v>
      </c>
      <c r="E1069">
        <v>2.4764735017335302E-4</v>
      </c>
      <c r="F1069" t="s">
        <v>306</v>
      </c>
    </row>
    <row r="1070" spans="1:6" x14ac:dyDescent="0.2">
      <c r="A1070" t="s">
        <v>95</v>
      </c>
      <c r="B1070" t="s">
        <v>74</v>
      </c>
      <c r="C1070">
        <v>8076</v>
      </c>
      <c r="D1070">
        <v>-1.76280285607439</v>
      </c>
      <c r="E1070">
        <v>2.4764735017335302E-4</v>
      </c>
      <c r="F1070" t="s">
        <v>306</v>
      </c>
    </row>
    <row r="1071" spans="1:6" x14ac:dyDescent="0.2">
      <c r="A1071" t="s">
        <v>100</v>
      </c>
      <c r="B1071" t="s">
        <v>189</v>
      </c>
      <c r="C1071">
        <v>8076</v>
      </c>
      <c r="D1071">
        <v>-1.76280285607439</v>
      </c>
      <c r="E1071">
        <v>2.4764735017335302E-4</v>
      </c>
      <c r="F1071" t="s">
        <v>306</v>
      </c>
    </row>
    <row r="1072" spans="1:6" x14ac:dyDescent="0.2">
      <c r="A1072" t="s">
        <v>36</v>
      </c>
      <c r="B1072" t="s">
        <v>92</v>
      </c>
      <c r="C1072">
        <v>8076</v>
      </c>
      <c r="D1072">
        <v>-1.76280285607439</v>
      </c>
      <c r="E1072">
        <v>2.4764735017335302E-4</v>
      </c>
      <c r="F1072" t="s">
        <v>306</v>
      </c>
    </row>
    <row r="1073" spans="1:6" x14ac:dyDescent="0.2">
      <c r="A1073" t="s">
        <v>25</v>
      </c>
      <c r="B1073" t="s">
        <v>38</v>
      </c>
      <c r="C1073">
        <v>8076</v>
      </c>
      <c r="D1073">
        <v>-1.76280285607439</v>
      </c>
      <c r="E1073">
        <v>2.4764735017335302E-4</v>
      </c>
      <c r="F1073" t="s">
        <v>306</v>
      </c>
    </row>
    <row r="1074" spans="1:6" x14ac:dyDescent="0.2">
      <c r="A1074" t="s">
        <v>163</v>
      </c>
      <c r="B1074" t="s">
        <v>62</v>
      </c>
      <c r="C1074">
        <v>8076</v>
      </c>
      <c r="D1074">
        <v>-1.76280285607439</v>
      </c>
      <c r="E1074">
        <v>2.4764735017335302E-4</v>
      </c>
      <c r="F1074" t="s">
        <v>306</v>
      </c>
    </row>
    <row r="1075" spans="1:6" x14ac:dyDescent="0.2">
      <c r="A1075" t="s">
        <v>212</v>
      </c>
      <c r="B1075" t="s">
        <v>108</v>
      </c>
      <c r="C1075">
        <v>8076</v>
      </c>
      <c r="D1075">
        <v>-1.76280285607439</v>
      </c>
      <c r="E1075">
        <v>2.4764735017335302E-4</v>
      </c>
      <c r="F1075" t="s">
        <v>306</v>
      </c>
    </row>
    <row r="1076" spans="1:6" x14ac:dyDescent="0.2">
      <c r="A1076" t="s">
        <v>94</v>
      </c>
      <c r="B1076" t="s">
        <v>17</v>
      </c>
      <c r="C1076">
        <v>8076</v>
      </c>
      <c r="D1076">
        <v>-1.76280285607439</v>
      </c>
      <c r="E1076">
        <v>2.4764735017335302E-4</v>
      </c>
      <c r="F1076" t="s">
        <v>306</v>
      </c>
    </row>
    <row r="1077" spans="1:6" x14ac:dyDescent="0.2">
      <c r="A1077" t="s">
        <v>125</v>
      </c>
      <c r="B1077" t="s">
        <v>79</v>
      </c>
      <c r="C1077">
        <v>8076</v>
      </c>
      <c r="D1077">
        <v>-1.76280285607439</v>
      </c>
      <c r="E1077">
        <v>2.4764735017335302E-4</v>
      </c>
      <c r="F1077" t="s">
        <v>306</v>
      </c>
    </row>
    <row r="1078" spans="1:6" x14ac:dyDescent="0.2">
      <c r="A1078" t="s">
        <v>67</v>
      </c>
      <c r="B1078" t="s">
        <v>100</v>
      </c>
      <c r="C1078">
        <v>8076</v>
      </c>
      <c r="D1078">
        <v>-1.76280285607439</v>
      </c>
      <c r="E1078">
        <v>2.4764735017335302E-4</v>
      </c>
      <c r="F1078" t="s">
        <v>306</v>
      </c>
    </row>
    <row r="1079" spans="1:6" x14ac:dyDescent="0.2">
      <c r="A1079" t="s">
        <v>100</v>
      </c>
      <c r="B1079" t="s">
        <v>66</v>
      </c>
      <c r="C1079">
        <v>8076</v>
      </c>
      <c r="D1079">
        <v>-1.76280285607439</v>
      </c>
      <c r="E1079">
        <v>2.4764735017335302E-4</v>
      </c>
      <c r="F1079" t="s">
        <v>306</v>
      </c>
    </row>
    <row r="1080" spans="1:6" x14ac:dyDescent="0.2">
      <c r="A1080" t="s">
        <v>123</v>
      </c>
      <c r="B1080" t="s">
        <v>83</v>
      </c>
      <c r="C1080">
        <v>8076</v>
      </c>
      <c r="D1080">
        <v>-1.76280285607439</v>
      </c>
      <c r="E1080">
        <v>2.4764735017335302E-4</v>
      </c>
      <c r="F1080" t="s">
        <v>306</v>
      </c>
    </row>
    <row r="1081" spans="1:6" x14ac:dyDescent="0.2">
      <c r="A1081" t="s">
        <v>125</v>
      </c>
      <c r="B1081" t="s">
        <v>60</v>
      </c>
      <c r="C1081">
        <v>8076</v>
      </c>
      <c r="D1081">
        <v>-1.76280285607439</v>
      </c>
      <c r="E1081">
        <v>2.4764735017335302E-4</v>
      </c>
      <c r="F1081" t="s">
        <v>306</v>
      </c>
    </row>
    <row r="1082" spans="1:6" x14ac:dyDescent="0.2">
      <c r="A1082" t="s">
        <v>59</v>
      </c>
      <c r="B1082" t="s">
        <v>66</v>
      </c>
      <c r="C1082">
        <v>8076</v>
      </c>
      <c r="D1082">
        <v>-1.76280285607439</v>
      </c>
      <c r="E1082">
        <v>2.4764735017335302E-4</v>
      </c>
      <c r="F1082" t="s">
        <v>306</v>
      </c>
    </row>
    <row r="1083" spans="1:6" x14ac:dyDescent="0.2">
      <c r="A1083" t="s">
        <v>37</v>
      </c>
      <c r="B1083" t="s">
        <v>120</v>
      </c>
      <c r="C1083">
        <v>8076</v>
      </c>
      <c r="D1083">
        <v>-1.76280285607439</v>
      </c>
      <c r="E1083">
        <v>2.4764735017335302E-4</v>
      </c>
      <c r="F1083" t="s">
        <v>306</v>
      </c>
    </row>
    <row r="1084" spans="1:6" x14ac:dyDescent="0.2">
      <c r="A1084" t="s">
        <v>106</v>
      </c>
      <c r="B1084" t="s">
        <v>66</v>
      </c>
      <c r="C1084">
        <v>8076</v>
      </c>
      <c r="D1084">
        <v>-1.76280285607439</v>
      </c>
      <c r="E1084">
        <v>2.4764735017335302E-4</v>
      </c>
      <c r="F1084" t="s">
        <v>306</v>
      </c>
    </row>
    <row r="1085" spans="1:6" x14ac:dyDescent="0.2">
      <c r="A1085" t="s">
        <v>94</v>
      </c>
      <c r="B1085" t="s">
        <v>187</v>
      </c>
      <c r="C1085">
        <v>8076</v>
      </c>
      <c r="D1085">
        <v>-1.76280285607439</v>
      </c>
      <c r="E1085">
        <v>2.4764735017335302E-4</v>
      </c>
      <c r="F1085" t="s">
        <v>306</v>
      </c>
    </row>
    <row r="1086" spans="1:6" x14ac:dyDescent="0.2">
      <c r="A1086" t="s">
        <v>59</v>
      </c>
      <c r="B1086" t="s">
        <v>123</v>
      </c>
      <c r="C1086">
        <v>8076</v>
      </c>
      <c r="D1086">
        <v>-1.76280285607439</v>
      </c>
      <c r="E1086">
        <v>2.4764735017335302E-4</v>
      </c>
      <c r="F1086" t="s">
        <v>306</v>
      </c>
    </row>
    <row r="1087" spans="1:6" x14ac:dyDescent="0.2">
      <c r="A1087" t="s">
        <v>212</v>
      </c>
      <c r="B1087" t="s">
        <v>90</v>
      </c>
      <c r="C1087">
        <v>8076</v>
      </c>
      <c r="D1087">
        <v>-1.76280285607439</v>
      </c>
      <c r="E1087">
        <v>2.4764735017335302E-4</v>
      </c>
      <c r="F1087" t="s">
        <v>306</v>
      </c>
    </row>
    <row r="1088" spans="1:6" x14ac:dyDescent="0.2">
      <c r="A1088" t="s">
        <v>73</v>
      </c>
      <c r="B1088" t="s">
        <v>32</v>
      </c>
      <c r="C1088">
        <v>8076</v>
      </c>
      <c r="D1088">
        <v>-1.76280285607439</v>
      </c>
      <c r="E1088">
        <v>2.4764735017335302E-4</v>
      </c>
      <c r="F1088" t="s">
        <v>306</v>
      </c>
    </row>
    <row r="1089" spans="1:6" x14ac:dyDescent="0.2">
      <c r="A1089" t="s">
        <v>104</v>
      </c>
      <c r="B1089" t="s">
        <v>177</v>
      </c>
      <c r="C1089">
        <v>8076</v>
      </c>
      <c r="D1089">
        <v>-1.76280285607439</v>
      </c>
      <c r="E1089">
        <v>2.4764735017335302E-4</v>
      </c>
      <c r="F1089" t="s">
        <v>306</v>
      </c>
    </row>
    <row r="1090" spans="1:6" x14ac:dyDescent="0.2">
      <c r="A1090" t="s">
        <v>177</v>
      </c>
      <c r="B1090" t="s">
        <v>114</v>
      </c>
      <c r="C1090">
        <v>8076</v>
      </c>
      <c r="D1090">
        <v>-1.76280285607439</v>
      </c>
      <c r="E1090">
        <v>2.4764735017335302E-4</v>
      </c>
      <c r="F1090" t="s">
        <v>306</v>
      </c>
    </row>
    <row r="1091" spans="1:6" x14ac:dyDescent="0.2">
      <c r="A1091" t="s">
        <v>92</v>
      </c>
      <c r="B1091" t="s">
        <v>83</v>
      </c>
      <c r="C1091">
        <v>8076</v>
      </c>
      <c r="D1091">
        <v>-1.76280285607439</v>
      </c>
      <c r="E1091">
        <v>2.4764735017335302E-4</v>
      </c>
      <c r="F1091" t="s">
        <v>306</v>
      </c>
    </row>
    <row r="1092" spans="1:6" x14ac:dyDescent="0.2">
      <c r="A1092" t="s">
        <v>58</v>
      </c>
      <c r="B1092" t="s">
        <v>37</v>
      </c>
      <c r="C1092">
        <v>8076</v>
      </c>
      <c r="D1092">
        <v>-1.76280285607439</v>
      </c>
      <c r="E1092">
        <v>2.4764735017335302E-4</v>
      </c>
      <c r="F1092" t="s">
        <v>306</v>
      </c>
    </row>
    <row r="1093" spans="1:6" x14ac:dyDescent="0.2">
      <c r="A1093" t="s">
        <v>28</v>
      </c>
      <c r="B1093" t="s">
        <v>66</v>
      </c>
      <c r="C1093">
        <v>8076</v>
      </c>
      <c r="D1093">
        <v>-1.76280285607439</v>
      </c>
      <c r="E1093">
        <v>2.4764735017335302E-4</v>
      </c>
      <c r="F1093" t="s">
        <v>306</v>
      </c>
    </row>
    <row r="1094" spans="1:6" x14ac:dyDescent="0.2">
      <c r="A1094" t="s">
        <v>95</v>
      </c>
      <c r="B1094" t="s">
        <v>126</v>
      </c>
      <c r="C1094">
        <v>8076</v>
      </c>
      <c r="D1094">
        <v>-1.76280285607439</v>
      </c>
      <c r="E1094">
        <v>2.4764735017335302E-4</v>
      </c>
      <c r="F1094" t="s">
        <v>306</v>
      </c>
    </row>
    <row r="1095" spans="1:6" x14ac:dyDescent="0.2">
      <c r="A1095" t="s">
        <v>58</v>
      </c>
      <c r="B1095" t="s">
        <v>67</v>
      </c>
      <c r="C1095">
        <v>8076</v>
      </c>
      <c r="D1095">
        <v>-1.76280285607439</v>
      </c>
      <c r="E1095">
        <v>2.4764735017335302E-4</v>
      </c>
      <c r="F1095" t="s">
        <v>306</v>
      </c>
    </row>
    <row r="1096" spans="1:6" x14ac:dyDescent="0.2">
      <c r="A1096" t="s">
        <v>95</v>
      </c>
      <c r="B1096" t="s">
        <v>61</v>
      </c>
      <c r="C1096">
        <v>8076</v>
      </c>
      <c r="D1096">
        <v>-1.76280285607439</v>
      </c>
      <c r="E1096">
        <v>2.4764735017335302E-4</v>
      </c>
      <c r="F1096" t="s">
        <v>306</v>
      </c>
    </row>
    <row r="1097" spans="1:6" x14ac:dyDescent="0.2">
      <c r="A1097" t="s">
        <v>107</v>
      </c>
      <c r="B1097" t="s">
        <v>92</v>
      </c>
      <c r="C1097">
        <v>8076</v>
      </c>
      <c r="D1097">
        <v>-1.76280285607439</v>
      </c>
      <c r="E1097">
        <v>2.4764735017335302E-4</v>
      </c>
      <c r="F1097" t="s">
        <v>306</v>
      </c>
    </row>
    <row r="1098" spans="1:6" x14ac:dyDescent="0.2">
      <c r="A1098" t="s">
        <v>94</v>
      </c>
      <c r="B1098" t="s">
        <v>189</v>
      </c>
      <c r="C1098">
        <v>8076</v>
      </c>
      <c r="D1098">
        <v>-1.76280285607439</v>
      </c>
      <c r="E1098">
        <v>2.4764735017335302E-4</v>
      </c>
      <c r="F1098" t="s">
        <v>306</v>
      </c>
    </row>
    <row r="1099" spans="1:6" x14ac:dyDescent="0.2">
      <c r="A1099" t="s">
        <v>74</v>
      </c>
      <c r="B1099" t="s">
        <v>175</v>
      </c>
      <c r="C1099">
        <v>8076</v>
      </c>
      <c r="D1099">
        <v>-1.76280285607439</v>
      </c>
      <c r="E1099">
        <v>2.4764735017335302E-4</v>
      </c>
      <c r="F1099" t="s">
        <v>306</v>
      </c>
    </row>
    <row r="1100" spans="1:6" x14ac:dyDescent="0.2">
      <c r="A1100" t="s">
        <v>126</v>
      </c>
      <c r="B1100" t="s">
        <v>28</v>
      </c>
      <c r="C1100">
        <v>8076</v>
      </c>
      <c r="D1100">
        <v>-1.76280285607439</v>
      </c>
      <c r="E1100">
        <v>2.4764735017335302E-4</v>
      </c>
      <c r="F1100" t="s">
        <v>306</v>
      </c>
    </row>
    <row r="1101" spans="1:6" x14ac:dyDescent="0.2">
      <c r="A1101" t="s">
        <v>92</v>
      </c>
      <c r="B1101" t="s">
        <v>114</v>
      </c>
      <c r="C1101">
        <v>8076</v>
      </c>
      <c r="D1101">
        <v>-1.76280285607439</v>
      </c>
      <c r="E1101">
        <v>2.4764735017335302E-4</v>
      </c>
      <c r="F1101" t="s">
        <v>306</v>
      </c>
    </row>
    <row r="1102" spans="1:6" x14ac:dyDescent="0.2">
      <c r="A1102" t="s">
        <v>100</v>
      </c>
      <c r="B1102" t="s">
        <v>25</v>
      </c>
      <c r="C1102">
        <v>8076</v>
      </c>
      <c r="D1102">
        <v>-1.76280285607439</v>
      </c>
      <c r="E1102">
        <v>2.4764735017335302E-4</v>
      </c>
      <c r="F1102" t="s">
        <v>306</v>
      </c>
    </row>
    <row r="1103" spans="1:6" x14ac:dyDescent="0.2">
      <c r="A1103" t="s">
        <v>37</v>
      </c>
      <c r="B1103" t="s">
        <v>108</v>
      </c>
      <c r="C1103">
        <v>8076</v>
      </c>
      <c r="D1103">
        <v>-1.76280285607439</v>
      </c>
      <c r="E1103">
        <v>2.4764735017335302E-4</v>
      </c>
      <c r="F1103" t="s">
        <v>306</v>
      </c>
    </row>
    <row r="1104" spans="1:6" x14ac:dyDescent="0.2">
      <c r="A1104" t="s">
        <v>62</v>
      </c>
      <c r="B1104" t="s">
        <v>59</v>
      </c>
      <c r="C1104">
        <v>8076</v>
      </c>
      <c r="D1104">
        <v>-1.76280285607439</v>
      </c>
      <c r="E1104">
        <v>2.4764735017335302E-4</v>
      </c>
      <c r="F1104" t="s">
        <v>306</v>
      </c>
    </row>
    <row r="1105" spans="1:6" x14ac:dyDescent="0.2">
      <c r="A1105" t="s">
        <v>193</v>
      </c>
      <c r="B1105" t="s">
        <v>177</v>
      </c>
      <c r="C1105">
        <v>8076</v>
      </c>
      <c r="D1105">
        <v>-1.76280285607439</v>
      </c>
      <c r="E1105">
        <v>2.4764735017335302E-4</v>
      </c>
      <c r="F1105" t="s">
        <v>306</v>
      </c>
    </row>
    <row r="1106" spans="1:6" x14ac:dyDescent="0.2">
      <c r="A1106" t="s">
        <v>107</v>
      </c>
      <c r="B1106" t="s">
        <v>61</v>
      </c>
      <c r="C1106">
        <v>8076</v>
      </c>
      <c r="D1106">
        <v>-1.76280285607439</v>
      </c>
      <c r="E1106">
        <v>2.4764735017335302E-4</v>
      </c>
      <c r="F1106" t="s">
        <v>306</v>
      </c>
    </row>
    <row r="1107" spans="1:6" x14ac:dyDescent="0.2">
      <c r="A1107" t="s">
        <v>102</v>
      </c>
      <c r="B1107" t="s">
        <v>59</v>
      </c>
      <c r="C1107">
        <v>8076</v>
      </c>
      <c r="D1107">
        <v>-1.76280285607439</v>
      </c>
      <c r="E1107">
        <v>2.4764735017335302E-4</v>
      </c>
      <c r="F1107" t="s">
        <v>306</v>
      </c>
    </row>
    <row r="1108" spans="1:6" x14ac:dyDescent="0.2">
      <c r="A1108" t="s">
        <v>102</v>
      </c>
      <c r="B1108" t="s">
        <v>100</v>
      </c>
      <c r="C1108">
        <v>8076</v>
      </c>
      <c r="D1108">
        <v>-1.76280285607439</v>
      </c>
      <c r="E1108">
        <v>2.4764735017335302E-4</v>
      </c>
      <c r="F1108" t="s">
        <v>306</v>
      </c>
    </row>
    <row r="1109" spans="1:6" x14ac:dyDescent="0.2">
      <c r="A1109" t="s">
        <v>124</v>
      </c>
      <c r="B1109" t="s">
        <v>106</v>
      </c>
      <c r="C1109">
        <v>8076</v>
      </c>
      <c r="D1109">
        <v>-1.76280285607439</v>
      </c>
      <c r="E1109">
        <v>2.4764735017335302E-4</v>
      </c>
      <c r="F1109" t="s">
        <v>306</v>
      </c>
    </row>
    <row r="1110" spans="1:6" x14ac:dyDescent="0.2">
      <c r="A1110" t="s">
        <v>189</v>
      </c>
      <c r="B1110" t="s">
        <v>129</v>
      </c>
      <c r="C1110">
        <v>8076</v>
      </c>
      <c r="D1110">
        <v>-1.76280285607439</v>
      </c>
      <c r="E1110">
        <v>2.4764735017335302E-4</v>
      </c>
      <c r="F1110" t="s">
        <v>306</v>
      </c>
    </row>
    <row r="1111" spans="1:6" x14ac:dyDescent="0.2">
      <c r="A1111" t="s">
        <v>107</v>
      </c>
      <c r="B1111" t="s">
        <v>74</v>
      </c>
      <c r="C1111">
        <v>8076</v>
      </c>
      <c r="D1111">
        <v>-1.76280285607439</v>
      </c>
      <c r="E1111">
        <v>2.4764735017335302E-4</v>
      </c>
      <c r="F1111" t="s">
        <v>306</v>
      </c>
    </row>
    <row r="1112" spans="1:6" x14ac:dyDescent="0.2">
      <c r="A1112" t="s">
        <v>36</v>
      </c>
      <c r="B1112" t="s">
        <v>32</v>
      </c>
      <c r="C1112">
        <v>8076</v>
      </c>
      <c r="D1112">
        <v>-1.76280285607439</v>
      </c>
      <c r="E1112">
        <v>2.4764735017335302E-4</v>
      </c>
      <c r="F1112" t="s">
        <v>306</v>
      </c>
    </row>
    <row r="1113" spans="1:6" x14ac:dyDescent="0.2">
      <c r="A1113" t="s">
        <v>212</v>
      </c>
      <c r="B1113" t="s">
        <v>79</v>
      </c>
      <c r="C1113">
        <v>8076</v>
      </c>
      <c r="D1113">
        <v>-1.76280285607439</v>
      </c>
      <c r="E1113">
        <v>2.4764735017335302E-4</v>
      </c>
      <c r="F1113" t="s">
        <v>306</v>
      </c>
    </row>
    <row r="1114" spans="1:6" x14ac:dyDescent="0.2">
      <c r="A1114" t="s">
        <v>60</v>
      </c>
      <c r="B1114" t="s">
        <v>177</v>
      </c>
      <c r="C1114">
        <v>8076</v>
      </c>
      <c r="D1114">
        <v>-1.76280285607439</v>
      </c>
      <c r="E1114">
        <v>2.4764735017335302E-4</v>
      </c>
      <c r="F1114" t="s">
        <v>306</v>
      </c>
    </row>
    <row r="1115" spans="1:6" x14ac:dyDescent="0.2">
      <c r="A1115" t="s">
        <v>124</v>
      </c>
      <c r="B1115" t="s">
        <v>67</v>
      </c>
      <c r="C1115">
        <v>8076</v>
      </c>
      <c r="D1115">
        <v>-1.76280285607439</v>
      </c>
      <c r="E1115">
        <v>2.4764735017335302E-4</v>
      </c>
      <c r="F1115" t="s">
        <v>306</v>
      </c>
    </row>
    <row r="1116" spans="1:6" x14ac:dyDescent="0.2">
      <c r="A1116" t="s">
        <v>94</v>
      </c>
      <c r="B1116" t="s">
        <v>120</v>
      </c>
      <c r="C1116">
        <v>8076</v>
      </c>
      <c r="D1116">
        <v>-1.76280285607439</v>
      </c>
      <c r="E1116">
        <v>2.4764735017335302E-4</v>
      </c>
      <c r="F1116" t="s">
        <v>306</v>
      </c>
    </row>
    <row r="1117" spans="1:6" x14ac:dyDescent="0.2">
      <c r="A1117" t="s">
        <v>58</v>
      </c>
      <c r="B1117" t="s">
        <v>83</v>
      </c>
      <c r="C1117">
        <v>8076</v>
      </c>
      <c r="D1117">
        <v>-1.76280285607439</v>
      </c>
      <c r="E1117">
        <v>2.4764735017335302E-4</v>
      </c>
      <c r="F1117" t="s">
        <v>306</v>
      </c>
    </row>
    <row r="1118" spans="1:6" x14ac:dyDescent="0.2">
      <c r="A1118" t="s">
        <v>100</v>
      </c>
      <c r="B1118" t="s">
        <v>17</v>
      </c>
      <c r="C1118">
        <v>8076</v>
      </c>
      <c r="D1118">
        <v>-1.76280285607439</v>
      </c>
      <c r="E1118">
        <v>2.4764735017335302E-4</v>
      </c>
      <c r="F1118" t="s">
        <v>306</v>
      </c>
    </row>
    <row r="1119" spans="1:6" x14ac:dyDescent="0.2">
      <c r="A1119" t="s">
        <v>59</v>
      </c>
      <c r="B1119" t="s">
        <v>177</v>
      </c>
      <c r="C1119">
        <v>8076</v>
      </c>
      <c r="D1119">
        <v>-1.76280285607439</v>
      </c>
      <c r="E1119">
        <v>2.4764735017335302E-4</v>
      </c>
      <c r="F1119" t="s">
        <v>306</v>
      </c>
    </row>
    <row r="1120" spans="1:6" x14ac:dyDescent="0.2">
      <c r="A1120" t="s">
        <v>163</v>
      </c>
      <c r="B1120" t="s">
        <v>126</v>
      </c>
      <c r="C1120">
        <v>8076</v>
      </c>
      <c r="D1120">
        <v>-1.76280285607439</v>
      </c>
      <c r="E1120">
        <v>2.4764735017335302E-4</v>
      </c>
      <c r="F1120" t="s">
        <v>306</v>
      </c>
    </row>
    <row r="1121" spans="1:6" x14ac:dyDescent="0.2">
      <c r="A1121" t="s">
        <v>104</v>
      </c>
      <c r="B1121" t="s">
        <v>32</v>
      </c>
      <c r="C1121">
        <v>8076</v>
      </c>
      <c r="D1121">
        <v>-1.76280285607439</v>
      </c>
      <c r="E1121">
        <v>2.4764735017335302E-4</v>
      </c>
      <c r="F1121" t="s">
        <v>306</v>
      </c>
    </row>
    <row r="1122" spans="1:6" x14ac:dyDescent="0.2">
      <c r="A1122" t="s">
        <v>79</v>
      </c>
      <c r="B1122" t="s">
        <v>106</v>
      </c>
      <c r="C1122">
        <v>8076</v>
      </c>
      <c r="D1122">
        <v>-1.76280285607439</v>
      </c>
      <c r="E1122">
        <v>2.4764735017335302E-4</v>
      </c>
      <c r="F1122" t="s">
        <v>306</v>
      </c>
    </row>
    <row r="1123" spans="1:6" x14ac:dyDescent="0.2">
      <c r="A1123" t="s">
        <v>187</v>
      </c>
      <c r="B1123" t="s">
        <v>92</v>
      </c>
      <c r="C1123">
        <v>8076</v>
      </c>
      <c r="D1123">
        <v>-1.76280285607439</v>
      </c>
      <c r="E1123">
        <v>2.4764735017335302E-4</v>
      </c>
      <c r="F1123" t="s">
        <v>306</v>
      </c>
    </row>
    <row r="1124" spans="1:6" x14ac:dyDescent="0.2">
      <c r="A1124" t="s">
        <v>193</v>
      </c>
      <c r="B1124" t="s">
        <v>45</v>
      </c>
      <c r="C1124">
        <v>8076</v>
      </c>
      <c r="D1124">
        <v>-1.76280285607439</v>
      </c>
      <c r="E1124">
        <v>2.4764735017335302E-4</v>
      </c>
      <c r="F1124" t="s">
        <v>306</v>
      </c>
    </row>
    <row r="1125" spans="1:6" x14ac:dyDescent="0.2">
      <c r="A1125" t="s">
        <v>73</v>
      </c>
      <c r="B1125" t="s">
        <v>45</v>
      </c>
      <c r="C1125">
        <v>8076</v>
      </c>
      <c r="D1125">
        <v>-1.76280285607439</v>
      </c>
      <c r="E1125">
        <v>2.4764735017335302E-4</v>
      </c>
      <c r="F1125" t="s">
        <v>306</v>
      </c>
    </row>
    <row r="1126" spans="1:6" x14ac:dyDescent="0.2">
      <c r="A1126" t="s">
        <v>53</v>
      </c>
      <c r="B1126" t="s">
        <v>37</v>
      </c>
      <c r="C1126">
        <v>8076</v>
      </c>
      <c r="D1126">
        <v>-1.76280285607439</v>
      </c>
      <c r="E1126">
        <v>2.4764735017335302E-4</v>
      </c>
      <c r="F1126" t="s">
        <v>306</v>
      </c>
    </row>
    <row r="1127" spans="1:6" x14ac:dyDescent="0.2">
      <c r="A1127" t="s">
        <v>107</v>
      </c>
      <c r="B1127" t="s">
        <v>28</v>
      </c>
      <c r="C1127">
        <v>8076</v>
      </c>
      <c r="D1127">
        <v>-1.76280285607439</v>
      </c>
      <c r="E1127">
        <v>2.4764735017335302E-4</v>
      </c>
      <c r="F1127" t="s">
        <v>306</v>
      </c>
    </row>
    <row r="1128" spans="1:6" x14ac:dyDescent="0.2">
      <c r="A1128" t="s">
        <v>212</v>
      </c>
      <c r="B1128" t="s">
        <v>61</v>
      </c>
      <c r="C1128">
        <v>8076</v>
      </c>
      <c r="D1128">
        <v>-1.76280285607439</v>
      </c>
      <c r="E1128">
        <v>2.4764735017335302E-4</v>
      </c>
      <c r="F1128" t="s">
        <v>306</v>
      </c>
    </row>
    <row r="1129" spans="1:6" x14ac:dyDescent="0.2">
      <c r="A1129" t="s">
        <v>73</v>
      </c>
      <c r="B1129" t="s">
        <v>28</v>
      </c>
      <c r="C1129">
        <v>8076</v>
      </c>
      <c r="D1129">
        <v>-1.76280285607439</v>
      </c>
      <c r="E1129">
        <v>2.4764735017335302E-4</v>
      </c>
      <c r="F1129" t="s">
        <v>306</v>
      </c>
    </row>
    <row r="1130" spans="1:6" x14ac:dyDescent="0.2">
      <c r="A1130" t="s">
        <v>104</v>
      </c>
      <c r="B1130" t="s">
        <v>108</v>
      </c>
      <c r="C1130">
        <v>8076</v>
      </c>
      <c r="D1130">
        <v>-1.76280285607439</v>
      </c>
      <c r="E1130">
        <v>2.4764735017335302E-4</v>
      </c>
      <c r="F1130" t="s">
        <v>306</v>
      </c>
    </row>
    <row r="1131" spans="1:6" x14ac:dyDescent="0.2">
      <c r="A1131" t="s">
        <v>107</v>
      </c>
      <c r="B1131" t="s">
        <v>193</v>
      </c>
      <c r="C1131">
        <v>8076</v>
      </c>
      <c r="D1131">
        <v>-1.76280285607439</v>
      </c>
      <c r="E1131">
        <v>2.4764735017335302E-4</v>
      </c>
      <c r="F1131" t="s">
        <v>306</v>
      </c>
    </row>
    <row r="1132" spans="1:6" x14ac:dyDescent="0.2">
      <c r="A1132" t="s">
        <v>28</v>
      </c>
      <c r="B1132" t="s">
        <v>25</v>
      </c>
      <c r="C1132">
        <v>8076</v>
      </c>
      <c r="D1132">
        <v>-1.76280285607439</v>
      </c>
      <c r="E1132">
        <v>2.4764735017335302E-4</v>
      </c>
      <c r="F1132" t="s">
        <v>306</v>
      </c>
    </row>
    <row r="1133" spans="1:6" x14ac:dyDescent="0.2">
      <c r="A1133" t="s">
        <v>94</v>
      </c>
      <c r="B1133" t="s">
        <v>32</v>
      </c>
      <c r="C1133">
        <v>8076</v>
      </c>
      <c r="D1133">
        <v>-1.76280285607439</v>
      </c>
      <c r="E1133">
        <v>2.4764735017335302E-4</v>
      </c>
      <c r="F1133" t="s">
        <v>306</v>
      </c>
    </row>
    <row r="1134" spans="1:6" x14ac:dyDescent="0.2">
      <c r="A1134" t="s">
        <v>92</v>
      </c>
      <c r="B1134" t="s">
        <v>25</v>
      </c>
      <c r="C1134">
        <v>8076</v>
      </c>
      <c r="D1134">
        <v>-1.76280285607439</v>
      </c>
      <c r="E1134">
        <v>2.4764735017335302E-4</v>
      </c>
      <c r="F1134" t="s">
        <v>306</v>
      </c>
    </row>
    <row r="1135" spans="1:6" x14ac:dyDescent="0.2">
      <c r="A1135" t="s">
        <v>94</v>
      </c>
      <c r="B1135" t="s">
        <v>193</v>
      </c>
      <c r="C1135">
        <v>8076</v>
      </c>
      <c r="D1135">
        <v>-1.76280285607439</v>
      </c>
      <c r="E1135">
        <v>2.4764735017335302E-4</v>
      </c>
      <c r="F1135" t="s">
        <v>306</v>
      </c>
    </row>
    <row r="1136" spans="1:6" x14ac:dyDescent="0.2">
      <c r="A1136" t="s">
        <v>60</v>
      </c>
      <c r="B1136" t="s">
        <v>66</v>
      </c>
      <c r="C1136">
        <v>8076</v>
      </c>
      <c r="D1136">
        <v>-1.76280285607439</v>
      </c>
      <c r="E1136">
        <v>2.4764735017335302E-4</v>
      </c>
      <c r="F1136" t="s">
        <v>306</v>
      </c>
    </row>
    <row r="1137" spans="1:6" x14ac:dyDescent="0.2">
      <c r="A1137" t="s">
        <v>92</v>
      </c>
      <c r="B1137" t="s">
        <v>123</v>
      </c>
      <c r="C1137">
        <v>8076</v>
      </c>
      <c r="D1137">
        <v>-1.76280285607439</v>
      </c>
      <c r="E1137">
        <v>2.4764735017335302E-4</v>
      </c>
      <c r="F1137" t="s">
        <v>306</v>
      </c>
    </row>
    <row r="1138" spans="1:6" x14ac:dyDescent="0.2">
      <c r="A1138" t="s">
        <v>74</v>
      </c>
      <c r="B1138" t="s">
        <v>108</v>
      </c>
      <c r="C1138">
        <v>8076</v>
      </c>
      <c r="D1138">
        <v>-1.76280285607439</v>
      </c>
      <c r="E1138">
        <v>2.4764735017335302E-4</v>
      </c>
      <c r="F1138" t="s">
        <v>306</v>
      </c>
    </row>
    <row r="1139" spans="1:6" x14ac:dyDescent="0.2">
      <c r="A1139" t="s">
        <v>32</v>
      </c>
      <c r="B1139" t="s">
        <v>126</v>
      </c>
      <c r="C1139">
        <v>8076</v>
      </c>
      <c r="D1139">
        <v>-1.76280285607439</v>
      </c>
      <c r="E1139">
        <v>2.4764735017335302E-4</v>
      </c>
      <c r="F1139" t="s">
        <v>306</v>
      </c>
    </row>
    <row r="1140" spans="1:6" x14ac:dyDescent="0.2">
      <c r="A1140" t="s">
        <v>125</v>
      </c>
      <c r="B1140" t="s">
        <v>120</v>
      </c>
      <c r="C1140">
        <v>8076</v>
      </c>
      <c r="D1140">
        <v>-1.76280285607439</v>
      </c>
      <c r="E1140">
        <v>2.4764735017335302E-4</v>
      </c>
      <c r="F1140" t="s">
        <v>306</v>
      </c>
    </row>
    <row r="1141" spans="1:6" x14ac:dyDescent="0.2">
      <c r="A1141" t="s">
        <v>94</v>
      </c>
      <c r="B1141" t="s">
        <v>100</v>
      </c>
      <c r="C1141">
        <v>8076</v>
      </c>
      <c r="D1141">
        <v>-1.76280285607439</v>
      </c>
      <c r="E1141">
        <v>2.4764735017335302E-4</v>
      </c>
      <c r="F1141" t="s">
        <v>306</v>
      </c>
    </row>
    <row r="1142" spans="1:6" x14ac:dyDescent="0.2">
      <c r="A1142" t="s">
        <v>92</v>
      </c>
      <c r="B1142" t="s">
        <v>175</v>
      </c>
      <c r="C1142">
        <v>8076</v>
      </c>
      <c r="D1142">
        <v>-1.76280285607439</v>
      </c>
      <c r="E1142">
        <v>2.4764735017335302E-4</v>
      </c>
      <c r="F1142" t="s">
        <v>306</v>
      </c>
    </row>
    <row r="1143" spans="1:6" x14ac:dyDescent="0.2">
      <c r="A1143" t="s">
        <v>124</v>
      </c>
      <c r="B1143" t="s">
        <v>25</v>
      </c>
      <c r="C1143">
        <v>8076</v>
      </c>
      <c r="D1143">
        <v>-1.76280285607439</v>
      </c>
      <c r="E1143">
        <v>2.4764735017335302E-4</v>
      </c>
      <c r="F1143" t="s">
        <v>306</v>
      </c>
    </row>
    <row r="1144" spans="1:6" x14ac:dyDescent="0.2">
      <c r="A1144" t="s">
        <v>212</v>
      </c>
      <c r="B1144" t="s">
        <v>94</v>
      </c>
      <c r="C1144">
        <v>8076</v>
      </c>
      <c r="D1144">
        <v>-1.76280285607439</v>
      </c>
      <c r="E1144">
        <v>2.4764735017335302E-4</v>
      </c>
      <c r="F1144" t="s">
        <v>306</v>
      </c>
    </row>
    <row r="1145" spans="1:6" x14ac:dyDescent="0.2">
      <c r="A1145" t="s">
        <v>106</v>
      </c>
      <c r="B1145" t="s">
        <v>61</v>
      </c>
      <c r="C1145">
        <v>8076</v>
      </c>
      <c r="D1145">
        <v>-1.76280285607439</v>
      </c>
      <c r="E1145">
        <v>2.4764735017335302E-4</v>
      </c>
      <c r="F1145" t="s">
        <v>306</v>
      </c>
    </row>
    <row r="1146" spans="1:6" x14ac:dyDescent="0.2">
      <c r="A1146" t="s">
        <v>102</v>
      </c>
      <c r="B1146" t="s">
        <v>83</v>
      </c>
      <c r="C1146">
        <v>8076</v>
      </c>
      <c r="D1146">
        <v>-1.76280285607439</v>
      </c>
      <c r="E1146">
        <v>2.4764735017335302E-4</v>
      </c>
      <c r="F1146" t="s">
        <v>306</v>
      </c>
    </row>
    <row r="1147" spans="1:6" x14ac:dyDescent="0.2">
      <c r="A1147" t="s">
        <v>193</v>
      </c>
      <c r="B1147" t="s">
        <v>100</v>
      </c>
      <c r="C1147">
        <v>8076</v>
      </c>
      <c r="D1147">
        <v>-1.76280285607439</v>
      </c>
      <c r="E1147">
        <v>2.4764735017335302E-4</v>
      </c>
      <c r="F1147" t="s">
        <v>306</v>
      </c>
    </row>
    <row r="1148" spans="1:6" x14ac:dyDescent="0.2">
      <c r="A1148" t="s">
        <v>67</v>
      </c>
      <c r="B1148" t="s">
        <v>92</v>
      </c>
      <c r="C1148">
        <v>8076</v>
      </c>
      <c r="D1148">
        <v>-1.76280285607439</v>
      </c>
      <c r="E1148">
        <v>2.4764735017335302E-4</v>
      </c>
      <c r="F1148" t="s">
        <v>306</v>
      </c>
    </row>
    <row r="1149" spans="1:6" x14ac:dyDescent="0.2">
      <c r="A1149" t="s">
        <v>58</v>
      </c>
      <c r="B1149" t="s">
        <v>187</v>
      </c>
      <c r="C1149">
        <v>8076</v>
      </c>
      <c r="D1149">
        <v>-1.76280285607439</v>
      </c>
      <c r="E1149">
        <v>2.4764735017335302E-4</v>
      </c>
      <c r="F1149" t="s">
        <v>306</v>
      </c>
    </row>
    <row r="1150" spans="1:6" x14ac:dyDescent="0.2">
      <c r="A1150" t="s">
        <v>94</v>
      </c>
      <c r="B1150" t="s">
        <v>61</v>
      </c>
      <c r="C1150">
        <v>8076</v>
      </c>
      <c r="D1150">
        <v>-1.76280285607439</v>
      </c>
      <c r="E1150">
        <v>2.4764735017335302E-4</v>
      </c>
      <c r="F1150" t="s">
        <v>306</v>
      </c>
    </row>
    <row r="1151" spans="1:6" x14ac:dyDescent="0.2">
      <c r="A1151" t="s">
        <v>123</v>
      </c>
      <c r="B1151" t="s">
        <v>74</v>
      </c>
      <c r="C1151">
        <v>8076</v>
      </c>
      <c r="D1151">
        <v>-1.76280285607439</v>
      </c>
      <c r="E1151">
        <v>2.4764735017335302E-4</v>
      </c>
      <c r="F1151" t="s">
        <v>306</v>
      </c>
    </row>
    <row r="1152" spans="1:6" x14ac:dyDescent="0.2">
      <c r="A1152" t="s">
        <v>59</v>
      </c>
      <c r="B1152" t="s">
        <v>106</v>
      </c>
      <c r="C1152">
        <v>8076</v>
      </c>
      <c r="D1152">
        <v>-1.76280285607439</v>
      </c>
      <c r="E1152">
        <v>2.4764735017335302E-4</v>
      </c>
      <c r="F1152" t="s">
        <v>306</v>
      </c>
    </row>
    <row r="1153" spans="1:6" x14ac:dyDescent="0.2">
      <c r="A1153" t="s">
        <v>25</v>
      </c>
      <c r="B1153" t="s">
        <v>61</v>
      </c>
      <c r="C1153">
        <v>8076</v>
      </c>
      <c r="D1153">
        <v>-1.76280285607439</v>
      </c>
      <c r="E1153">
        <v>2.4764735017335302E-4</v>
      </c>
      <c r="F1153" t="s">
        <v>306</v>
      </c>
    </row>
    <row r="1154" spans="1:6" x14ac:dyDescent="0.2">
      <c r="A1154" t="s">
        <v>212</v>
      </c>
      <c r="B1154" t="s">
        <v>193</v>
      </c>
      <c r="C1154">
        <v>8076</v>
      </c>
      <c r="D1154">
        <v>-1.76280285607439</v>
      </c>
      <c r="E1154">
        <v>2.4764735017335302E-4</v>
      </c>
      <c r="F1154" t="s">
        <v>306</v>
      </c>
    </row>
    <row r="1155" spans="1:6" x14ac:dyDescent="0.2">
      <c r="A1155" t="s">
        <v>37</v>
      </c>
      <c r="B1155" t="s">
        <v>129</v>
      </c>
      <c r="C1155">
        <v>8076</v>
      </c>
      <c r="D1155">
        <v>-1.76280285607439</v>
      </c>
      <c r="E1155">
        <v>2.4764735017335302E-4</v>
      </c>
      <c r="F1155" t="s">
        <v>306</v>
      </c>
    </row>
    <row r="1156" spans="1:6" x14ac:dyDescent="0.2">
      <c r="A1156" t="s">
        <v>94</v>
      </c>
      <c r="B1156" t="s">
        <v>50</v>
      </c>
      <c r="C1156">
        <v>8076</v>
      </c>
      <c r="D1156">
        <v>-1.76280285607439</v>
      </c>
      <c r="E1156">
        <v>2.4764735017335302E-4</v>
      </c>
      <c r="F1156" t="s">
        <v>306</v>
      </c>
    </row>
    <row r="1157" spans="1:6" x14ac:dyDescent="0.2">
      <c r="A1157" t="s">
        <v>163</v>
      </c>
      <c r="B1157" t="s">
        <v>108</v>
      </c>
      <c r="C1157">
        <v>8076</v>
      </c>
      <c r="D1157">
        <v>-1.76280285607439</v>
      </c>
      <c r="E1157">
        <v>2.4764735017335302E-4</v>
      </c>
      <c r="F1157" t="s">
        <v>306</v>
      </c>
    </row>
    <row r="1158" spans="1:6" x14ac:dyDescent="0.2">
      <c r="A1158" t="s">
        <v>59</v>
      </c>
      <c r="B1158" t="s">
        <v>37</v>
      </c>
      <c r="C1158">
        <v>8076</v>
      </c>
      <c r="D1158">
        <v>-1.76280285607439</v>
      </c>
      <c r="E1158">
        <v>2.4764735017335302E-4</v>
      </c>
      <c r="F1158" t="s">
        <v>306</v>
      </c>
    </row>
    <row r="1159" spans="1:6" x14ac:dyDescent="0.2">
      <c r="A1159" t="s">
        <v>107</v>
      </c>
      <c r="B1159" t="s">
        <v>37</v>
      </c>
      <c r="C1159">
        <v>8076</v>
      </c>
      <c r="D1159">
        <v>-1.76280285607439</v>
      </c>
      <c r="E1159">
        <v>2.4764735017335302E-4</v>
      </c>
      <c r="F1159" t="s">
        <v>306</v>
      </c>
    </row>
    <row r="1160" spans="1:6" x14ac:dyDescent="0.2">
      <c r="A1160" t="s">
        <v>60</v>
      </c>
      <c r="B1160" t="s">
        <v>106</v>
      </c>
      <c r="C1160">
        <v>8076</v>
      </c>
      <c r="D1160">
        <v>-1.76280285607439</v>
      </c>
      <c r="E1160">
        <v>2.4764735017335302E-4</v>
      </c>
      <c r="F1160" t="s">
        <v>306</v>
      </c>
    </row>
    <row r="1161" spans="1:6" x14ac:dyDescent="0.2">
      <c r="A1161" t="s">
        <v>73</v>
      </c>
      <c r="B1161" t="s">
        <v>74</v>
      </c>
      <c r="C1161">
        <v>8076</v>
      </c>
      <c r="D1161">
        <v>-1.76280285607439</v>
      </c>
      <c r="E1161">
        <v>2.4764735017335302E-4</v>
      </c>
      <c r="F1161" t="s">
        <v>306</v>
      </c>
    </row>
    <row r="1162" spans="1:6" x14ac:dyDescent="0.2">
      <c r="A1162" t="s">
        <v>125</v>
      </c>
      <c r="B1162" t="s">
        <v>38</v>
      </c>
      <c r="C1162">
        <v>8076</v>
      </c>
      <c r="D1162">
        <v>-1.76280285607439</v>
      </c>
      <c r="E1162">
        <v>2.4764735017335302E-4</v>
      </c>
      <c r="F1162" t="s">
        <v>306</v>
      </c>
    </row>
    <row r="1163" spans="1:6" x14ac:dyDescent="0.2">
      <c r="A1163" t="s">
        <v>32</v>
      </c>
      <c r="B1163" t="s">
        <v>92</v>
      </c>
      <c r="C1163">
        <v>8076</v>
      </c>
      <c r="D1163">
        <v>-1.76280285607439</v>
      </c>
      <c r="E1163">
        <v>2.4764735017335302E-4</v>
      </c>
      <c r="F1163" t="s">
        <v>306</v>
      </c>
    </row>
    <row r="1164" spans="1:6" x14ac:dyDescent="0.2">
      <c r="A1164" t="s">
        <v>28</v>
      </c>
      <c r="B1164" t="s">
        <v>120</v>
      </c>
      <c r="C1164">
        <v>8076</v>
      </c>
      <c r="D1164">
        <v>-1.76280285607439</v>
      </c>
      <c r="E1164">
        <v>2.4764735017335302E-4</v>
      </c>
      <c r="F1164" t="s">
        <v>306</v>
      </c>
    </row>
    <row r="1165" spans="1:6" x14ac:dyDescent="0.2">
      <c r="A1165" t="s">
        <v>95</v>
      </c>
      <c r="B1165" t="s">
        <v>111</v>
      </c>
      <c r="C1165">
        <v>8076</v>
      </c>
      <c r="D1165">
        <v>-1.76280285607439</v>
      </c>
      <c r="E1165">
        <v>2.4764735017335302E-4</v>
      </c>
      <c r="F1165" t="s">
        <v>306</v>
      </c>
    </row>
    <row r="1166" spans="1:6" x14ac:dyDescent="0.2">
      <c r="A1166" t="s">
        <v>67</v>
      </c>
      <c r="B1166" t="s">
        <v>94</v>
      </c>
      <c r="C1166">
        <v>8076</v>
      </c>
      <c r="D1166">
        <v>-1.76280285607439</v>
      </c>
      <c r="E1166">
        <v>2.4764735017335302E-4</v>
      </c>
      <c r="F1166" t="s">
        <v>306</v>
      </c>
    </row>
    <row r="1167" spans="1:6" x14ac:dyDescent="0.2">
      <c r="A1167" t="s">
        <v>177</v>
      </c>
      <c r="B1167" t="s">
        <v>61</v>
      </c>
      <c r="C1167">
        <v>8076</v>
      </c>
      <c r="D1167">
        <v>-1.76280285607439</v>
      </c>
      <c r="E1167">
        <v>2.4764735017335302E-4</v>
      </c>
      <c r="F1167" t="s">
        <v>306</v>
      </c>
    </row>
    <row r="1168" spans="1:6" x14ac:dyDescent="0.2">
      <c r="A1168" t="s">
        <v>36</v>
      </c>
      <c r="B1168" t="s">
        <v>45</v>
      </c>
      <c r="C1168">
        <v>8076</v>
      </c>
      <c r="D1168">
        <v>-1.76280285607439</v>
      </c>
      <c r="E1168">
        <v>2.4764735017335302E-4</v>
      </c>
      <c r="F1168" t="s">
        <v>306</v>
      </c>
    </row>
    <row r="1169" spans="1:6" x14ac:dyDescent="0.2">
      <c r="A1169" t="s">
        <v>58</v>
      </c>
      <c r="B1169" t="s">
        <v>17</v>
      </c>
      <c r="C1169">
        <v>8076</v>
      </c>
      <c r="D1169">
        <v>-1.76280285607439</v>
      </c>
      <c r="E1169">
        <v>2.4764735017335302E-4</v>
      </c>
      <c r="F1169" t="s">
        <v>306</v>
      </c>
    </row>
    <row r="1170" spans="1:6" x14ac:dyDescent="0.2">
      <c r="A1170" t="s">
        <v>95</v>
      </c>
      <c r="B1170" t="s">
        <v>125</v>
      </c>
      <c r="C1170">
        <v>8076</v>
      </c>
      <c r="D1170">
        <v>-1.76280285607439</v>
      </c>
      <c r="E1170">
        <v>2.4764735017335302E-4</v>
      </c>
      <c r="F1170" t="s">
        <v>306</v>
      </c>
    </row>
    <row r="1171" spans="1:6" x14ac:dyDescent="0.2">
      <c r="A1171" t="s">
        <v>58</v>
      </c>
      <c r="B1171" t="s">
        <v>62</v>
      </c>
      <c r="C1171">
        <v>8076</v>
      </c>
      <c r="D1171">
        <v>-1.76280285607439</v>
      </c>
      <c r="E1171">
        <v>2.4764735017335302E-4</v>
      </c>
      <c r="F1171" t="s">
        <v>306</v>
      </c>
    </row>
    <row r="1172" spans="1:6" x14ac:dyDescent="0.2">
      <c r="A1172" t="s">
        <v>124</v>
      </c>
      <c r="B1172" t="s">
        <v>177</v>
      </c>
      <c r="C1172">
        <v>8076</v>
      </c>
      <c r="D1172">
        <v>-1.76280285607439</v>
      </c>
      <c r="E1172">
        <v>2.4764735017335302E-4</v>
      </c>
      <c r="F1172" t="s">
        <v>306</v>
      </c>
    </row>
    <row r="1173" spans="1:6" x14ac:dyDescent="0.2">
      <c r="A1173" t="s">
        <v>95</v>
      </c>
      <c r="B1173" t="s">
        <v>59</v>
      </c>
      <c r="C1173">
        <v>8076</v>
      </c>
      <c r="D1173">
        <v>-1.76280285607439</v>
      </c>
      <c r="E1173">
        <v>2.4764735017335302E-4</v>
      </c>
      <c r="F1173" t="s">
        <v>306</v>
      </c>
    </row>
    <row r="1174" spans="1:6" x14ac:dyDescent="0.2">
      <c r="A1174" t="s">
        <v>124</v>
      </c>
      <c r="B1174" t="s">
        <v>32</v>
      </c>
      <c r="C1174">
        <v>8076</v>
      </c>
      <c r="D1174">
        <v>-1.76280285607439</v>
      </c>
      <c r="E1174">
        <v>2.4764735017335302E-4</v>
      </c>
      <c r="F1174" t="s">
        <v>306</v>
      </c>
    </row>
    <row r="1175" spans="1:6" x14ac:dyDescent="0.2">
      <c r="A1175" t="s">
        <v>187</v>
      </c>
      <c r="B1175" t="s">
        <v>59</v>
      </c>
      <c r="C1175">
        <v>8076</v>
      </c>
      <c r="D1175">
        <v>-1.76280285607439</v>
      </c>
      <c r="E1175">
        <v>2.4764735017335302E-4</v>
      </c>
      <c r="F1175" t="s">
        <v>306</v>
      </c>
    </row>
    <row r="1176" spans="1:6" x14ac:dyDescent="0.2">
      <c r="A1176" t="s">
        <v>50</v>
      </c>
      <c r="B1176" t="s">
        <v>111</v>
      </c>
      <c r="C1176">
        <v>8076</v>
      </c>
      <c r="D1176">
        <v>-1.76280285607439</v>
      </c>
      <c r="E1176">
        <v>2.4764735017335302E-4</v>
      </c>
      <c r="F1176" t="s">
        <v>306</v>
      </c>
    </row>
    <row r="1177" spans="1:6" x14ac:dyDescent="0.2">
      <c r="A1177" t="s">
        <v>163</v>
      </c>
      <c r="B1177" t="s">
        <v>32</v>
      </c>
      <c r="C1177">
        <v>8076</v>
      </c>
      <c r="D1177">
        <v>-1.76280285607439</v>
      </c>
      <c r="E1177">
        <v>2.4764735017335302E-4</v>
      </c>
      <c r="F1177" t="s">
        <v>306</v>
      </c>
    </row>
    <row r="1178" spans="1:6" x14ac:dyDescent="0.2">
      <c r="A1178" t="s">
        <v>67</v>
      </c>
      <c r="B1178" t="s">
        <v>111</v>
      </c>
      <c r="C1178">
        <v>8076</v>
      </c>
      <c r="D1178">
        <v>-1.76280285607439</v>
      </c>
      <c r="E1178">
        <v>2.4764735017335302E-4</v>
      </c>
      <c r="F1178" t="s">
        <v>306</v>
      </c>
    </row>
    <row r="1179" spans="1:6" x14ac:dyDescent="0.2">
      <c r="A1179" t="s">
        <v>124</v>
      </c>
      <c r="B1179" t="s">
        <v>111</v>
      </c>
      <c r="C1179">
        <v>8076</v>
      </c>
      <c r="D1179">
        <v>-1.76280285607439</v>
      </c>
      <c r="E1179">
        <v>2.4764735017335302E-4</v>
      </c>
      <c r="F1179" t="s">
        <v>306</v>
      </c>
    </row>
    <row r="1180" spans="1:6" x14ac:dyDescent="0.2">
      <c r="A1180" t="s">
        <v>67</v>
      </c>
      <c r="B1180" t="s">
        <v>108</v>
      </c>
      <c r="C1180">
        <v>8076</v>
      </c>
      <c r="D1180">
        <v>-1.76280285607439</v>
      </c>
      <c r="E1180">
        <v>2.4764735017335302E-4</v>
      </c>
      <c r="F1180" t="s">
        <v>306</v>
      </c>
    </row>
    <row r="1181" spans="1:6" x14ac:dyDescent="0.2">
      <c r="A1181" t="s">
        <v>38</v>
      </c>
      <c r="B1181" t="s">
        <v>61</v>
      </c>
      <c r="C1181">
        <v>8076</v>
      </c>
      <c r="D1181">
        <v>-1.76280285607439</v>
      </c>
      <c r="E1181">
        <v>2.4764735017335302E-4</v>
      </c>
      <c r="F1181" t="s">
        <v>306</v>
      </c>
    </row>
    <row r="1182" spans="1:6" x14ac:dyDescent="0.2">
      <c r="A1182" t="s">
        <v>104</v>
      </c>
      <c r="B1182" t="s">
        <v>45</v>
      </c>
      <c r="C1182">
        <v>8076</v>
      </c>
      <c r="D1182">
        <v>-1.76280285607439</v>
      </c>
      <c r="E1182">
        <v>2.4764735017335302E-4</v>
      </c>
      <c r="F1182" t="s">
        <v>306</v>
      </c>
    </row>
    <row r="1183" spans="1:6" x14ac:dyDescent="0.2">
      <c r="A1183" t="s">
        <v>189</v>
      </c>
      <c r="B1183" t="s">
        <v>120</v>
      </c>
      <c r="C1183">
        <v>8076</v>
      </c>
      <c r="D1183">
        <v>-1.76280285607439</v>
      </c>
      <c r="E1183">
        <v>2.4764735017335302E-4</v>
      </c>
      <c r="F1183" t="s">
        <v>306</v>
      </c>
    </row>
    <row r="1184" spans="1:6" x14ac:dyDescent="0.2">
      <c r="A1184" t="s">
        <v>73</v>
      </c>
      <c r="B1184" t="s">
        <v>60</v>
      </c>
      <c r="C1184">
        <v>8076</v>
      </c>
      <c r="D1184">
        <v>-1.76280285607439</v>
      </c>
      <c r="E1184">
        <v>2.4764735017335302E-4</v>
      </c>
      <c r="F1184" t="s">
        <v>306</v>
      </c>
    </row>
    <row r="1185" spans="1:6" x14ac:dyDescent="0.2">
      <c r="A1185" t="s">
        <v>102</v>
      </c>
      <c r="B1185" t="s">
        <v>32</v>
      </c>
      <c r="C1185">
        <v>8076</v>
      </c>
      <c r="D1185">
        <v>-1.76280285607439</v>
      </c>
      <c r="E1185">
        <v>2.4764735017335302E-4</v>
      </c>
      <c r="F1185" t="s">
        <v>306</v>
      </c>
    </row>
    <row r="1186" spans="1:6" x14ac:dyDescent="0.2">
      <c r="A1186" t="s">
        <v>53</v>
      </c>
      <c r="B1186" t="s">
        <v>189</v>
      </c>
      <c r="C1186">
        <v>8076</v>
      </c>
      <c r="D1186">
        <v>-1.76280285607439</v>
      </c>
      <c r="E1186">
        <v>2.4764735017335302E-4</v>
      </c>
      <c r="F1186" t="s">
        <v>306</v>
      </c>
    </row>
    <row r="1187" spans="1:6" x14ac:dyDescent="0.2">
      <c r="A1187" t="s">
        <v>163</v>
      </c>
      <c r="B1187" t="s">
        <v>36</v>
      </c>
      <c r="C1187">
        <v>8076</v>
      </c>
      <c r="D1187">
        <v>-1.76280285607439</v>
      </c>
      <c r="E1187">
        <v>2.4764735017335302E-4</v>
      </c>
      <c r="F1187" t="s">
        <v>306</v>
      </c>
    </row>
    <row r="1188" spans="1:6" x14ac:dyDescent="0.2">
      <c r="A1188" t="s">
        <v>59</v>
      </c>
      <c r="B1188" t="s">
        <v>61</v>
      </c>
      <c r="C1188">
        <v>8076</v>
      </c>
      <c r="D1188">
        <v>-1.76280285607439</v>
      </c>
      <c r="E1188">
        <v>2.4764735017335302E-4</v>
      </c>
      <c r="F1188" t="s">
        <v>306</v>
      </c>
    </row>
    <row r="1189" spans="1:6" x14ac:dyDescent="0.2">
      <c r="A1189" t="s">
        <v>100</v>
      </c>
      <c r="B1189" t="s">
        <v>120</v>
      </c>
      <c r="C1189">
        <v>8076</v>
      </c>
      <c r="D1189">
        <v>-1.76280285607439</v>
      </c>
      <c r="E1189">
        <v>2.4764735017335302E-4</v>
      </c>
      <c r="F1189" t="s">
        <v>306</v>
      </c>
    </row>
    <row r="1190" spans="1:6" x14ac:dyDescent="0.2">
      <c r="A1190" t="s">
        <v>94</v>
      </c>
      <c r="B1190" t="s">
        <v>175</v>
      </c>
      <c r="C1190">
        <v>8076</v>
      </c>
      <c r="D1190">
        <v>-1.76280285607439</v>
      </c>
      <c r="E1190">
        <v>2.4764735017335302E-4</v>
      </c>
      <c r="F1190" t="s">
        <v>306</v>
      </c>
    </row>
    <row r="1191" spans="1:6" x14ac:dyDescent="0.2">
      <c r="A1191" t="s">
        <v>124</v>
      </c>
      <c r="B1191" t="s">
        <v>58</v>
      </c>
      <c r="C1191">
        <v>8076</v>
      </c>
      <c r="D1191">
        <v>-1.76280285607439</v>
      </c>
      <c r="E1191">
        <v>2.4764735017335302E-4</v>
      </c>
      <c r="F1191" t="s">
        <v>306</v>
      </c>
    </row>
    <row r="1192" spans="1:6" x14ac:dyDescent="0.2">
      <c r="A1192" t="s">
        <v>59</v>
      </c>
      <c r="B1192" t="s">
        <v>28</v>
      </c>
      <c r="C1192">
        <v>8076</v>
      </c>
      <c r="D1192">
        <v>-1.76280285607439</v>
      </c>
      <c r="E1192">
        <v>2.4764735017335302E-4</v>
      </c>
      <c r="F1192" t="s">
        <v>306</v>
      </c>
    </row>
    <row r="1193" spans="1:6" x14ac:dyDescent="0.2">
      <c r="A1193" t="s">
        <v>32</v>
      </c>
      <c r="B1193" t="s">
        <v>60</v>
      </c>
      <c r="C1193">
        <v>8076</v>
      </c>
      <c r="D1193">
        <v>-1.76280285607439</v>
      </c>
      <c r="E1193">
        <v>2.4764735017335302E-4</v>
      </c>
      <c r="F1193" t="s">
        <v>306</v>
      </c>
    </row>
    <row r="1194" spans="1:6" x14ac:dyDescent="0.2">
      <c r="A1194" t="s">
        <v>67</v>
      </c>
      <c r="B1194" t="s">
        <v>123</v>
      </c>
      <c r="C1194">
        <v>8076</v>
      </c>
      <c r="D1194">
        <v>-1.76280285607439</v>
      </c>
      <c r="E1194">
        <v>2.4764735017335302E-4</v>
      </c>
      <c r="F1194" t="s">
        <v>306</v>
      </c>
    </row>
    <row r="1195" spans="1:6" x14ac:dyDescent="0.2">
      <c r="A1195" t="s">
        <v>95</v>
      </c>
      <c r="B1195" t="s">
        <v>107</v>
      </c>
      <c r="C1195">
        <v>8076</v>
      </c>
      <c r="D1195">
        <v>-1.76280285607439</v>
      </c>
      <c r="E1195">
        <v>2.4764735017335302E-4</v>
      </c>
      <c r="F1195" t="s">
        <v>306</v>
      </c>
    </row>
    <row r="1196" spans="1:6" x14ac:dyDescent="0.2">
      <c r="A1196" t="s">
        <v>94</v>
      </c>
      <c r="B1196" t="s">
        <v>104</v>
      </c>
      <c r="C1196">
        <v>8076</v>
      </c>
      <c r="D1196">
        <v>-1.76280285607439</v>
      </c>
      <c r="E1196">
        <v>2.4764735017335302E-4</v>
      </c>
      <c r="F1196" t="s">
        <v>306</v>
      </c>
    </row>
    <row r="1197" spans="1:6" x14ac:dyDescent="0.2">
      <c r="A1197" t="s">
        <v>123</v>
      </c>
      <c r="B1197" t="s">
        <v>106</v>
      </c>
      <c r="C1197">
        <v>8076</v>
      </c>
      <c r="D1197">
        <v>-1.76280285607439</v>
      </c>
      <c r="E1197">
        <v>2.4764735017335302E-4</v>
      </c>
      <c r="F1197" t="s">
        <v>306</v>
      </c>
    </row>
    <row r="1198" spans="1:6" x14ac:dyDescent="0.2">
      <c r="A1198" t="s">
        <v>95</v>
      </c>
      <c r="B1198" t="s">
        <v>60</v>
      </c>
      <c r="C1198">
        <v>8076</v>
      </c>
      <c r="D1198">
        <v>-1.76280285607439</v>
      </c>
      <c r="E1198">
        <v>2.4764735017335302E-4</v>
      </c>
      <c r="F1198" t="s">
        <v>306</v>
      </c>
    </row>
    <row r="1199" spans="1:6" x14ac:dyDescent="0.2">
      <c r="A1199" t="s">
        <v>124</v>
      </c>
      <c r="B1199" t="s">
        <v>94</v>
      </c>
      <c r="C1199">
        <v>8076</v>
      </c>
      <c r="D1199">
        <v>-1.76280285607439</v>
      </c>
      <c r="E1199">
        <v>2.4764735017335302E-4</v>
      </c>
      <c r="F1199" t="s">
        <v>306</v>
      </c>
    </row>
    <row r="1200" spans="1:6" x14ac:dyDescent="0.2">
      <c r="A1200" t="s">
        <v>90</v>
      </c>
      <c r="B1200" t="s">
        <v>28</v>
      </c>
      <c r="C1200">
        <v>8076</v>
      </c>
      <c r="D1200">
        <v>-1.76280285607439</v>
      </c>
      <c r="E1200">
        <v>2.4764735017335302E-4</v>
      </c>
      <c r="F1200" t="s">
        <v>306</v>
      </c>
    </row>
    <row r="1201" spans="1:6" x14ac:dyDescent="0.2">
      <c r="A1201" t="s">
        <v>125</v>
      </c>
      <c r="B1201" t="s">
        <v>189</v>
      </c>
      <c r="C1201">
        <v>8076</v>
      </c>
      <c r="D1201">
        <v>-1.76280285607439</v>
      </c>
      <c r="E1201">
        <v>2.4764735017335302E-4</v>
      </c>
      <c r="F1201" t="s">
        <v>306</v>
      </c>
    </row>
    <row r="1202" spans="1:6" x14ac:dyDescent="0.2">
      <c r="A1202" t="s">
        <v>114</v>
      </c>
      <c r="B1202" t="s">
        <v>108</v>
      </c>
      <c r="C1202">
        <v>8076</v>
      </c>
      <c r="D1202">
        <v>-1.76280285607439</v>
      </c>
      <c r="E1202">
        <v>2.4764735017335302E-4</v>
      </c>
      <c r="F1202" t="s">
        <v>306</v>
      </c>
    </row>
    <row r="1203" spans="1:6" x14ac:dyDescent="0.2">
      <c r="A1203" t="s">
        <v>124</v>
      </c>
      <c r="B1203" t="s">
        <v>95</v>
      </c>
      <c r="C1203">
        <v>8076</v>
      </c>
      <c r="D1203">
        <v>-1.76280285607439</v>
      </c>
      <c r="E1203">
        <v>2.4764735017335302E-4</v>
      </c>
      <c r="F1203" t="s">
        <v>306</v>
      </c>
    </row>
    <row r="1204" spans="1:6" x14ac:dyDescent="0.2">
      <c r="A1204" t="s">
        <v>104</v>
      </c>
      <c r="B1204" t="s">
        <v>61</v>
      </c>
      <c r="C1204">
        <v>8076</v>
      </c>
      <c r="D1204">
        <v>-1.76280285607439</v>
      </c>
      <c r="E1204">
        <v>2.4764735017335302E-4</v>
      </c>
      <c r="F1204" t="s">
        <v>306</v>
      </c>
    </row>
    <row r="1205" spans="1:6" x14ac:dyDescent="0.2">
      <c r="A1205" t="s">
        <v>125</v>
      </c>
      <c r="B1205" t="s">
        <v>37</v>
      </c>
      <c r="C1205">
        <v>8076</v>
      </c>
      <c r="D1205">
        <v>-1.76280285607439</v>
      </c>
      <c r="E1205">
        <v>2.4764735017335302E-4</v>
      </c>
      <c r="F1205" t="s">
        <v>306</v>
      </c>
    </row>
    <row r="1206" spans="1:6" x14ac:dyDescent="0.2">
      <c r="A1206" t="s">
        <v>90</v>
      </c>
      <c r="B1206" t="s">
        <v>17</v>
      </c>
      <c r="C1206">
        <v>8076</v>
      </c>
      <c r="D1206">
        <v>-1.76280285607439</v>
      </c>
      <c r="E1206">
        <v>2.4764735017335302E-4</v>
      </c>
      <c r="F1206" t="s">
        <v>306</v>
      </c>
    </row>
    <row r="1207" spans="1:6" x14ac:dyDescent="0.2">
      <c r="A1207" t="s">
        <v>111</v>
      </c>
      <c r="B1207" t="s">
        <v>66</v>
      </c>
      <c r="C1207">
        <v>8076</v>
      </c>
      <c r="D1207">
        <v>-1.76280285607439</v>
      </c>
      <c r="E1207">
        <v>2.4764735017335302E-4</v>
      </c>
      <c r="F1207" t="s">
        <v>306</v>
      </c>
    </row>
    <row r="1208" spans="1:6" x14ac:dyDescent="0.2">
      <c r="A1208" t="s">
        <v>193</v>
      </c>
      <c r="B1208" t="s">
        <v>189</v>
      </c>
      <c r="C1208">
        <v>8076</v>
      </c>
      <c r="D1208">
        <v>-1.76280285607439</v>
      </c>
      <c r="E1208">
        <v>2.4764735017335302E-4</v>
      </c>
      <c r="F1208" t="s">
        <v>306</v>
      </c>
    </row>
    <row r="1209" spans="1:6" x14ac:dyDescent="0.2">
      <c r="A1209" t="s">
        <v>58</v>
      </c>
      <c r="B1209" t="s">
        <v>74</v>
      </c>
      <c r="C1209">
        <v>8076</v>
      </c>
      <c r="D1209">
        <v>-1.76280285607439</v>
      </c>
      <c r="E1209">
        <v>2.4764735017335302E-4</v>
      </c>
      <c r="F1209" t="s">
        <v>306</v>
      </c>
    </row>
    <row r="1210" spans="1:6" x14ac:dyDescent="0.2">
      <c r="A1210" t="s">
        <v>124</v>
      </c>
      <c r="B1210" t="s">
        <v>36</v>
      </c>
      <c r="C1210">
        <v>8076</v>
      </c>
      <c r="D1210">
        <v>-1.76280285607439</v>
      </c>
      <c r="E1210">
        <v>2.4764735017335302E-4</v>
      </c>
      <c r="F1210" t="s">
        <v>306</v>
      </c>
    </row>
    <row r="1211" spans="1:6" x14ac:dyDescent="0.2">
      <c r="A1211" t="s">
        <v>193</v>
      </c>
      <c r="B1211" t="s">
        <v>17</v>
      </c>
      <c r="C1211">
        <v>8076</v>
      </c>
      <c r="D1211">
        <v>-1.76280285607439</v>
      </c>
      <c r="E1211">
        <v>2.4764735017335302E-4</v>
      </c>
      <c r="F1211" t="s">
        <v>306</v>
      </c>
    </row>
    <row r="1212" spans="1:6" x14ac:dyDescent="0.2">
      <c r="A1212" t="s">
        <v>124</v>
      </c>
      <c r="B1212" t="s">
        <v>212</v>
      </c>
      <c r="C1212">
        <v>8076</v>
      </c>
      <c r="D1212">
        <v>-1.76280285607439</v>
      </c>
      <c r="E1212">
        <v>2.4764735017335302E-4</v>
      </c>
      <c r="F1212" t="s">
        <v>306</v>
      </c>
    </row>
    <row r="1213" spans="1:6" x14ac:dyDescent="0.2">
      <c r="A1213" t="s">
        <v>102</v>
      </c>
      <c r="B1213" t="s">
        <v>123</v>
      </c>
      <c r="C1213">
        <v>8076</v>
      </c>
      <c r="D1213">
        <v>-1.76280285607439</v>
      </c>
      <c r="E1213">
        <v>2.4764735017335302E-4</v>
      </c>
      <c r="F1213" t="s">
        <v>306</v>
      </c>
    </row>
    <row r="1214" spans="1:6" x14ac:dyDescent="0.2">
      <c r="A1214" t="s">
        <v>90</v>
      </c>
      <c r="B1214" t="s">
        <v>66</v>
      </c>
      <c r="C1214">
        <v>8076</v>
      </c>
      <c r="D1214">
        <v>-1.76280285607439</v>
      </c>
      <c r="E1214">
        <v>2.4764735017335302E-4</v>
      </c>
      <c r="F1214" t="s">
        <v>306</v>
      </c>
    </row>
    <row r="1215" spans="1:6" x14ac:dyDescent="0.2">
      <c r="A1215" t="s">
        <v>60</v>
      </c>
      <c r="B1215" t="s">
        <v>108</v>
      </c>
      <c r="C1215">
        <v>8076</v>
      </c>
      <c r="D1215">
        <v>-1.76280285607439</v>
      </c>
      <c r="E1215">
        <v>2.4764735017335302E-4</v>
      </c>
      <c r="F1215" t="s">
        <v>306</v>
      </c>
    </row>
    <row r="1216" spans="1:6" x14ac:dyDescent="0.2">
      <c r="A1216" t="s">
        <v>73</v>
      </c>
      <c r="B1216" t="s">
        <v>189</v>
      </c>
      <c r="C1216">
        <v>8076</v>
      </c>
      <c r="D1216">
        <v>-1.76280285607439</v>
      </c>
      <c r="E1216">
        <v>2.4764735017335302E-4</v>
      </c>
      <c r="F1216" t="s">
        <v>306</v>
      </c>
    </row>
    <row r="1217" spans="1:6" x14ac:dyDescent="0.2">
      <c r="A1217" t="s">
        <v>189</v>
      </c>
      <c r="B1217" t="s">
        <v>61</v>
      </c>
      <c r="C1217">
        <v>8076</v>
      </c>
      <c r="D1217">
        <v>-1.76280285607439</v>
      </c>
      <c r="E1217">
        <v>2.4764735017335302E-4</v>
      </c>
      <c r="F1217" t="s">
        <v>306</v>
      </c>
    </row>
    <row r="1218" spans="1:6" x14ac:dyDescent="0.2">
      <c r="A1218" t="s">
        <v>212</v>
      </c>
      <c r="B1218" t="s">
        <v>175</v>
      </c>
      <c r="C1218">
        <v>8076</v>
      </c>
      <c r="D1218">
        <v>-1.76280285607439</v>
      </c>
      <c r="E1218">
        <v>2.4764735017335302E-4</v>
      </c>
      <c r="F1218" t="s">
        <v>306</v>
      </c>
    </row>
    <row r="1219" spans="1:6" x14ac:dyDescent="0.2">
      <c r="A1219" t="s">
        <v>163</v>
      </c>
      <c r="B1219" t="s">
        <v>106</v>
      </c>
      <c r="C1219">
        <v>8076</v>
      </c>
      <c r="D1219">
        <v>-1.76280285607439</v>
      </c>
      <c r="E1219">
        <v>2.4764735017335302E-4</v>
      </c>
      <c r="F1219" t="s">
        <v>306</v>
      </c>
    </row>
    <row r="1220" spans="1:6" x14ac:dyDescent="0.2">
      <c r="A1220" t="s">
        <v>193</v>
      </c>
      <c r="B1220" t="s">
        <v>125</v>
      </c>
      <c r="C1220">
        <v>8076</v>
      </c>
      <c r="D1220">
        <v>-1.76280285607439</v>
      </c>
      <c r="E1220">
        <v>2.4764735017335302E-4</v>
      </c>
      <c r="F1220" t="s">
        <v>306</v>
      </c>
    </row>
    <row r="1221" spans="1:6" x14ac:dyDescent="0.2">
      <c r="A1221" t="s">
        <v>37</v>
      </c>
      <c r="B1221" t="s">
        <v>111</v>
      </c>
      <c r="C1221">
        <v>8076</v>
      </c>
      <c r="D1221">
        <v>-1.76280285607439</v>
      </c>
      <c r="E1221">
        <v>2.4764735017335302E-4</v>
      </c>
      <c r="F1221" t="s">
        <v>306</v>
      </c>
    </row>
    <row r="1222" spans="1:6" x14ac:dyDescent="0.2">
      <c r="A1222" t="s">
        <v>38</v>
      </c>
      <c r="B1222" t="s">
        <v>108</v>
      </c>
      <c r="C1222">
        <v>8076</v>
      </c>
      <c r="D1222">
        <v>-1.76280285607439</v>
      </c>
      <c r="E1222">
        <v>2.4764735017335302E-4</v>
      </c>
      <c r="F1222" t="s">
        <v>306</v>
      </c>
    </row>
    <row r="1223" spans="1:6" x14ac:dyDescent="0.2">
      <c r="A1223" t="s">
        <v>62</v>
      </c>
      <c r="B1223" t="s">
        <v>111</v>
      </c>
      <c r="C1223">
        <v>8076</v>
      </c>
      <c r="D1223">
        <v>-1.76280285607439</v>
      </c>
      <c r="E1223">
        <v>2.4764735017335302E-4</v>
      </c>
      <c r="F1223" t="s">
        <v>306</v>
      </c>
    </row>
    <row r="1224" spans="1:6" x14ac:dyDescent="0.2">
      <c r="A1224" t="s">
        <v>58</v>
      </c>
      <c r="B1224" t="s">
        <v>61</v>
      </c>
      <c r="C1224">
        <v>8076</v>
      </c>
      <c r="D1224">
        <v>-1.76280285607439</v>
      </c>
      <c r="E1224">
        <v>2.4764735017335302E-4</v>
      </c>
      <c r="F1224" t="s">
        <v>306</v>
      </c>
    </row>
    <row r="1225" spans="1:6" x14ac:dyDescent="0.2">
      <c r="A1225" t="s">
        <v>125</v>
      </c>
      <c r="B1225" t="s">
        <v>108</v>
      </c>
      <c r="C1225">
        <v>8076</v>
      </c>
      <c r="D1225">
        <v>-1.76280285607439</v>
      </c>
      <c r="E1225">
        <v>2.4764735017335302E-4</v>
      </c>
      <c r="F1225" t="s">
        <v>306</v>
      </c>
    </row>
    <row r="1226" spans="1:6" x14ac:dyDescent="0.2">
      <c r="A1226" t="s">
        <v>94</v>
      </c>
      <c r="B1226" t="s">
        <v>92</v>
      </c>
      <c r="C1226">
        <v>8076</v>
      </c>
      <c r="D1226">
        <v>-1.76280285607439</v>
      </c>
      <c r="E1226">
        <v>2.4764735017335302E-4</v>
      </c>
      <c r="F1226" t="s">
        <v>306</v>
      </c>
    </row>
    <row r="1227" spans="1:6" x14ac:dyDescent="0.2">
      <c r="A1227" t="s">
        <v>74</v>
      </c>
      <c r="B1227" t="s">
        <v>189</v>
      </c>
      <c r="C1227">
        <v>8076</v>
      </c>
      <c r="D1227">
        <v>-1.76280285607439</v>
      </c>
      <c r="E1227">
        <v>2.4764735017335302E-4</v>
      </c>
      <c r="F1227" t="s">
        <v>306</v>
      </c>
    </row>
    <row r="1228" spans="1:6" x14ac:dyDescent="0.2">
      <c r="A1228" t="s">
        <v>90</v>
      </c>
      <c r="B1228" t="s">
        <v>125</v>
      </c>
      <c r="C1228">
        <v>8076</v>
      </c>
      <c r="D1228">
        <v>-1.76280285607439</v>
      </c>
      <c r="E1228">
        <v>2.4764735017335302E-4</v>
      </c>
      <c r="F1228" t="s">
        <v>306</v>
      </c>
    </row>
    <row r="1229" spans="1:6" x14ac:dyDescent="0.2">
      <c r="A1229" t="s">
        <v>124</v>
      </c>
      <c r="B1229" t="s">
        <v>129</v>
      </c>
      <c r="C1229">
        <v>8076</v>
      </c>
      <c r="D1229">
        <v>-1.76280285607439</v>
      </c>
      <c r="E1229">
        <v>2.4764735017335302E-4</v>
      </c>
      <c r="F1229" t="s">
        <v>306</v>
      </c>
    </row>
    <row r="1230" spans="1:6" x14ac:dyDescent="0.2">
      <c r="A1230" t="s">
        <v>58</v>
      </c>
      <c r="B1230" t="s">
        <v>104</v>
      </c>
      <c r="C1230">
        <v>8076</v>
      </c>
      <c r="D1230">
        <v>-1.76280285607439</v>
      </c>
      <c r="E1230">
        <v>2.4764735017335302E-4</v>
      </c>
      <c r="F1230" t="s">
        <v>306</v>
      </c>
    </row>
    <row r="1231" spans="1:6" x14ac:dyDescent="0.2">
      <c r="A1231" t="s">
        <v>59</v>
      </c>
      <c r="B1231" t="s">
        <v>126</v>
      </c>
      <c r="C1231">
        <v>8076</v>
      </c>
      <c r="D1231">
        <v>-1.76280285607439</v>
      </c>
      <c r="E1231">
        <v>2.4764735017335302E-4</v>
      </c>
      <c r="F1231" t="s">
        <v>306</v>
      </c>
    </row>
    <row r="1232" spans="1:6" x14ac:dyDescent="0.2">
      <c r="A1232" t="s">
        <v>94</v>
      </c>
      <c r="B1232" t="s">
        <v>28</v>
      </c>
      <c r="C1232">
        <v>8076</v>
      </c>
      <c r="D1232">
        <v>-1.76280285607439</v>
      </c>
      <c r="E1232">
        <v>2.4764735017335302E-4</v>
      </c>
      <c r="F1232" t="s">
        <v>306</v>
      </c>
    </row>
    <row r="1233" spans="1:6" x14ac:dyDescent="0.2">
      <c r="A1233" t="s">
        <v>163</v>
      </c>
      <c r="B1233" t="s">
        <v>50</v>
      </c>
      <c r="C1233">
        <v>8076</v>
      </c>
      <c r="D1233">
        <v>-1.76280285607439</v>
      </c>
      <c r="E1233">
        <v>2.4764735017335302E-4</v>
      </c>
      <c r="F1233" t="s">
        <v>306</v>
      </c>
    </row>
    <row r="1234" spans="1:6" x14ac:dyDescent="0.2">
      <c r="A1234" t="s">
        <v>95</v>
      </c>
      <c r="B1234" t="s">
        <v>193</v>
      </c>
      <c r="C1234">
        <v>8076</v>
      </c>
      <c r="D1234">
        <v>-1.76280285607439</v>
      </c>
      <c r="E1234">
        <v>2.4764735017335302E-4</v>
      </c>
      <c r="F1234" t="s">
        <v>306</v>
      </c>
    </row>
    <row r="1235" spans="1:6" x14ac:dyDescent="0.2">
      <c r="A1235" t="s">
        <v>104</v>
      </c>
      <c r="B1235" t="s">
        <v>129</v>
      </c>
      <c r="C1235">
        <v>8076</v>
      </c>
      <c r="D1235">
        <v>-1.76280285607439</v>
      </c>
      <c r="E1235">
        <v>2.4764735017335302E-4</v>
      </c>
      <c r="F1235" t="s">
        <v>306</v>
      </c>
    </row>
    <row r="1236" spans="1:6" x14ac:dyDescent="0.2">
      <c r="A1236" t="s">
        <v>58</v>
      </c>
      <c r="B1236" t="s">
        <v>60</v>
      </c>
      <c r="C1236">
        <v>8076</v>
      </c>
      <c r="D1236">
        <v>-1.76280285607439</v>
      </c>
      <c r="E1236">
        <v>2.4764735017335302E-4</v>
      </c>
      <c r="F1236" t="s">
        <v>306</v>
      </c>
    </row>
    <row r="1237" spans="1:6" x14ac:dyDescent="0.2">
      <c r="A1237" t="s">
        <v>83</v>
      </c>
      <c r="B1237" t="s">
        <v>108</v>
      </c>
      <c r="C1237">
        <v>8076</v>
      </c>
      <c r="D1237">
        <v>-1.76280285607439</v>
      </c>
      <c r="E1237">
        <v>2.4764735017335302E-4</v>
      </c>
      <c r="F1237" t="s">
        <v>306</v>
      </c>
    </row>
    <row r="1238" spans="1:6" x14ac:dyDescent="0.2">
      <c r="A1238" t="s">
        <v>193</v>
      </c>
      <c r="B1238" t="s">
        <v>32</v>
      </c>
      <c r="C1238">
        <v>8076</v>
      </c>
      <c r="D1238">
        <v>-1.76280285607439</v>
      </c>
      <c r="E1238">
        <v>2.4764735017335302E-4</v>
      </c>
      <c r="F1238" t="s">
        <v>306</v>
      </c>
    </row>
    <row r="1239" spans="1:6" x14ac:dyDescent="0.2">
      <c r="A1239" t="s">
        <v>104</v>
      </c>
      <c r="B1239" t="s">
        <v>106</v>
      </c>
      <c r="C1239">
        <v>8076</v>
      </c>
      <c r="D1239">
        <v>-1.76280285607439</v>
      </c>
      <c r="E1239">
        <v>2.4764735017335302E-4</v>
      </c>
      <c r="F1239" t="s">
        <v>306</v>
      </c>
    </row>
    <row r="1240" spans="1:6" x14ac:dyDescent="0.2">
      <c r="A1240" t="s">
        <v>59</v>
      </c>
      <c r="B1240" t="s">
        <v>92</v>
      </c>
      <c r="C1240">
        <v>8076</v>
      </c>
      <c r="D1240">
        <v>-1.76280285607439</v>
      </c>
      <c r="E1240">
        <v>2.4764735017335302E-4</v>
      </c>
      <c r="F1240" t="s">
        <v>306</v>
      </c>
    </row>
    <row r="1241" spans="1:6" x14ac:dyDescent="0.2">
      <c r="A1241" t="s">
        <v>123</v>
      </c>
      <c r="B1241" t="s">
        <v>37</v>
      </c>
      <c r="C1241">
        <v>8076</v>
      </c>
      <c r="D1241">
        <v>-1.76280285607439</v>
      </c>
      <c r="E1241">
        <v>2.4764735017335302E-4</v>
      </c>
      <c r="F1241" t="s">
        <v>306</v>
      </c>
    </row>
    <row r="1242" spans="1:6" x14ac:dyDescent="0.2">
      <c r="A1242" t="s">
        <v>50</v>
      </c>
      <c r="B1242" t="s">
        <v>108</v>
      </c>
      <c r="C1242">
        <v>8076</v>
      </c>
      <c r="D1242">
        <v>-1.76280285607439</v>
      </c>
      <c r="E1242">
        <v>2.4764735017335302E-4</v>
      </c>
      <c r="F1242" t="s">
        <v>306</v>
      </c>
    </row>
    <row r="1243" spans="1:6" x14ac:dyDescent="0.2">
      <c r="A1243" t="s">
        <v>193</v>
      </c>
      <c r="B1243" t="s">
        <v>59</v>
      </c>
      <c r="C1243">
        <v>8076</v>
      </c>
      <c r="D1243">
        <v>-1.76280285607439</v>
      </c>
      <c r="E1243">
        <v>2.4764735017335302E-4</v>
      </c>
      <c r="F1243" t="s">
        <v>306</v>
      </c>
    </row>
    <row r="1244" spans="1:6" x14ac:dyDescent="0.2">
      <c r="A1244" t="s">
        <v>60</v>
      </c>
      <c r="B1244" t="s">
        <v>120</v>
      </c>
      <c r="C1244">
        <v>8076</v>
      </c>
      <c r="D1244">
        <v>-1.76280285607439</v>
      </c>
      <c r="E1244">
        <v>2.4764735017335302E-4</v>
      </c>
      <c r="F1244" t="s">
        <v>306</v>
      </c>
    </row>
    <row r="1245" spans="1:6" x14ac:dyDescent="0.2">
      <c r="A1245" t="s">
        <v>102</v>
      </c>
      <c r="B1245" t="s">
        <v>108</v>
      </c>
      <c r="C1245">
        <v>8076</v>
      </c>
      <c r="D1245">
        <v>-1.76280285607439</v>
      </c>
      <c r="E1245">
        <v>2.4764735017335302E-4</v>
      </c>
      <c r="F1245" t="s">
        <v>306</v>
      </c>
    </row>
    <row r="1246" spans="1:6" x14ac:dyDescent="0.2">
      <c r="A1246" t="s">
        <v>187</v>
      </c>
      <c r="B1246" t="s">
        <v>111</v>
      </c>
      <c r="C1246">
        <v>8076</v>
      </c>
      <c r="D1246">
        <v>-1.76280285607439</v>
      </c>
      <c r="E1246">
        <v>2.4764735017335302E-4</v>
      </c>
      <c r="F1246" t="s">
        <v>306</v>
      </c>
    </row>
    <row r="1247" spans="1:6" x14ac:dyDescent="0.2">
      <c r="A1247" t="s">
        <v>106</v>
      </c>
      <c r="B1247" t="s">
        <v>28</v>
      </c>
      <c r="C1247">
        <v>8076</v>
      </c>
      <c r="D1247">
        <v>-1.76280285607439</v>
      </c>
      <c r="E1247">
        <v>2.4764735017335302E-4</v>
      </c>
      <c r="F1247" t="s">
        <v>306</v>
      </c>
    </row>
    <row r="1248" spans="1:6" x14ac:dyDescent="0.2">
      <c r="A1248" t="s">
        <v>124</v>
      </c>
      <c r="B1248" t="s">
        <v>59</v>
      </c>
      <c r="C1248">
        <v>8076</v>
      </c>
      <c r="D1248">
        <v>-1.76280285607439</v>
      </c>
      <c r="E1248">
        <v>2.4764735017335302E-4</v>
      </c>
      <c r="F1248" t="s">
        <v>306</v>
      </c>
    </row>
    <row r="1249" spans="1:6" x14ac:dyDescent="0.2">
      <c r="A1249" t="s">
        <v>100</v>
      </c>
      <c r="B1249" t="s">
        <v>32</v>
      </c>
      <c r="C1249">
        <v>8076</v>
      </c>
      <c r="D1249">
        <v>-1.76280285607439</v>
      </c>
      <c r="E1249">
        <v>2.4764735017335302E-4</v>
      </c>
      <c r="F1249" t="s">
        <v>306</v>
      </c>
    </row>
    <row r="1250" spans="1:6" x14ac:dyDescent="0.2">
      <c r="A1250" t="s">
        <v>67</v>
      </c>
      <c r="B1250" t="s">
        <v>107</v>
      </c>
      <c r="C1250">
        <v>8076</v>
      </c>
      <c r="D1250">
        <v>-1.76280285607439</v>
      </c>
      <c r="E1250">
        <v>2.4764735017335302E-4</v>
      </c>
      <c r="F1250" t="s">
        <v>306</v>
      </c>
    </row>
    <row r="1251" spans="1:6" x14ac:dyDescent="0.2">
      <c r="A1251" t="s">
        <v>187</v>
      </c>
      <c r="B1251" t="s">
        <v>28</v>
      </c>
      <c r="C1251">
        <v>8076</v>
      </c>
      <c r="D1251">
        <v>-1.76280285607439</v>
      </c>
      <c r="E1251">
        <v>2.4764735017335302E-4</v>
      </c>
      <c r="F1251" t="s">
        <v>306</v>
      </c>
    </row>
    <row r="1252" spans="1:6" x14ac:dyDescent="0.2">
      <c r="A1252" t="s">
        <v>95</v>
      </c>
      <c r="B1252" t="s">
        <v>108</v>
      </c>
      <c r="C1252">
        <v>8076</v>
      </c>
      <c r="D1252">
        <v>-1.76280285607439</v>
      </c>
      <c r="E1252">
        <v>2.4764735017335302E-4</v>
      </c>
      <c r="F1252" t="s">
        <v>306</v>
      </c>
    </row>
    <row r="1253" spans="1:6" x14ac:dyDescent="0.2">
      <c r="A1253" t="s">
        <v>123</v>
      </c>
      <c r="B1253" t="s">
        <v>177</v>
      </c>
      <c r="C1253">
        <v>8076</v>
      </c>
      <c r="D1253">
        <v>-1.76280285607439</v>
      </c>
      <c r="E1253">
        <v>2.4764735017335302E-4</v>
      </c>
      <c r="F1253" t="s">
        <v>306</v>
      </c>
    </row>
    <row r="1254" spans="1:6" x14ac:dyDescent="0.2">
      <c r="A1254" t="s">
        <v>163</v>
      </c>
      <c r="B1254" t="s">
        <v>125</v>
      </c>
      <c r="C1254">
        <v>8076</v>
      </c>
      <c r="D1254">
        <v>-1.76280285607439</v>
      </c>
      <c r="E1254">
        <v>2.4764735017335302E-4</v>
      </c>
      <c r="F1254" t="s">
        <v>306</v>
      </c>
    </row>
    <row r="1255" spans="1:6" x14ac:dyDescent="0.2">
      <c r="A1255" t="s">
        <v>95</v>
      </c>
      <c r="B1255" t="s">
        <v>83</v>
      </c>
      <c r="C1255">
        <v>8076</v>
      </c>
      <c r="D1255">
        <v>-1.76280285607439</v>
      </c>
      <c r="E1255">
        <v>2.4764735017335302E-4</v>
      </c>
      <c r="F1255" t="s">
        <v>306</v>
      </c>
    </row>
    <row r="1256" spans="1:6" x14ac:dyDescent="0.2">
      <c r="A1256" t="s">
        <v>92</v>
      </c>
      <c r="B1256" t="s">
        <v>61</v>
      </c>
      <c r="C1256">
        <v>8076</v>
      </c>
      <c r="D1256">
        <v>-1.76280285607439</v>
      </c>
      <c r="E1256">
        <v>2.4764735017335302E-4</v>
      </c>
      <c r="F1256" t="s">
        <v>306</v>
      </c>
    </row>
    <row r="1257" spans="1:6" x14ac:dyDescent="0.2">
      <c r="A1257" t="s">
        <v>59</v>
      </c>
      <c r="B1257" t="s">
        <v>79</v>
      </c>
      <c r="C1257">
        <v>8076</v>
      </c>
      <c r="D1257">
        <v>-1.76280285607439</v>
      </c>
      <c r="E1257">
        <v>2.4764735017335302E-4</v>
      </c>
      <c r="F1257" t="s">
        <v>306</v>
      </c>
    </row>
    <row r="1258" spans="1:6" x14ac:dyDescent="0.2">
      <c r="A1258" t="s">
        <v>37</v>
      </c>
      <c r="B1258" t="s">
        <v>38</v>
      </c>
      <c r="C1258">
        <v>8076</v>
      </c>
      <c r="D1258">
        <v>-1.76280285607439</v>
      </c>
      <c r="E1258">
        <v>2.4764735017335302E-4</v>
      </c>
      <c r="F1258" t="s">
        <v>306</v>
      </c>
    </row>
    <row r="1259" spans="1:6" x14ac:dyDescent="0.2">
      <c r="A1259" t="s">
        <v>28</v>
      </c>
      <c r="B1259" t="s">
        <v>114</v>
      </c>
      <c r="C1259">
        <v>8076</v>
      </c>
      <c r="D1259">
        <v>-1.76280285607439</v>
      </c>
      <c r="E1259">
        <v>2.4764735017335302E-4</v>
      </c>
      <c r="F1259" t="s">
        <v>306</v>
      </c>
    </row>
    <row r="1260" spans="1:6" x14ac:dyDescent="0.2">
      <c r="A1260" t="s">
        <v>74</v>
      </c>
      <c r="B1260" t="s">
        <v>61</v>
      </c>
      <c r="C1260">
        <v>8076</v>
      </c>
      <c r="D1260">
        <v>-1.76280285607439</v>
      </c>
      <c r="E1260">
        <v>2.4764735017335302E-4</v>
      </c>
      <c r="F1260" t="s">
        <v>306</v>
      </c>
    </row>
    <row r="1261" spans="1:6" x14ac:dyDescent="0.2">
      <c r="A1261" t="s">
        <v>100</v>
      </c>
      <c r="B1261" t="s">
        <v>50</v>
      </c>
      <c r="C1261">
        <v>8076</v>
      </c>
      <c r="D1261">
        <v>-1.76280285607439</v>
      </c>
      <c r="E1261">
        <v>2.4764735017335302E-4</v>
      </c>
      <c r="F1261" t="s">
        <v>306</v>
      </c>
    </row>
    <row r="1262" spans="1:6" x14ac:dyDescent="0.2">
      <c r="A1262" t="s">
        <v>36</v>
      </c>
      <c r="B1262" t="s">
        <v>74</v>
      </c>
      <c r="C1262">
        <v>8076</v>
      </c>
      <c r="D1262">
        <v>-1.76280285607439</v>
      </c>
      <c r="E1262">
        <v>2.4764735017335302E-4</v>
      </c>
      <c r="F1262" t="s">
        <v>306</v>
      </c>
    </row>
    <row r="1263" spans="1:6" x14ac:dyDescent="0.2">
      <c r="A1263" t="s">
        <v>79</v>
      </c>
      <c r="B1263" t="s">
        <v>120</v>
      </c>
      <c r="C1263">
        <v>8076</v>
      </c>
      <c r="D1263">
        <v>-1.76280285607439</v>
      </c>
      <c r="E1263">
        <v>2.4764735017335302E-4</v>
      </c>
      <c r="F1263" t="s">
        <v>306</v>
      </c>
    </row>
    <row r="1264" spans="1:6" x14ac:dyDescent="0.2">
      <c r="A1264" t="s">
        <v>45</v>
      </c>
      <c r="B1264" t="s">
        <v>59</v>
      </c>
      <c r="C1264">
        <v>8076</v>
      </c>
      <c r="D1264">
        <v>-1.76280285607439</v>
      </c>
      <c r="E1264">
        <v>2.4764735017335302E-4</v>
      </c>
      <c r="F1264" t="s">
        <v>306</v>
      </c>
    </row>
    <row r="1265" spans="1:6" x14ac:dyDescent="0.2">
      <c r="A1265" t="s">
        <v>212</v>
      </c>
      <c r="B1265" t="s">
        <v>17</v>
      </c>
      <c r="C1265">
        <v>8076</v>
      </c>
      <c r="D1265">
        <v>-1.76280285607439</v>
      </c>
      <c r="E1265">
        <v>2.4764735017335302E-4</v>
      </c>
      <c r="F1265" t="s">
        <v>306</v>
      </c>
    </row>
    <row r="1266" spans="1:6" x14ac:dyDescent="0.2">
      <c r="A1266" t="s">
        <v>123</v>
      </c>
      <c r="B1266" t="s">
        <v>120</v>
      </c>
      <c r="C1266">
        <v>8076</v>
      </c>
      <c r="D1266">
        <v>-1.76280285607439</v>
      </c>
      <c r="E1266">
        <v>2.4764735017335302E-4</v>
      </c>
      <c r="F1266" t="s">
        <v>306</v>
      </c>
    </row>
    <row r="1267" spans="1:6" x14ac:dyDescent="0.2">
      <c r="A1267" t="s">
        <v>177</v>
      </c>
      <c r="B1267" t="s">
        <v>28</v>
      </c>
      <c r="C1267">
        <v>8076</v>
      </c>
      <c r="D1267">
        <v>-1.76280285607439</v>
      </c>
      <c r="E1267">
        <v>2.4764735017335302E-4</v>
      </c>
      <c r="F1267" t="s">
        <v>306</v>
      </c>
    </row>
    <row r="1268" spans="1:6" x14ac:dyDescent="0.2">
      <c r="A1268" t="s">
        <v>124</v>
      </c>
      <c r="B1268" t="s">
        <v>189</v>
      </c>
      <c r="C1268">
        <v>8076</v>
      </c>
      <c r="D1268">
        <v>-1.76280285607439</v>
      </c>
      <c r="E1268">
        <v>2.4764735017335302E-4</v>
      </c>
      <c r="F1268" t="s">
        <v>306</v>
      </c>
    </row>
    <row r="1269" spans="1:6" x14ac:dyDescent="0.2">
      <c r="A1269" t="s">
        <v>58</v>
      </c>
      <c r="B1269" t="s">
        <v>193</v>
      </c>
      <c r="C1269">
        <v>8076</v>
      </c>
      <c r="D1269">
        <v>-1.76280285607439</v>
      </c>
      <c r="E1269">
        <v>2.4764735017335302E-4</v>
      </c>
      <c r="F1269" t="s">
        <v>306</v>
      </c>
    </row>
    <row r="1270" spans="1:6" x14ac:dyDescent="0.2">
      <c r="A1270" t="s">
        <v>62</v>
      </c>
      <c r="B1270" t="s">
        <v>28</v>
      </c>
      <c r="C1270">
        <v>8076</v>
      </c>
      <c r="D1270">
        <v>-1.76280285607439</v>
      </c>
      <c r="E1270">
        <v>2.4764735017335302E-4</v>
      </c>
      <c r="F1270" t="s">
        <v>306</v>
      </c>
    </row>
    <row r="1271" spans="1:6" x14ac:dyDescent="0.2">
      <c r="A1271" t="s">
        <v>125</v>
      </c>
      <c r="B1271" t="s">
        <v>59</v>
      </c>
      <c r="C1271">
        <v>8076</v>
      </c>
      <c r="D1271">
        <v>-1.76280285607439</v>
      </c>
      <c r="E1271">
        <v>2.4764735017335302E-4</v>
      </c>
      <c r="F1271" t="s">
        <v>306</v>
      </c>
    </row>
    <row r="1272" spans="1:6" x14ac:dyDescent="0.2">
      <c r="A1272" t="s">
        <v>95</v>
      </c>
      <c r="B1272" t="s">
        <v>177</v>
      </c>
      <c r="C1272">
        <v>8076</v>
      </c>
      <c r="D1272">
        <v>-1.76280285607439</v>
      </c>
      <c r="E1272">
        <v>2.4764735017335302E-4</v>
      </c>
      <c r="F1272" t="s">
        <v>306</v>
      </c>
    </row>
    <row r="1273" spans="1:6" x14ac:dyDescent="0.2">
      <c r="A1273" t="s">
        <v>90</v>
      </c>
      <c r="B1273" t="s">
        <v>32</v>
      </c>
      <c r="C1273">
        <v>8076</v>
      </c>
      <c r="D1273">
        <v>-1.76280285607439</v>
      </c>
      <c r="E1273">
        <v>2.4764735017335302E-4</v>
      </c>
      <c r="F1273" t="s">
        <v>306</v>
      </c>
    </row>
    <row r="1274" spans="1:6" x14ac:dyDescent="0.2">
      <c r="A1274" t="s">
        <v>92</v>
      </c>
      <c r="B1274" t="s">
        <v>106</v>
      </c>
      <c r="C1274">
        <v>8076</v>
      </c>
      <c r="D1274">
        <v>-1.76280285607439</v>
      </c>
      <c r="E1274">
        <v>2.4764735017335302E-4</v>
      </c>
      <c r="F1274" t="s">
        <v>306</v>
      </c>
    </row>
    <row r="1275" spans="1:6" x14ac:dyDescent="0.2">
      <c r="A1275" t="s">
        <v>58</v>
      </c>
      <c r="B1275" t="s">
        <v>108</v>
      </c>
      <c r="C1275">
        <v>8076</v>
      </c>
      <c r="D1275">
        <v>-1.76280285607439</v>
      </c>
      <c r="E1275">
        <v>2.4764735017335302E-4</v>
      </c>
      <c r="F1275" t="s">
        <v>306</v>
      </c>
    </row>
    <row r="1276" spans="1:6" x14ac:dyDescent="0.2">
      <c r="A1276" t="s">
        <v>107</v>
      </c>
      <c r="B1276" t="s">
        <v>45</v>
      </c>
      <c r="C1276">
        <v>8076</v>
      </c>
      <c r="D1276">
        <v>-1.76280285607439</v>
      </c>
      <c r="E1276">
        <v>2.4764735017335302E-4</v>
      </c>
      <c r="F1276" t="s">
        <v>306</v>
      </c>
    </row>
    <row r="1277" spans="1:6" x14ac:dyDescent="0.2">
      <c r="A1277" t="s">
        <v>53</v>
      </c>
      <c r="B1277" t="s">
        <v>61</v>
      </c>
      <c r="C1277">
        <v>8076</v>
      </c>
      <c r="D1277">
        <v>-1.76280285607439</v>
      </c>
      <c r="E1277">
        <v>2.4764735017335302E-4</v>
      </c>
      <c r="F1277" t="s">
        <v>306</v>
      </c>
    </row>
    <row r="1278" spans="1:6" x14ac:dyDescent="0.2">
      <c r="A1278" t="s">
        <v>37</v>
      </c>
      <c r="B1278" t="s">
        <v>189</v>
      </c>
      <c r="C1278">
        <v>8076</v>
      </c>
      <c r="D1278">
        <v>-1.76280285607439</v>
      </c>
      <c r="E1278">
        <v>2.4764735017335302E-4</v>
      </c>
      <c r="F1278" t="s">
        <v>306</v>
      </c>
    </row>
    <row r="1279" spans="1:6" x14ac:dyDescent="0.2">
      <c r="A1279" t="s">
        <v>58</v>
      </c>
      <c r="B1279" t="s">
        <v>189</v>
      </c>
      <c r="C1279">
        <v>8076</v>
      </c>
      <c r="D1279">
        <v>-1.76280285607439</v>
      </c>
      <c r="E1279">
        <v>2.4764735017335302E-4</v>
      </c>
      <c r="F1279" t="s">
        <v>306</v>
      </c>
    </row>
    <row r="1280" spans="1:6" x14ac:dyDescent="0.2">
      <c r="A1280" t="s">
        <v>37</v>
      </c>
      <c r="B1280" t="s">
        <v>61</v>
      </c>
      <c r="C1280">
        <v>8076</v>
      </c>
      <c r="D1280">
        <v>-1.76280285607439</v>
      </c>
      <c r="E1280">
        <v>2.4764735017335302E-4</v>
      </c>
      <c r="F1280" t="s">
        <v>306</v>
      </c>
    </row>
    <row r="1281" spans="1:6" x14ac:dyDescent="0.2">
      <c r="A1281" t="s">
        <v>28</v>
      </c>
      <c r="B1281" t="s">
        <v>83</v>
      </c>
      <c r="C1281">
        <v>8076</v>
      </c>
      <c r="D1281">
        <v>-1.76280285607439</v>
      </c>
      <c r="E1281">
        <v>2.4764735017335302E-4</v>
      </c>
      <c r="F1281" t="s">
        <v>306</v>
      </c>
    </row>
    <row r="1282" spans="1:6" x14ac:dyDescent="0.2">
      <c r="A1282" t="s">
        <v>73</v>
      </c>
      <c r="B1282" t="s">
        <v>108</v>
      </c>
      <c r="C1282">
        <v>8076</v>
      </c>
      <c r="D1282">
        <v>-1.76280285607439</v>
      </c>
      <c r="E1282">
        <v>2.4764735017335302E-4</v>
      </c>
      <c r="F1282" t="s">
        <v>306</v>
      </c>
    </row>
    <row r="1283" spans="1:6" x14ac:dyDescent="0.2">
      <c r="A1283" t="s">
        <v>58</v>
      </c>
      <c r="B1283" t="s">
        <v>125</v>
      </c>
      <c r="C1283">
        <v>8076</v>
      </c>
      <c r="D1283">
        <v>-1.76280285607439</v>
      </c>
      <c r="E1283">
        <v>2.4764735017335302E-4</v>
      </c>
      <c r="F1283" t="s">
        <v>306</v>
      </c>
    </row>
    <row r="1284" spans="1:6" x14ac:dyDescent="0.2">
      <c r="A1284" t="s">
        <v>53</v>
      </c>
      <c r="B1284" t="s">
        <v>106</v>
      </c>
      <c r="C1284">
        <v>8076</v>
      </c>
      <c r="D1284">
        <v>-1.76280285607439</v>
      </c>
      <c r="E1284">
        <v>2.4764735017335302E-4</v>
      </c>
      <c r="F1284" t="s">
        <v>306</v>
      </c>
    </row>
    <row r="1285" spans="1:6" x14ac:dyDescent="0.2">
      <c r="A1285" t="s">
        <v>53</v>
      </c>
      <c r="B1285" t="s">
        <v>17</v>
      </c>
      <c r="C1285">
        <v>8076</v>
      </c>
      <c r="D1285">
        <v>-1.76280285607439</v>
      </c>
      <c r="E1285">
        <v>2.4764735017335302E-4</v>
      </c>
      <c r="F1285" t="s">
        <v>306</v>
      </c>
    </row>
    <row r="1286" spans="1:6" x14ac:dyDescent="0.2">
      <c r="A1286" t="s">
        <v>95</v>
      </c>
      <c r="B1286" t="s">
        <v>53</v>
      </c>
      <c r="C1286">
        <v>8076</v>
      </c>
      <c r="D1286">
        <v>-1.76280285607439</v>
      </c>
      <c r="E1286">
        <v>2.4764735017335302E-4</v>
      </c>
      <c r="F1286" t="s">
        <v>306</v>
      </c>
    </row>
    <row r="1287" spans="1:6" x14ac:dyDescent="0.2">
      <c r="A1287" t="s">
        <v>92</v>
      </c>
      <c r="B1287" t="s">
        <v>17</v>
      </c>
      <c r="C1287">
        <v>8076</v>
      </c>
      <c r="D1287">
        <v>-1.76280285607439</v>
      </c>
      <c r="E1287">
        <v>2.4764735017335302E-4</v>
      </c>
      <c r="F1287" t="s">
        <v>306</v>
      </c>
    </row>
    <row r="1288" spans="1:6" x14ac:dyDescent="0.2">
      <c r="A1288" t="s">
        <v>95</v>
      </c>
      <c r="B1288" t="s">
        <v>104</v>
      </c>
      <c r="C1288">
        <v>8076</v>
      </c>
      <c r="D1288">
        <v>-1.76280285607439</v>
      </c>
      <c r="E1288">
        <v>2.4764735017335302E-4</v>
      </c>
      <c r="F1288" t="s">
        <v>306</v>
      </c>
    </row>
    <row r="1289" spans="1:6" x14ac:dyDescent="0.2">
      <c r="A1289" t="s">
        <v>53</v>
      </c>
      <c r="B1289" t="s">
        <v>123</v>
      </c>
      <c r="C1289">
        <v>8076</v>
      </c>
      <c r="D1289">
        <v>-1.76280285607439</v>
      </c>
      <c r="E1289">
        <v>2.4764735017335302E-4</v>
      </c>
      <c r="F1289" t="s">
        <v>306</v>
      </c>
    </row>
    <row r="1290" spans="1:6" x14ac:dyDescent="0.2">
      <c r="A1290" t="s">
        <v>212</v>
      </c>
      <c r="B1290" t="s">
        <v>36</v>
      </c>
      <c r="C1290">
        <v>8076</v>
      </c>
      <c r="D1290">
        <v>-1.76280285607439</v>
      </c>
      <c r="E1290">
        <v>2.4764735017335302E-4</v>
      </c>
      <c r="F1290" t="s">
        <v>306</v>
      </c>
    </row>
    <row r="1291" spans="1:6" x14ac:dyDescent="0.2">
      <c r="A1291" t="s">
        <v>125</v>
      </c>
      <c r="B1291" t="s">
        <v>32</v>
      </c>
      <c r="C1291">
        <v>8076</v>
      </c>
      <c r="D1291">
        <v>-1.76280285607439</v>
      </c>
      <c r="E1291">
        <v>2.4764735017335302E-4</v>
      </c>
      <c r="F1291" t="s">
        <v>306</v>
      </c>
    </row>
    <row r="1292" spans="1:6" x14ac:dyDescent="0.2">
      <c r="A1292" t="s">
        <v>73</v>
      </c>
      <c r="B1292" t="s">
        <v>187</v>
      </c>
      <c r="C1292">
        <v>8076</v>
      </c>
      <c r="D1292">
        <v>-1.76280285607439</v>
      </c>
      <c r="E1292">
        <v>2.4764735017335302E-4</v>
      </c>
      <c r="F1292" t="s">
        <v>306</v>
      </c>
    </row>
    <row r="1293" spans="1:6" x14ac:dyDescent="0.2">
      <c r="A1293" t="s">
        <v>100</v>
      </c>
      <c r="B1293" t="s">
        <v>45</v>
      </c>
      <c r="C1293">
        <v>8076</v>
      </c>
      <c r="D1293">
        <v>-1.76280285607439</v>
      </c>
      <c r="E1293">
        <v>2.4764735017335302E-4</v>
      </c>
      <c r="F1293" t="s">
        <v>306</v>
      </c>
    </row>
    <row r="1294" spans="1:6" x14ac:dyDescent="0.2">
      <c r="A1294" t="s">
        <v>189</v>
      </c>
      <c r="B1294" t="s">
        <v>66</v>
      </c>
      <c r="C1294">
        <v>8076</v>
      </c>
      <c r="D1294">
        <v>-1.76280285607439</v>
      </c>
      <c r="E1294">
        <v>2.4764735017335302E-4</v>
      </c>
      <c r="F1294" t="s">
        <v>306</v>
      </c>
    </row>
    <row r="1295" spans="1:6" x14ac:dyDescent="0.2">
      <c r="A1295" t="s">
        <v>123</v>
      </c>
      <c r="B1295" t="s">
        <v>17</v>
      </c>
      <c r="C1295">
        <v>8076</v>
      </c>
      <c r="D1295">
        <v>-1.76280285607439</v>
      </c>
      <c r="E1295">
        <v>2.4764735017335302E-4</v>
      </c>
      <c r="F1295" t="s">
        <v>306</v>
      </c>
    </row>
    <row r="1296" spans="1:6" x14ac:dyDescent="0.2">
      <c r="A1296" t="s">
        <v>107</v>
      </c>
      <c r="B1296" t="s">
        <v>102</v>
      </c>
      <c r="C1296">
        <v>8076</v>
      </c>
      <c r="D1296">
        <v>-1.76280285607439</v>
      </c>
      <c r="E1296">
        <v>2.4764735017335302E-4</v>
      </c>
      <c r="F1296" t="s">
        <v>306</v>
      </c>
    </row>
    <row r="1297" spans="1:6" x14ac:dyDescent="0.2">
      <c r="A1297" t="s">
        <v>107</v>
      </c>
      <c r="B1297" t="s">
        <v>59</v>
      </c>
      <c r="C1297">
        <v>8076</v>
      </c>
      <c r="D1297">
        <v>-1.76280285607439</v>
      </c>
      <c r="E1297">
        <v>2.4764735017335302E-4</v>
      </c>
      <c r="F1297" t="s">
        <v>306</v>
      </c>
    </row>
    <row r="1298" spans="1:6" x14ac:dyDescent="0.2">
      <c r="A1298" t="s">
        <v>114</v>
      </c>
      <c r="B1298" t="s">
        <v>175</v>
      </c>
      <c r="C1298">
        <v>8076</v>
      </c>
      <c r="D1298">
        <v>-1.76280285607439</v>
      </c>
      <c r="E1298">
        <v>2.4764735017335302E-4</v>
      </c>
      <c r="F1298" t="s">
        <v>306</v>
      </c>
    </row>
    <row r="1299" spans="1:6" x14ac:dyDescent="0.2">
      <c r="A1299" t="s">
        <v>60</v>
      </c>
      <c r="B1299" t="s">
        <v>189</v>
      </c>
      <c r="C1299">
        <v>8076</v>
      </c>
      <c r="D1299">
        <v>-1.76280285607439</v>
      </c>
      <c r="E1299">
        <v>2.4764735017335302E-4</v>
      </c>
      <c r="F1299" t="s">
        <v>306</v>
      </c>
    </row>
    <row r="1300" spans="1:6" x14ac:dyDescent="0.2">
      <c r="A1300" t="s">
        <v>36</v>
      </c>
      <c r="B1300" t="s">
        <v>79</v>
      </c>
      <c r="C1300">
        <v>8076</v>
      </c>
      <c r="D1300">
        <v>-1.76280285607439</v>
      </c>
      <c r="E1300">
        <v>2.4764735017335302E-4</v>
      </c>
      <c r="F1300" t="s">
        <v>306</v>
      </c>
    </row>
    <row r="1301" spans="1:6" x14ac:dyDescent="0.2">
      <c r="A1301" t="s">
        <v>45</v>
      </c>
      <c r="B1301" t="s">
        <v>79</v>
      </c>
      <c r="C1301">
        <v>8076</v>
      </c>
      <c r="D1301">
        <v>-1.76280285607439</v>
      </c>
      <c r="E1301">
        <v>2.4764735017335302E-4</v>
      </c>
      <c r="F1301" t="s">
        <v>306</v>
      </c>
    </row>
    <row r="1302" spans="1:6" x14ac:dyDescent="0.2">
      <c r="A1302" t="s">
        <v>111</v>
      </c>
      <c r="B1302" t="s">
        <v>108</v>
      </c>
      <c r="C1302">
        <v>8076</v>
      </c>
      <c r="D1302">
        <v>-1.76280285607439</v>
      </c>
      <c r="E1302">
        <v>2.4764735017335302E-4</v>
      </c>
      <c r="F1302" t="s">
        <v>306</v>
      </c>
    </row>
    <row r="1303" spans="1:6" x14ac:dyDescent="0.2">
      <c r="A1303" t="s">
        <v>90</v>
      </c>
      <c r="B1303" t="s">
        <v>107</v>
      </c>
      <c r="C1303">
        <v>8076</v>
      </c>
      <c r="D1303">
        <v>-1.76280285607439</v>
      </c>
      <c r="E1303">
        <v>2.4764735017335302E-4</v>
      </c>
      <c r="F1303" t="s">
        <v>306</v>
      </c>
    </row>
    <row r="1304" spans="1:6" x14ac:dyDescent="0.2">
      <c r="A1304" t="s">
        <v>36</v>
      </c>
      <c r="B1304" t="s">
        <v>66</v>
      </c>
      <c r="C1304">
        <v>8076</v>
      </c>
      <c r="D1304">
        <v>-1.76280285607439</v>
      </c>
      <c r="E1304">
        <v>2.4764735017335302E-4</v>
      </c>
      <c r="F1304" t="s">
        <v>306</v>
      </c>
    </row>
    <row r="1305" spans="1:6" x14ac:dyDescent="0.2">
      <c r="A1305" t="s">
        <v>124</v>
      </c>
      <c r="B1305" t="s">
        <v>17</v>
      </c>
      <c r="C1305">
        <v>8076</v>
      </c>
      <c r="D1305">
        <v>-1.76280285607439</v>
      </c>
      <c r="E1305">
        <v>2.4764735017335302E-4</v>
      </c>
      <c r="F1305" t="s">
        <v>306</v>
      </c>
    </row>
    <row r="1306" spans="1:6" x14ac:dyDescent="0.2">
      <c r="A1306" t="s">
        <v>95</v>
      </c>
      <c r="B1306" t="s">
        <v>114</v>
      </c>
      <c r="C1306">
        <v>8076</v>
      </c>
      <c r="D1306">
        <v>-1.76280285607439</v>
      </c>
      <c r="E1306">
        <v>2.4764735017335302E-4</v>
      </c>
      <c r="F1306" t="s">
        <v>306</v>
      </c>
    </row>
    <row r="1307" spans="1:6" x14ac:dyDescent="0.2">
      <c r="A1307" t="s">
        <v>73</v>
      </c>
      <c r="B1307" t="s">
        <v>59</v>
      </c>
      <c r="C1307">
        <v>8076</v>
      </c>
      <c r="D1307">
        <v>-1.76280285607439</v>
      </c>
      <c r="E1307">
        <v>2.4764735017335302E-4</v>
      </c>
      <c r="F1307" t="s">
        <v>306</v>
      </c>
    </row>
    <row r="1308" spans="1:6" x14ac:dyDescent="0.2">
      <c r="A1308" t="s">
        <v>125</v>
      </c>
      <c r="B1308" t="s">
        <v>74</v>
      </c>
      <c r="C1308">
        <v>8076</v>
      </c>
      <c r="D1308">
        <v>-1.76280285607439</v>
      </c>
      <c r="E1308">
        <v>2.4764735017335302E-4</v>
      </c>
      <c r="F1308" t="s">
        <v>306</v>
      </c>
    </row>
    <row r="1309" spans="1:6" x14ac:dyDescent="0.2">
      <c r="A1309" t="s">
        <v>32</v>
      </c>
      <c r="B1309" t="s">
        <v>111</v>
      </c>
      <c r="C1309">
        <v>8076</v>
      </c>
      <c r="D1309">
        <v>-1.76280285607439</v>
      </c>
      <c r="E1309">
        <v>2.4764735017335302E-4</v>
      </c>
      <c r="F1309" t="s">
        <v>306</v>
      </c>
    </row>
    <row r="1310" spans="1:6" x14ac:dyDescent="0.2">
      <c r="A1310" t="s">
        <v>193</v>
      </c>
      <c r="B1310" t="s">
        <v>37</v>
      </c>
      <c r="C1310">
        <v>8076</v>
      </c>
      <c r="D1310">
        <v>-1.76280285607439</v>
      </c>
      <c r="E1310">
        <v>2.4764735017335302E-4</v>
      </c>
      <c r="F1310" t="s">
        <v>306</v>
      </c>
    </row>
    <row r="1311" spans="1:6" x14ac:dyDescent="0.2">
      <c r="A1311" t="s">
        <v>79</v>
      </c>
      <c r="B1311" t="s">
        <v>92</v>
      </c>
      <c r="C1311">
        <v>8076</v>
      </c>
      <c r="D1311">
        <v>-1.76280285607439</v>
      </c>
      <c r="E1311">
        <v>2.4764735017335302E-4</v>
      </c>
      <c r="F1311" t="s">
        <v>306</v>
      </c>
    </row>
    <row r="1312" spans="1:6" x14ac:dyDescent="0.2">
      <c r="A1312" t="s">
        <v>120</v>
      </c>
      <c r="B1312" t="s">
        <v>108</v>
      </c>
      <c r="C1312">
        <v>8076</v>
      </c>
      <c r="D1312">
        <v>-1.76280285607439</v>
      </c>
      <c r="E1312">
        <v>2.4764735017335302E-4</v>
      </c>
      <c r="F1312" t="s">
        <v>306</v>
      </c>
    </row>
    <row r="1313" spans="1:6" x14ac:dyDescent="0.2">
      <c r="A1313" t="s">
        <v>125</v>
      </c>
      <c r="B1313" t="s">
        <v>61</v>
      </c>
      <c r="C1313">
        <v>8076</v>
      </c>
      <c r="D1313">
        <v>-1.76280285607439</v>
      </c>
      <c r="E1313">
        <v>2.4764735017335302E-4</v>
      </c>
      <c r="F1313" t="s">
        <v>306</v>
      </c>
    </row>
    <row r="1314" spans="1:6" x14ac:dyDescent="0.2">
      <c r="A1314" t="s">
        <v>67</v>
      </c>
      <c r="B1314" t="s">
        <v>17</v>
      </c>
      <c r="C1314">
        <v>8076</v>
      </c>
      <c r="D1314">
        <v>-1.76280285607439</v>
      </c>
      <c r="E1314">
        <v>2.4764735017335302E-4</v>
      </c>
      <c r="F1314" t="s">
        <v>306</v>
      </c>
    </row>
    <row r="1315" spans="1:6" x14ac:dyDescent="0.2">
      <c r="A1315" t="s">
        <v>107</v>
      </c>
      <c r="B1315" t="s">
        <v>25</v>
      </c>
      <c r="C1315">
        <v>8076</v>
      </c>
      <c r="D1315">
        <v>-1.76280285607439</v>
      </c>
      <c r="E1315">
        <v>2.4764735017335302E-4</v>
      </c>
      <c r="F1315" t="s">
        <v>306</v>
      </c>
    </row>
    <row r="1316" spans="1:6" x14ac:dyDescent="0.2">
      <c r="A1316" t="s">
        <v>107</v>
      </c>
      <c r="B1316" t="s">
        <v>60</v>
      </c>
      <c r="C1316">
        <v>8076</v>
      </c>
      <c r="D1316">
        <v>-1.76280285607439</v>
      </c>
      <c r="E1316">
        <v>2.4764735017335302E-4</v>
      </c>
      <c r="F1316" t="s">
        <v>306</v>
      </c>
    </row>
    <row r="1317" spans="1:6" x14ac:dyDescent="0.2">
      <c r="A1317" t="s">
        <v>125</v>
      </c>
      <c r="B1317" t="s">
        <v>50</v>
      </c>
      <c r="C1317">
        <v>8076</v>
      </c>
      <c r="D1317">
        <v>-1.76280285607439</v>
      </c>
      <c r="E1317">
        <v>2.4764735017335302E-4</v>
      </c>
      <c r="F1317" t="s">
        <v>306</v>
      </c>
    </row>
    <row r="1318" spans="1:6" x14ac:dyDescent="0.2">
      <c r="A1318" t="s">
        <v>104</v>
      </c>
      <c r="B1318" t="s">
        <v>28</v>
      </c>
      <c r="C1318">
        <v>8076</v>
      </c>
      <c r="D1318">
        <v>-1.76280285607439</v>
      </c>
      <c r="E1318">
        <v>2.4764735017335302E-4</v>
      </c>
      <c r="F1318" t="s">
        <v>306</v>
      </c>
    </row>
    <row r="1319" spans="1:6" x14ac:dyDescent="0.2">
      <c r="A1319" t="s">
        <v>187</v>
      </c>
      <c r="B1319" t="s">
        <v>125</v>
      </c>
      <c r="C1319">
        <v>8076</v>
      </c>
      <c r="D1319">
        <v>-1.76280285607439</v>
      </c>
      <c r="E1319">
        <v>2.4764735017335302E-4</v>
      </c>
      <c r="F1319" t="s">
        <v>306</v>
      </c>
    </row>
    <row r="1320" spans="1:6" x14ac:dyDescent="0.2">
      <c r="A1320" t="s">
        <v>45</v>
      </c>
      <c r="B1320" t="s">
        <v>92</v>
      </c>
      <c r="C1320">
        <v>8076</v>
      </c>
      <c r="D1320">
        <v>-1.76280285607439</v>
      </c>
      <c r="E1320">
        <v>2.4764735017335302E-4</v>
      </c>
      <c r="F1320" t="s">
        <v>306</v>
      </c>
    </row>
    <row r="1321" spans="1:6" x14ac:dyDescent="0.2">
      <c r="A1321" t="s">
        <v>74</v>
      </c>
      <c r="B1321" t="s">
        <v>111</v>
      </c>
      <c r="C1321">
        <v>8076</v>
      </c>
      <c r="D1321">
        <v>-1.76280285607439</v>
      </c>
      <c r="E1321">
        <v>2.4764735017335302E-4</v>
      </c>
      <c r="F1321" t="s">
        <v>306</v>
      </c>
    </row>
    <row r="1322" spans="1:6" x14ac:dyDescent="0.2">
      <c r="A1322" t="s">
        <v>58</v>
      </c>
      <c r="B1322" t="s">
        <v>126</v>
      </c>
      <c r="C1322">
        <v>8076</v>
      </c>
      <c r="D1322">
        <v>-1.76280285607439</v>
      </c>
      <c r="E1322">
        <v>2.4764735017335302E-4</v>
      </c>
      <c r="F1322" t="s">
        <v>306</v>
      </c>
    </row>
    <row r="1323" spans="1:6" x14ac:dyDescent="0.2">
      <c r="A1323" t="s">
        <v>123</v>
      </c>
      <c r="B1323" t="s">
        <v>61</v>
      </c>
      <c r="C1323">
        <v>8076</v>
      </c>
      <c r="D1323">
        <v>-1.76280285607439</v>
      </c>
      <c r="E1323">
        <v>2.4764735017335302E-4</v>
      </c>
      <c r="F1323" t="s">
        <v>306</v>
      </c>
    </row>
    <row r="1324" spans="1:6" x14ac:dyDescent="0.2">
      <c r="A1324" t="s">
        <v>123</v>
      </c>
      <c r="B1324" t="s">
        <v>175</v>
      </c>
      <c r="C1324">
        <v>8076</v>
      </c>
      <c r="D1324">
        <v>-1.76280285607439</v>
      </c>
      <c r="E1324">
        <v>2.4764735017335302E-4</v>
      </c>
      <c r="F1324" t="s">
        <v>306</v>
      </c>
    </row>
    <row r="1325" spans="1:6" x14ac:dyDescent="0.2">
      <c r="A1325" t="s">
        <v>25</v>
      </c>
      <c r="B1325" t="s">
        <v>175</v>
      </c>
      <c r="C1325">
        <v>8076</v>
      </c>
      <c r="D1325">
        <v>-1.76280285607439</v>
      </c>
      <c r="E1325">
        <v>2.4764735017335302E-4</v>
      </c>
      <c r="F1325" t="s">
        <v>306</v>
      </c>
    </row>
    <row r="1326" spans="1:6" x14ac:dyDescent="0.2">
      <c r="A1326" t="s">
        <v>59</v>
      </c>
      <c r="B1326" t="s">
        <v>17</v>
      </c>
      <c r="C1326">
        <v>8076</v>
      </c>
      <c r="D1326">
        <v>-1.76280285607439</v>
      </c>
      <c r="E1326">
        <v>2.4764735017335302E-4</v>
      </c>
      <c r="F1326" t="s">
        <v>306</v>
      </c>
    </row>
    <row r="1327" spans="1:6" x14ac:dyDescent="0.2">
      <c r="A1327" t="s">
        <v>58</v>
      </c>
      <c r="B1327" t="s">
        <v>25</v>
      </c>
      <c r="C1327">
        <v>8076</v>
      </c>
      <c r="D1327">
        <v>-1.76280285607439</v>
      </c>
      <c r="E1327">
        <v>2.4764735017335302E-4</v>
      </c>
      <c r="F1327" t="s">
        <v>306</v>
      </c>
    </row>
    <row r="1328" spans="1:6" x14ac:dyDescent="0.2">
      <c r="A1328" t="s">
        <v>187</v>
      </c>
      <c r="B1328" t="s">
        <v>123</v>
      </c>
      <c r="C1328">
        <v>8076</v>
      </c>
      <c r="D1328">
        <v>-1.76280285607439</v>
      </c>
      <c r="E1328">
        <v>2.4764735017335302E-4</v>
      </c>
      <c r="F1328" t="s">
        <v>306</v>
      </c>
    </row>
    <row r="1329" spans="1:6" x14ac:dyDescent="0.2">
      <c r="A1329" t="s">
        <v>163</v>
      </c>
      <c r="B1329" t="s">
        <v>37</v>
      </c>
      <c r="C1329">
        <v>8076</v>
      </c>
      <c r="D1329">
        <v>-1.76280285607439</v>
      </c>
      <c r="E1329">
        <v>2.4764735017335302E-4</v>
      </c>
      <c r="F1329" t="s">
        <v>306</v>
      </c>
    </row>
    <row r="1330" spans="1:6" x14ac:dyDescent="0.2">
      <c r="A1330" t="s">
        <v>53</v>
      </c>
      <c r="B1330" t="s">
        <v>60</v>
      </c>
      <c r="C1330">
        <v>8076</v>
      </c>
      <c r="D1330">
        <v>-1.76280285607439</v>
      </c>
      <c r="E1330">
        <v>2.4764735017335302E-4</v>
      </c>
      <c r="F1330" t="s">
        <v>306</v>
      </c>
    </row>
    <row r="1331" spans="1:6" x14ac:dyDescent="0.2">
      <c r="A1331" t="s">
        <v>189</v>
      </c>
      <c r="B1331" t="s">
        <v>38</v>
      </c>
      <c r="C1331">
        <v>8076</v>
      </c>
      <c r="D1331">
        <v>-1.76280285607439</v>
      </c>
      <c r="E1331">
        <v>2.4764735017335302E-4</v>
      </c>
      <c r="F1331" t="s">
        <v>306</v>
      </c>
    </row>
    <row r="1332" spans="1:6" x14ac:dyDescent="0.2">
      <c r="A1332" t="s">
        <v>212</v>
      </c>
      <c r="B1332" t="s">
        <v>38</v>
      </c>
      <c r="C1332">
        <v>8076</v>
      </c>
      <c r="D1332">
        <v>-1.76280285607439</v>
      </c>
      <c r="E1332">
        <v>2.4764735017335302E-4</v>
      </c>
      <c r="F1332" t="s">
        <v>306</v>
      </c>
    </row>
    <row r="1333" spans="1:6" x14ac:dyDescent="0.2">
      <c r="A1333" t="s">
        <v>212</v>
      </c>
      <c r="B1333" t="s">
        <v>95</v>
      </c>
      <c r="C1333">
        <v>8076</v>
      </c>
      <c r="D1333">
        <v>-1.76280285607439</v>
      </c>
      <c r="E1333">
        <v>2.4764735017335302E-4</v>
      </c>
      <c r="F1333" t="s">
        <v>306</v>
      </c>
    </row>
    <row r="1334" spans="1:6" x14ac:dyDescent="0.2">
      <c r="A1334" t="s">
        <v>102</v>
      </c>
      <c r="B1334" t="s">
        <v>126</v>
      </c>
      <c r="C1334">
        <v>8076</v>
      </c>
      <c r="D1334">
        <v>-1.76280285607439</v>
      </c>
      <c r="E1334">
        <v>2.4764735017335302E-4</v>
      </c>
      <c r="F1334" t="s">
        <v>306</v>
      </c>
    </row>
    <row r="1335" spans="1:6" x14ac:dyDescent="0.2">
      <c r="A1335" t="s">
        <v>37</v>
      </c>
      <c r="B1335" t="s">
        <v>66</v>
      </c>
      <c r="C1335">
        <v>8076</v>
      </c>
      <c r="D1335">
        <v>-1.76280285607439</v>
      </c>
      <c r="E1335">
        <v>2.4764735017335302E-4</v>
      </c>
      <c r="F1335" t="s">
        <v>306</v>
      </c>
    </row>
    <row r="1336" spans="1:6" x14ac:dyDescent="0.2">
      <c r="A1336" t="s">
        <v>104</v>
      </c>
      <c r="B1336" t="s">
        <v>107</v>
      </c>
      <c r="C1336">
        <v>8076</v>
      </c>
      <c r="D1336">
        <v>-1.76280285607439</v>
      </c>
      <c r="E1336">
        <v>2.4764735017335302E-4</v>
      </c>
      <c r="F1336" t="s">
        <v>306</v>
      </c>
    </row>
    <row r="1337" spans="1:6" x14ac:dyDescent="0.2">
      <c r="A1337" t="s">
        <v>58</v>
      </c>
      <c r="B1337" t="s">
        <v>177</v>
      </c>
      <c r="C1337">
        <v>8076</v>
      </c>
      <c r="D1337">
        <v>-1.76280285607439</v>
      </c>
      <c r="E1337">
        <v>2.4764735017335302E-4</v>
      </c>
      <c r="F1337" t="s">
        <v>306</v>
      </c>
    </row>
    <row r="1338" spans="1:6" x14ac:dyDescent="0.2">
      <c r="A1338" t="s">
        <v>124</v>
      </c>
      <c r="B1338" t="s">
        <v>61</v>
      </c>
      <c r="C1338">
        <v>8076</v>
      </c>
      <c r="D1338">
        <v>-1.76280285607439</v>
      </c>
      <c r="E1338">
        <v>2.4764735017335302E-4</v>
      </c>
      <c r="F1338" t="s">
        <v>306</v>
      </c>
    </row>
    <row r="1339" spans="1:6" x14ac:dyDescent="0.2">
      <c r="A1339" t="s">
        <v>163</v>
      </c>
      <c r="B1339" t="s">
        <v>59</v>
      </c>
      <c r="C1339">
        <v>8076</v>
      </c>
      <c r="D1339">
        <v>-1.76280285607439</v>
      </c>
      <c r="E1339">
        <v>2.4764735017335302E-4</v>
      </c>
      <c r="F1339" t="s">
        <v>306</v>
      </c>
    </row>
    <row r="1340" spans="1:6" x14ac:dyDescent="0.2">
      <c r="A1340" t="s">
        <v>36</v>
      </c>
      <c r="B1340" t="s">
        <v>59</v>
      </c>
      <c r="C1340">
        <v>8076</v>
      </c>
      <c r="D1340">
        <v>-1.76280285607439</v>
      </c>
      <c r="E1340">
        <v>2.4764735017335302E-4</v>
      </c>
      <c r="F1340" t="s">
        <v>306</v>
      </c>
    </row>
    <row r="1341" spans="1:6" x14ac:dyDescent="0.2">
      <c r="A1341" t="s">
        <v>32</v>
      </c>
      <c r="B1341" t="s">
        <v>28</v>
      </c>
      <c r="C1341">
        <v>8076</v>
      </c>
      <c r="D1341">
        <v>-1.76280285607439</v>
      </c>
      <c r="E1341">
        <v>2.4764735017335302E-4</v>
      </c>
      <c r="F1341" t="s">
        <v>306</v>
      </c>
    </row>
    <row r="1342" spans="1:6" x14ac:dyDescent="0.2">
      <c r="A1342" t="s">
        <v>59</v>
      </c>
      <c r="B1342" t="s">
        <v>25</v>
      </c>
      <c r="C1342">
        <v>8076</v>
      </c>
      <c r="D1342">
        <v>-1.76280285607439</v>
      </c>
      <c r="E1342">
        <v>2.4764735017335302E-4</v>
      </c>
      <c r="F1342" t="s">
        <v>306</v>
      </c>
    </row>
    <row r="1343" spans="1:6" x14ac:dyDescent="0.2">
      <c r="A1343" t="s">
        <v>123</v>
      </c>
      <c r="B1343" t="s">
        <v>189</v>
      </c>
      <c r="C1343">
        <v>8076</v>
      </c>
      <c r="D1343">
        <v>-1.76280285607439</v>
      </c>
      <c r="E1343">
        <v>2.4764735017335302E-4</v>
      </c>
      <c r="F1343" t="s">
        <v>306</v>
      </c>
    </row>
    <row r="1344" spans="1:6" x14ac:dyDescent="0.2">
      <c r="A1344" t="s">
        <v>36</v>
      </c>
      <c r="B1344" t="s">
        <v>123</v>
      </c>
      <c r="C1344">
        <v>8076</v>
      </c>
      <c r="D1344">
        <v>-1.76280285607439</v>
      </c>
      <c r="E1344">
        <v>2.4764735017335302E-4</v>
      </c>
      <c r="F1344" t="s">
        <v>306</v>
      </c>
    </row>
    <row r="1345" spans="1:6" x14ac:dyDescent="0.2">
      <c r="A1345" t="s">
        <v>73</v>
      </c>
      <c r="B1345" t="s">
        <v>53</v>
      </c>
      <c r="C1345">
        <v>8076</v>
      </c>
      <c r="D1345">
        <v>-1.76280285607439</v>
      </c>
      <c r="E1345">
        <v>2.4764735017335302E-4</v>
      </c>
      <c r="F1345" t="s">
        <v>306</v>
      </c>
    </row>
    <row r="1346" spans="1:6" x14ac:dyDescent="0.2">
      <c r="A1346" t="s">
        <v>60</v>
      </c>
      <c r="B1346" t="s">
        <v>28</v>
      </c>
      <c r="C1346">
        <v>8076</v>
      </c>
      <c r="D1346">
        <v>-1.76280285607439</v>
      </c>
      <c r="E1346">
        <v>2.4764735017335302E-4</v>
      </c>
      <c r="F1346" t="s">
        <v>306</v>
      </c>
    </row>
    <row r="1347" spans="1:6" x14ac:dyDescent="0.2">
      <c r="A1347" t="s">
        <v>193</v>
      </c>
      <c r="B1347" t="s">
        <v>108</v>
      </c>
      <c r="C1347">
        <v>8076</v>
      </c>
      <c r="D1347">
        <v>-1.76280285607439</v>
      </c>
      <c r="E1347">
        <v>2.4764735017335302E-4</v>
      </c>
      <c r="F1347" t="s">
        <v>306</v>
      </c>
    </row>
    <row r="1348" spans="1:6" x14ac:dyDescent="0.2">
      <c r="A1348" t="s">
        <v>73</v>
      </c>
      <c r="B1348" t="s">
        <v>66</v>
      </c>
      <c r="C1348">
        <v>8076</v>
      </c>
      <c r="D1348">
        <v>-1.76280285607439</v>
      </c>
      <c r="E1348">
        <v>2.4764735017335302E-4</v>
      </c>
      <c r="F1348" t="s">
        <v>306</v>
      </c>
    </row>
    <row r="1349" spans="1:6" x14ac:dyDescent="0.2">
      <c r="A1349" t="s">
        <v>73</v>
      </c>
      <c r="B1349" t="s">
        <v>90</v>
      </c>
      <c r="C1349">
        <v>8076</v>
      </c>
      <c r="D1349">
        <v>-1.76280285607439</v>
      </c>
      <c r="E1349">
        <v>2.4764735017335302E-4</v>
      </c>
      <c r="F1349" t="s">
        <v>306</v>
      </c>
    </row>
    <row r="1350" spans="1:6" x14ac:dyDescent="0.2">
      <c r="A1350" t="s">
        <v>106</v>
      </c>
      <c r="B1350" t="s">
        <v>120</v>
      </c>
      <c r="C1350">
        <v>8076</v>
      </c>
      <c r="D1350">
        <v>-1.76280285607439</v>
      </c>
      <c r="E1350">
        <v>2.4764735017335302E-4</v>
      </c>
      <c r="F1350" t="s">
        <v>306</v>
      </c>
    </row>
    <row r="1351" spans="1:6" x14ac:dyDescent="0.2">
      <c r="A1351" t="s">
        <v>73</v>
      </c>
      <c r="B1351" t="s">
        <v>25</v>
      </c>
      <c r="C1351">
        <v>8076</v>
      </c>
      <c r="D1351">
        <v>-1.76280285607439</v>
      </c>
      <c r="E1351">
        <v>2.4764735017335302E-4</v>
      </c>
      <c r="F1351" t="s">
        <v>306</v>
      </c>
    </row>
    <row r="1352" spans="1:6" x14ac:dyDescent="0.2">
      <c r="A1352" t="s">
        <v>32</v>
      </c>
      <c r="B1352" t="s">
        <v>106</v>
      </c>
      <c r="C1352">
        <v>8076</v>
      </c>
      <c r="D1352">
        <v>-1.76280285607439</v>
      </c>
      <c r="E1352">
        <v>2.4764735017335302E-4</v>
      </c>
      <c r="F1352" t="s">
        <v>306</v>
      </c>
    </row>
    <row r="1353" spans="1:6" x14ac:dyDescent="0.2">
      <c r="A1353" t="s">
        <v>58</v>
      </c>
      <c r="B1353" t="s">
        <v>129</v>
      </c>
      <c r="C1353">
        <v>8076</v>
      </c>
      <c r="D1353">
        <v>-1.76280285607439</v>
      </c>
      <c r="E1353">
        <v>2.4764735017335302E-4</v>
      </c>
      <c r="F1353" t="s">
        <v>306</v>
      </c>
    </row>
    <row r="1354" spans="1:6" x14ac:dyDescent="0.2">
      <c r="A1354" t="s">
        <v>94</v>
      </c>
      <c r="B1354" t="s">
        <v>90</v>
      </c>
      <c r="C1354">
        <v>8076</v>
      </c>
      <c r="D1354">
        <v>-1.76280285607439</v>
      </c>
      <c r="E1354">
        <v>2.4764735017335302E-4</v>
      </c>
      <c r="F1354" t="s">
        <v>306</v>
      </c>
    </row>
    <row r="1355" spans="1:6" x14ac:dyDescent="0.2">
      <c r="A1355" t="s">
        <v>92</v>
      </c>
      <c r="B1355" t="s">
        <v>111</v>
      </c>
      <c r="C1355">
        <v>8076</v>
      </c>
      <c r="D1355">
        <v>-1.76280285607439</v>
      </c>
      <c r="E1355">
        <v>2.4764735017335302E-4</v>
      </c>
      <c r="F1355" t="s">
        <v>306</v>
      </c>
    </row>
    <row r="1356" spans="1:6" x14ac:dyDescent="0.2">
      <c r="A1356" t="s">
        <v>125</v>
      </c>
      <c r="B1356" t="s">
        <v>66</v>
      </c>
      <c r="C1356">
        <v>8076</v>
      </c>
      <c r="D1356">
        <v>-1.76280285607439</v>
      </c>
      <c r="E1356">
        <v>2.4764735017335302E-4</v>
      </c>
      <c r="F1356" t="s">
        <v>306</v>
      </c>
    </row>
    <row r="1357" spans="1:6" x14ac:dyDescent="0.2">
      <c r="A1357" t="s">
        <v>124</v>
      </c>
      <c r="B1357" t="s">
        <v>175</v>
      </c>
      <c r="C1357">
        <v>8076</v>
      </c>
      <c r="D1357">
        <v>-1.76280285607439</v>
      </c>
      <c r="E1357">
        <v>2.4764735017335302E-4</v>
      </c>
      <c r="F1357" t="s">
        <v>306</v>
      </c>
    </row>
    <row r="1358" spans="1:6" x14ac:dyDescent="0.2">
      <c r="A1358" t="s">
        <v>104</v>
      </c>
      <c r="B1358" t="s">
        <v>25</v>
      </c>
      <c r="C1358">
        <v>8076</v>
      </c>
      <c r="D1358">
        <v>-1.76280285607439</v>
      </c>
      <c r="E1358">
        <v>2.4764735017335302E-4</v>
      </c>
      <c r="F1358" t="s">
        <v>306</v>
      </c>
    </row>
    <row r="1359" spans="1:6" x14ac:dyDescent="0.2">
      <c r="A1359" t="s">
        <v>32</v>
      </c>
      <c r="B1359" t="s">
        <v>123</v>
      </c>
      <c r="C1359">
        <v>8076</v>
      </c>
      <c r="D1359">
        <v>-1.76280285607439</v>
      </c>
      <c r="E1359">
        <v>2.4764735017335302E-4</v>
      </c>
      <c r="F1359" t="s">
        <v>306</v>
      </c>
    </row>
    <row r="1360" spans="1:6" x14ac:dyDescent="0.2">
      <c r="A1360" t="s">
        <v>102</v>
      </c>
      <c r="B1360" t="s">
        <v>38</v>
      </c>
      <c r="C1360">
        <v>8076</v>
      </c>
      <c r="D1360">
        <v>-1.76280285607439</v>
      </c>
      <c r="E1360">
        <v>2.4764735017335302E-4</v>
      </c>
      <c r="F1360" t="s">
        <v>306</v>
      </c>
    </row>
    <row r="1361" spans="1:6" x14ac:dyDescent="0.2">
      <c r="A1361" t="s">
        <v>32</v>
      </c>
      <c r="B1361" t="s">
        <v>79</v>
      </c>
      <c r="C1361">
        <v>8076</v>
      </c>
      <c r="D1361">
        <v>-1.76280285607439</v>
      </c>
      <c r="E1361">
        <v>2.4764735017335302E-4</v>
      </c>
      <c r="F1361" t="s">
        <v>306</v>
      </c>
    </row>
    <row r="1362" spans="1:6" x14ac:dyDescent="0.2">
      <c r="A1362" t="s">
        <v>125</v>
      </c>
      <c r="B1362" t="s">
        <v>92</v>
      </c>
      <c r="C1362">
        <v>8076</v>
      </c>
      <c r="D1362">
        <v>-1.76280285607439</v>
      </c>
      <c r="E1362">
        <v>2.4764735017335302E-4</v>
      </c>
      <c r="F1362" t="s">
        <v>306</v>
      </c>
    </row>
    <row r="1363" spans="1:6" x14ac:dyDescent="0.2">
      <c r="A1363" t="s">
        <v>73</v>
      </c>
      <c r="B1363" t="s">
        <v>102</v>
      </c>
      <c r="C1363">
        <v>8076</v>
      </c>
      <c r="D1363">
        <v>-1.76280285607439</v>
      </c>
      <c r="E1363">
        <v>2.4764735017335302E-4</v>
      </c>
      <c r="F1363" t="s">
        <v>306</v>
      </c>
    </row>
    <row r="1364" spans="1:6" x14ac:dyDescent="0.2">
      <c r="A1364" t="s">
        <v>102</v>
      </c>
      <c r="B1364" t="s">
        <v>53</v>
      </c>
      <c r="C1364">
        <v>8076</v>
      </c>
      <c r="D1364">
        <v>-1.76280285607439</v>
      </c>
      <c r="E1364">
        <v>2.4764735017335302E-4</v>
      </c>
      <c r="F1364" t="s">
        <v>306</v>
      </c>
    </row>
    <row r="1365" spans="1:6" x14ac:dyDescent="0.2">
      <c r="A1365" t="s">
        <v>92</v>
      </c>
      <c r="B1365" t="s">
        <v>28</v>
      </c>
      <c r="C1365">
        <v>8076</v>
      </c>
      <c r="D1365">
        <v>-1.76280285607439</v>
      </c>
      <c r="E1365">
        <v>2.4764735017335302E-4</v>
      </c>
      <c r="F1365" t="s">
        <v>306</v>
      </c>
    </row>
    <row r="1366" spans="1:6" x14ac:dyDescent="0.2">
      <c r="A1366" t="s">
        <v>45</v>
      </c>
      <c r="B1366" t="s">
        <v>38</v>
      </c>
      <c r="C1366">
        <v>8076</v>
      </c>
      <c r="D1366">
        <v>-1.76280285607439</v>
      </c>
      <c r="E1366">
        <v>2.4764735017335302E-4</v>
      </c>
      <c r="F1366" t="s">
        <v>306</v>
      </c>
    </row>
    <row r="1367" spans="1:6" x14ac:dyDescent="0.2">
      <c r="A1367" t="s">
        <v>90</v>
      </c>
      <c r="B1367" t="s">
        <v>25</v>
      </c>
      <c r="C1367">
        <v>8076</v>
      </c>
      <c r="D1367">
        <v>-1.76280285607439</v>
      </c>
      <c r="E1367">
        <v>2.4764735017335302E-4</v>
      </c>
      <c r="F1367" t="s">
        <v>306</v>
      </c>
    </row>
    <row r="1368" spans="1:6" x14ac:dyDescent="0.2">
      <c r="A1368" t="s">
        <v>106</v>
      </c>
      <c r="B1368" t="s">
        <v>111</v>
      </c>
      <c r="C1368">
        <v>8076</v>
      </c>
      <c r="D1368">
        <v>-1.76280285607439</v>
      </c>
      <c r="E1368">
        <v>2.4764735017335302E-4</v>
      </c>
      <c r="F1368" t="s">
        <v>306</v>
      </c>
    </row>
    <row r="1369" spans="1:6" x14ac:dyDescent="0.2">
      <c r="A1369" t="s">
        <v>45</v>
      </c>
      <c r="B1369" t="s">
        <v>106</v>
      </c>
      <c r="C1369">
        <v>8076</v>
      </c>
      <c r="D1369">
        <v>-1.76280285607439</v>
      </c>
      <c r="E1369">
        <v>2.4764735017335302E-4</v>
      </c>
      <c r="F1369" t="s">
        <v>306</v>
      </c>
    </row>
    <row r="1370" spans="1:6" x14ac:dyDescent="0.2">
      <c r="A1370" t="s">
        <v>67</v>
      </c>
      <c r="B1370" t="s">
        <v>37</v>
      </c>
      <c r="C1370">
        <v>8076</v>
      </c>
      <c r="D1370">
        <v>-1.76280285607439</v>
      </c>
      <c r="E1370">
        <v>2.4764735017335302E-4</v>
      </c>
      <c r="F1370" t="s">
        <v>306</v>
      </c>
    </row>
    <row r="1371" spans="1:6" x14ac:dyDescent="0.2">
      <c r="A1371" t="s">
        <v>62</v>
      </c>
      <c r="B1371" t="s">
        <v>60</v>
      </c>
      <c r="C1371">
        <v>8076</v>
      </c>
      <c r="D1371">
        <v>-1.76280285607439</v>
      </c>
      <c r="E1371">
        <v>2.4764735017335302E-4</v>
      </c>
      <c r="F1371" t="s">
        <v>306</v>
      </c>
    </row>
    <row r="1372" spans="1:6" x14ac:dyDescent="0.2">
      <c r="A1372" t="s">
        <v>94</v>
      </c>
      <c r="B1372" t="s">
        <v>125</v>
      </c>
      <c r="C1372">
        <v>8076</v>
      </c>
      <c r="D1372">
        <v>-1.76280285607439</v>
      </c>
      <c r="E1372">
        <v>2.4764735017335302E-4</v>
      </c>
      <c r="F1372" t="s">
        <v>306</v>
      </c>
    </row>
    <row r="1373" spans="1:6" x14ac:dyDescent="0.2">
      <c r="A1373" t="s">
        <v>100</v>
      </c>
      <c r="B1373" t="s">
        <v>111</v>
      </c>
      <c r="C1373">
        <v>8076</v>
      </c>
      <c r="D1373">
        <v>-1.76280285607439</v>
      </c>
      <c r="E1373">
        <v>2.4764735017335302E-4</v>
      </c>
      <c r="F1373" t="s">
        <v>306</v>
      </c>
    </row>
    <row r="1374" spans="1:6" x14ac:dyDescent="0.2">
      <c r="A1374" t="s">
        <v>95</v>
      </c>
      <c r="B1374" t="s">
        <v>163</v>
      </c>
      <c r="C1374">
        <v>8076</v>
      </c>
      <c r="D1374">
        <v>-1.76280285607439</v>
      </c>
      <c r="E1374">
        <v>2.4764735017335302E-4</v>
      </c>
      <c r="F1374" t="s">
        <v>306</v>
      </c>
    </row>
    <row r="1375" spans="1:6" x14ac:dyDescent="0.2">
      <c r="A1375" t="s">
        <v>36</v>
      </c>
      <c r="B1375" t="s">
        <v>60</v>
      </c>
      <c r="C1375">
        <v>8076</v>
      </c>
      <c r="D1375">
        <v>-1.76280285607439</v>
      </c>
      <c r="E1375">
        <v>2.4764735017335302E-4</v>
      </c>
      <c r="F1375" t="s">
        <v>306</v>
      </c>
    </row>
    <row r="1376" spans="1:6" x14ac:dyDescent="0.2">
      <c r="A1376" t="s">
        <v>163</v>
      </c>
      <c r="B1376" t="s">
        <v>107</v>
      </c>
      <c r="C1376">
        <v>8076</v>
      </c>
      <c r="D1376">
        <v>-1.76280285607439</v>
      </c>
      <c r="E1376">
        <v>2.4764735017335302E-4</v>
      </c>
      <c r="F1376" t="s">
        <v>306</v>
      </c>
    </row>
    <row r="1377" spans="1:6" x14ac:dyDescent="0.2">
      <c r="A1377" t="s">
        <v>100</v>
      </c>
      <c r="B1377" t="s">
        <v>106</v>
      </c>
      <c r="C1377">
        <v>8076</v>
      </c>
      <c r="D1377">
        <v>-1.76280285607439</v>
      </c>
      <c r="E1377">
        <v>2.4764735017335302E-4</v>
      </c>
      <c r="F1377" t="s">
        <v>306</v>
      </c>
    </row>
    <row r="1378" spans="1:6" x14ac:dyDescent="0.2">
      <c r="A1378" t="s">
        <v>126</v>
      </c>
      <c r="B1378" t="s">
        <v>74</v>
      </c>
      <c r="C1378">
        <v>8076</v>
      </c>
      <c r="D1378">
        <v>-1.76280285607439</v>
      </c>
      <c r="E1378">
        <v>2.4764735017335302E-4</v>
      </c>
      <c r="F1378" t="s">
        <v>306</v>
      </c>
    </row>
    <row r="1379" spans="1:6" x14ac:dyDescent="0.2">
      <c r="A1379" t="s">
        <v>90</v>
      </c>
      <c r="B1379" t="s">
        <v>37</v>
      </c>
      <c r="C1379">
        <v>8076</v>
      </c>
      <c r="D1379">
        <v>-1.76280285607439</v>
      </c>
      <c r="E1379">
        <v>2.4764735017335302E-4</v>
      </c>
      <c r="F1379" t="s">
        <v>306</v>
      </c>
    </row>
    <row r="1380" spans="1:6" x14ac:dyDescent="0.2">
      <c r="A1380" t="s">
        <v>73</v>
      </c>
      <c r="B1380" t="s">
        <v>114</v>
      </c>
      <c r="C1380">
        <v>8076</v>
      </c>
      <c r="D1380">
        <v>-1.76280285607439</v>
      </c>
      <c r="E1380">
        <v>2.4764735017335302E-4</v>
      </c>
      <c r="F1380" t="s">
        <v>306</v>
      </c>
    </row>
    <row r="1381" spans="1:6" x14ac:dyDescent="0.2">
      <c r="A1381" t="s">
        <v>95</v>
      </c>
      <c r="B1381" t="s">
        <v>79</v>
      </c>
      <c r="C1381">
        <v>8076</v>
      </c>
      <c r="D1381">
        <v>-1.76280285607439</v>
      </c>
      <c r="E1381">
        <v>2.4764735017335302E-4</v>
      </c>
      <c r="F1381" t="s">
        <v>306</v>
      </c>
    </row>
    <row r="1382" spans="1:6" x14ac:dyDescent="0.2">
      <c r="A1382" t="s">
        <v>45</v>
      </c>
      <c r="B1382" t="s">
        <v>17</v>
      </c>
      <c r="C1382">
        <v>8076</v>
      </c>
      <c r="D1382">
        <v>-1.76280285607439</v>
      </c>
      <c r="E1382">
        <v>2.4764735017335302E-4</v>
      </c>
      <c r="F1382" t="s">
        <v>306</v>
      </c>
    </row>
    <row r="1383" spans="1:6" x14ac:dyDescent="0.2">
      <c r="A1383" t="s">
        <v>62</v>
      </c>
      <c r="B1383" t="s">
        <v>123</v>
      </c>
      <c r="C1383">
        <v>8076</v>
      </c>
      <c r="D1383">
        <v>-1.76280285607439</v>
      </c>
      <c r="E1383">
        <v>2.4764735017335302E-4</v>
      </c>
      <c r="F1383" t="s">
        <v>306</v>
      </c>
    </row>
    <row r="1384" spans="1:6" x14ac:dyDescent="0.2">
      <c r="A1384" t="s">
        <v>73</v>
      </c>
      <c r="B1384" t="s">
        <v>67</v>
      </c>
      <c r="C1384">
        <v>8076</v>
      </c>
      <c r="D1384">
        <v>-1.76280285607439</v>
      </c>
      <c r="E1384">
        <v>2.4764735017335302E-4</v>
      </c>
      <c r="F1384" t="s">
        <v>306</v>
      </c>
    </row>
    <row r="1385" spans="1:6" x14ac:dyDescent="0.2">
      <c r="A1385" t="s">
        <v>106</v>
      </c>
      <c r="B1385" t="s">
        <v>189</v>
      </c>
      <c r="C1385">
        <v>8076</v>
      </c>
      <c r="D1385">
        <v>-1.76280285607439</v>
      </c>
      <c r="E1385">
        <v>2.4764735017335302E-4</v>
      </c>
      <c r="F1385" t="s">
        <v>306</v>
      </c>
    </row>
    <row r="1386" spans="1:6" x14ac:dyDescent="0.2">
      <c r="A1386" t="s">
        <v>53</v>
      </c>
      <c r="B1386" t="s">
        <v>126</v>
      </c>
      <c r="C1386">
        <v>8076</v>
      </c>
      <c r="D1386">
        <v>-1.76280285607439</v>
      </c>
      <c r="E1386">
        <v>2.4764735017335302E-4</v>
      </c>
      <c r="F1386" t="s">
        <v>306</v>
      </c>
    </row>
    <row r="1387" spans="1:6" x14ac:dyDescent="0.2">
      <c r="A1387" t="s">
        <v>111</v>
      </c>
      <c r="B1387" t="s">
        <v>175</v>
      </c>
      <c r="C1387">
        <v>8076</v>
      </c>
      <c r="D1387">
        <v>-1.76280285607439</v>
      </c>
      <c r="E1387">
        <v>2.4764735017335302E-4</v>
      </c>
      <c r="F1387" t="s">
        <v>306</v>
      </c>
    </row>
    <row r="1388" spans="1:6" x14ac:dyDescent="0.2">
      <c r="A1388" t="s">
        <v>94</v>
      </c>
      <c r="B1388" t="s">
        <v>59</v>
      </c>
      <c r="C1388">
        <v>8076</v>
      </c>
      <c r="D1388">
        <v>-1.76280285607439</v>
      </c>
      <c r="E1388">
        <v>2.4764735017335302E-4</v>
      </c>
      <c r="F1388" t="s">
        <v>306</v>
      </c>
    </row>
    <row r="1389" spans="1:6" x14ac:dyDescent="0.2">
      <c r="A1389" t="s">
        <v>124</v>
      </c>
      <c r="B1389" t="s">
        <v>100</v>
      </c>
      <c r="C1389">
        <v>8076</v>
      </c>
      <c r="D1389">
        <v>-1.76280285607439</v>
      </c>
      <c r="E1389">
        <v>2.4764735017335302E-4</v>
      </c>
      <c r="F1389" t="s">
        <v>306</v>
      </c>
    </row>
    <row r="1390" spans="1:6" x14ac:dyDescent="0.2">
      <c r="A1390" t="s">
        <v>79</v>
      </c>
      <c r="B1390" t="s">
        <v>123</v>
      </c>
      <c r="C1390">
        <v>8076</v>
      </c>
      <c r="D1390">
        <v>-1.76280285607439</v>
      </c>
      <c r="E1390">
        <v>2.4764735017335302E-4</v>
      </c>
      <c r="F1390" t="s">
        <v>306</v>
      </c>
    </row>
    <row r="1391" spans="1:6" x14ac:dyDescent="0.2">
      <c r="A1391" t="s">
        <v>17</v>
      </c>
      <c r="B1391" t="s">
        <v>61</v>
      </c>
      <c r="C1391">
        <v>8076</v>
      </c>
      <c r="D1391">
        <v>-1.76280285607439</v>
      </c>
      <c r="E1391">
        <v>2.4764735017335302E-4</v>
      </c>
      <c r="F1391" t="s">
        <v>306</v>
      </c>
    </row>
    <row r="1392" spans="1:6" x14ac:dyDescent="0.2">
      <c r="A1392" t="s">
        <v>53</v>
      </c>
      <c r="B1392" t="s">
        <v>28</v>
      </c>
      <c r="C1392">
        <v>8076</v>
      </c>
      <c r="D1392">
        <v>-1.76280285607439</v>
      </c>
      <c r="E1392">
        <v>2.4764735017335302E-4</v>
      </c>
      <c r="F1392" t="s">
        <v>306</v>
      </c>
    </row>
    <row r="1393" spans="1:6" x14ac:dyDescent="0.2">
      <c r="A1393" t="s">
        <v>58</v>
      </c>
      <c r="B1393" t="s">
        <v>92</v>
      </c>
      <c r="C1393">
        <v>8076</v>
      </c>
      <c r="D1393">
        <v>-1.76280285607439</v>
      </c>
      <c r="E1393">
        <v>2.4764735017335302E-4</v>
      </c>
      <c r="F1393" t="s">
        <v>306</v>
      </c>
    </row>
    <row r="1394" spans="1:6" x14ac:dyDescent="0.2">
      <c r="A1394" t="s">
        <v>58</v>
      </c>
      <c r="B1394" t="s">
        <v>90</v>
      </c>
      <c r="C1394">
        <v>8076</v>
      </c>
      <c r="D1394">
        <v>-1.76280285607439</v>
      </c>
      <c r="E1394">
        <v>2.4764735017335302E-4</v>
      </c>
      <c r="F1394" t="s">
        <v>306</v>
      </c>
    </row>
    <row r="1395" spans="1:6" x14ac:dyDescent="0.2">
      <c r="A1395" t="s">
        <v>102</v>
      </c>
      <c r="B1395" t="s">
        <v>106</v>
      </c>
      <c r="C1395">
        <v>8076</v>
      </c>
      <c r="D1395">
        <v>-1.76280285607439</v>
      </c>
      <c r="E1395">
        <v>2.4764735017335302E-4</v>
      </c>
      <c r="F1395" t="s">
        <v>306</v>
      </c>
    </row>
    <row r="1396" spans="1:6" x14ac:dyDescent="0.2">
      <c r="A1396" t="s">
        <v>50</v>
      </c>
      <c r="B1396" t="s">
        <v>61</v>
      </c>
      <c r="C1396">
        <v>8076</v>
      </c>
      <c r="D1396">
        <v>-1.76280285607439</v>
      </c>
      <c r="E1396">
        <v>2.4764735017335302E-4</v>
      </c>
      <c r="F1396" t="s">
        <v>306</v>
      </c>
    </row>
    <row r="1397" spans="1:6" x14ac:dyDescent="0.2">
      <c r="A1397" t="s">
        <v>187</v>
      </c>
      <c r="B1397" t="s">
        <v>61</v>
      </c>
      <c r="C1397">
        <v>8076</v>
      </c>
      <c r="D1397">
        <v>-1.76280285607439</v>
      </c>
      <c r="E1397">
        <v>2.4764735017335302E-4</v>
      </c>
      <c r="F1397" t="s">
        <v>306</v>
      </c>
    </row>
    <row r="1398" spans="1:6" x14ac:dyDescent="0.2">
      <c r="A1398" t="s">
        <v>59</v>
      </c>
      <c r="B1398" t="s">
        <v>129</v>
      </c>
      <c r="C1398">
        <v>8076</v>
      </c>
      <c r="D1398">
        <v>-1.76280285607439</v>
      </c>
      <c r="E1398">
        <v>2.4764735017335302E-4</v>
      </c>
      <c r="F1398" t="s">
        <v>306</v>
      </c>
    </row>
    <row r="1399" spans="1:6" x14ac:dyDescent="0.2">
      <c r="A1399" t="s">
        <v>102</v>
      </c>
      <c r="B1399" t="s">
        <v>36</v>
      </c>
      <c r="C1399">
        <v>8076</v>
      </c>
      <c r="D1399">
        <v>-1.76280285607439</v>
      </c>
      <c r="E1399">
        <v>2.4764735017335302E-4</v>
      </c>
      <c r="F1399" t="s">
        <v>306</v>
      </c>
    </row>
    <row r="1400" spans="1:6" x14ac:dyDescent="0.2">
      <c r="A1400" t="s">
        <v>73</v>
      </c>
      <c r="B1400" t="s">
        <v>61</v>
      </c>
      <c r="C1400">
        <v>8076</v>
      </c>
      <c r="D1400">
        <v>-1.76280285607439</v>
      </c>
      <c r="E1400">
        <v>2.4764735017335302E-4</v>
      </c>
      <c r="F1400" t="s">
        <v>306</v>
      </c>
    </row>
    <row r="1401" spans="1:6" x14ac:dyDescent="0.2">
      <c r="A1401" t="s">
        <v>36</v>
      </c>
      <c r="B1401" t="s">
        <v>25</v>
      </c>
      <c r="C1401">
        <v>8076</v>
      </c>
      <c r="D1401">
        <v>-1.76280285607439</v>
      </c>
      <c r="E1401">
        <v>2.4764735017335302E-4</v>
      </c>
      <c r="F1401" t="s">
        <v>306</v>
      </c>
    </row>
    <row r="1402" spans="1:6" x14ac:dyDescent="0.2">
      <c r="A1402" t="s">
        <v>107</v>
      </c>
      <c r="B1402" t="s">
        <v>108</v>
      </c>
      <c r="C1402">
        <v>8076</v>
      </c>
      <c r="D1402">
        <v>-1.76280285607439</v>
      </c>
      <c r="E1402">
        <v>2.4764735017335302E-4</v>
      </c>
      <c r="F1402" t="s">
        <v>306</v>
      </c>
    </row>
    <row r="1403" spans="1:6" x14ac:dyDescent="0.2">
      <c r="A1403" t="s">
        <v>104</v>
      </c>
      <c r="B1403" t="s">
        <v>189</v>
      </c>
      <c r="C1403">
        <v>8076</v>
      </c>
      <c r="D1403">
        <v>-1.76280285607439</v>
      </c>
      <c r="E1403">
        <v>2.4764735017335302E-4</v>
      </c>
      <c r="F1403" t="s">
        <v>306</v>
      </c>
    </row>
    <row r="1404" spans="1:6" x14ac:dyDescent="0.2">
      <c r="A1404" t="s">
        <v>95</v>
      </c>
      <c r="B1404" t="s">
        <v>94</v>
      </c>
      <c r="C1404">
        <v>8076</v>
      </c>
      <c r="D1404">
        <v>-1.76280285607439</v>
      </c>
      <c r="E1404">
        <v>2.4764735017335302E-4</v>
      </c>
      <c r="F1404" t="s">
        <v>306</v>
      </c>
    </row>
    <row r="1405" spans="1:6" x14ac:dyDescent="0.2">
      <c r="A1405" t="s">
        <v>90</v>
      </c>
      <c r="B1405" t="s">
        <v>74</v>
      </c>
      <c r="C1405">
        <v>8076</v>
      </c>
      <c r="D1405">
        <v>-1.76280285607439</v>
      </c>
      <c r="E1405">
        <v>2.4764735017335302E-4</v>
      </c>
      <c r="F1405" t="s">
        <v>306</v>
      </c>
    </row>
    <row r="1406" spans="1:6" x14ac:dyDescent="0.2">
      <c r="A1406" t="s">
        <v>73</v>
      </c>
      <c r="B1406" t="s">
        <v>104</v>
      </c>
      <c r="C1406">
        <v>8076</v>
      </c>
      <c r="D1406">
        <v>-1.76280285607439</v>
      </c>
      <c r="E1406">
        <v>2.4764735017335302E-4</v>
      </c>
      <c r="F1406" t="s">
        <v>306</v>
      </c>
    </row>
    <row r="1407" spans="1:6" x14ac:dyDescent="0.2">
      <c r="A1407" t="s">
        <v>102</v>
      </c>
      <c r="B1407" t="s">
        <v>66</v>
      </c>
      <c r="C1407">
        <v>8076</v>
      </c>
      <c r="D1407">
        <v>-1.76280285607439</v>
      </c>
      <c r="E1407">
        <v>2.4764735017335302E-4</v>
      </c>
      <c r="F1407" t="s">
        <v>306</v>
      </c>
    </row>
    <row r="1408" spans="1:6" x14ac:dyDescent="0.2">
      <c r="A1408" t="s">
        <v>28</v>
      </c>
      <c r="B1408" t="s">
        <v>38</v>
      </c>
      <c r="C1408">
        <v>8076</v>
      </c>
      <c r="D1408">
        <v>-1.76280285607439</v>
      </c>
      <c r="E1408">
        <v>2.4764735017335302E-4</v>
      </c>
      <c r="F1408" t="s">
        <v>306</v>
      </c>
    </row>
    <row r="1409" spans="1:6" x14ac:dyDescent="0.2">
      <c r="A1409" t="s">
        <v>45</v>
      </c>
      <c r="B1409" t="s">
        <v>189</v>
      </c>
      <c r="C1409">
        <v>8076</v>
      </c>
      <c r="D1409">
        <v>-1.76280285607439</v>
      </c>
      <c r="E1409">
        <v>2.4764735017335302E-4</v>
      </c>
      <c r="F1409" t="s">
        <v>306</v>
      </c>
    </row>
    <row r="1410" spans="1:6" x14ac:dyDescent="0.2">
      <c r="A1410" t="s">
        <v>126</v>
      </c>
      <c r="B1410" t="s">
        <v>25</v>
      </c>
      <c r="C1410">
        <v>8076</v>
      </c>
      <c r="D1410">
        <v>-1.76280285607439</v>
      </c>
      <c r="E1410">
        <v>2.4764735017335302E-4</v>
      </c>
      <c r="F1410" t="s">
        <v>306</v>
      </c>
    </row>
    <row r="1411" spans="1:6" x14ac:dyDescent="0.2">
      <c r="A1411" t="s">
        <v>124</v>
      </c>
      <c r="B1411" t="s">
        <v>120</v>
      </c>
      <c r="C1411">
        <v>8076</v>
      </c>
      <c r="D1411">
        <v>-1.76280285607439</v>
      </c>
      <c r="E1411">
        <v>2.4764735017335302E-4</v>
      </c>
      <c r="F1411" t="s">
        <v>306</v>
      </c>
    </row>
    <row r="1412" spans="1:6" x14ac:dyDescent="0.2">
      <c r="A1412" t="s">
        <v>100</v>
      </c>
      <c r="B1412" t="s">
        <v>126</v>
      </c>
      <c r="C1412">
        <v>8076</v>
      </c>
      <c r="D1412">
        <v>-1.76280285607439</v>
      </c>
      <c r="E1412">
        <v>2.4764735017335302E-4</v>
      </c>
      <c r="F1412" t="s">
        <v>306</v>
      </c>
    </row>
    <row r="1413" spans="1:6" x14ac:dyDescent="0.2">
      <c r="A1413" t="s">
        <v>28</v>
      </c>
      <c r="B1413" t="s">
        <v>108</v>
      </c>
      <c r="C1413">
        <v>8076</v>
      </c>
      <c r="D1413">
        <v>-1.76280285607439</v>
      </c>
      <c r="E1413">
        <v>2.4764735017335302E-4</v>
      </c>
      <c r="F1413" t="s">
        <v>306</v>
      </c>
    </row>
    <row r="1414" spans="1:6" x14ac:dyDescent="0.2">
      <c r="A1414" t="s">
        <v>104</v>
      </c>
      <c r="B1414" t="s">
        <v>114</v>
      </c>
      <c r="C1414">
        <v>8076</v>
      </c>
      <c r="D1414">
        <v>-1.76280285607439</v>
      </c>
      <c r="E1414">
        <v>2.4764735017335302E-4</v>
      </c>
      <c r="F1414" t="s">
        <v>306</v>
      </c>
    </row>
    <row r="1415" spans="1:6" x14ac:dyDescent="0.2">
      <c r="A1415" t="s">
        <v>124</v>
      </c>
      <c r="B1415" t="s">
        <v>114</v>
      </c>
      <c r="C1415">
        <v>8076</v>
      </c>
      <c r="D1415">
        <v>-1.76280285607439</v>
      </c>
      <c r="E1415">
        <v>2.4764735017335302E-4</v>
      </c>
      <c r="F1415" t="s">
        <v>306</v>
      </c>
    </row>
    <row r="1416" spans="1:6" x14ac:dyDescent="0.2">
      <c r="A1416" t="s">
        <v>73</v>
      </c>
      <c r="B1416" t="s">
        <v>124</v>
      </c>
      <c r="C1416">
        <v>8076</v>
      </c>
      <c r="D1416">
        <v>-1.76280285607439</v>
      </c>
      <c r="E1416">
        <v>2.4764735017335302E-4</v>
      </c>
      <c r="F1416" t="s">
        <v>306</v>
      </c>
    </row>
    <row r="1417" spans="1:6" x14ac:dyDescent="0.2">
      <c r="A1417" t="s">
        <v>67</v>
      </c>
      <c r="B1417" t="s">
        <v>60</v>
      </c>
      <c r="C1417">
        <v>8076</v>
      </c>
      <c r="D1417">
        <v>-1.76280285607439</v>
      </c>
      <c r="E1417">
        <v>2.4764735017335302E-4</v>
      </c>
      <c r="F1417" t="s">
        <v>306</v>
      </c>
    </row>
    <row r="1418" spans="1:6" x14ac:dyDescent="0.2">
      <c r="A1418" t="s">
        <v>67</v>
      </c>
      <c r="B1418" t="s">
        <v>125</v>
      </c>
      <c r="C1418">
        <v>8076</v>
      </c>
      <c r="D1418">
        <v>-1.76280285607439</v>
      </c>
      <c r="E1418">
        <v>2.4764735017335302E-4</v>
      </c>
      <c r="F1418" t="s">
        <v>306</v>
      </c>
    </row>
    <row r="1419" spans="1:6" x14ac:dyDescent="0.2">
      <c r="A1419" t="s">
        <v>28</v>
      </c>
      <c r="B1419" t="s">
        <v>129</v>
      </c>
      <c r="C1419">
        <v>8076</v>
      </c>
      <c r="D1419">
        <v>-1.76280285607439</v>
      </c>
      <c r="E1419">
        <v>2.4764735017335302E-4</v>
      </c>
      <c r="F1419" t="s">
        <v>306</v>
      </c>
    </row>
    <row r="1420" spans="1:6" x14ac:dyDescent="0.2">
      <c r="A1420" t="s">
        <v>212</v>
      </c>
      <c r="B1420" t="s">
        <v>104</v>
      </c>
      <c r="C1420">
        <v>8076</v>
      </c>
      <c r="D1420">
        <v>-1.76280285607439</v>
      </c>
      <c r="E1420">
        <v>2.4764735017335302E-4</v>
      </c>
      <c r="F1420" t="s">
        <v>306</v>
      </c>
    </row>
    <row r="1421" spans="1:6" x14ac:dyDescent="0.2">
      <c r="A1421" t="s">
        <v>193</v>
      </c>
      <c r="B1421" t="s">
        <v>114</v>
      </c>
      <c r="C1421">
        <v>8076</v>
      </c>
      <c r="D1421">
        <v>-1.76280285607439</v>
      </c>
      <c r="E1421">
        <v>2.4764735017335302E-4</v>
      </c>
      <c r="F1421" t="s">
        <v>306</v>
      </c>
    </row>
    <row r="1422" spans="1:6" x14ac:dyDescent="0.2">
      <c r="A1422" t="s">
        <v>94</v>
      </c>
      <c r="B1422" t="s">
        <v>177</v>
      </c>
      <c r="C1422">
        <v>8076</v>
      </c>
      <c r="D1422">
        <v>-1.76280285607439</v>
      </c>
      <c r="E1422">
        <v>2.4764735017335302E-4</v>
      </c>
      <c r="F1422" t="s">
        <v>306</v>
      </c>
    </row>
    <row r="1423" spans="1:6" x14ac:dyDescent="0.2">
      <c r="A1423" t="s">
        <v>106</v>
      </c>
      <c r="B1423" t="s">
        <v>74</v>
      </c>
      <c r="C1423">
        <v>8076</v>
      </c>
      <c r="D1423">
        <v>-1.76280285607439</v>
      </c>
      <c r="E1423">
        <v>2.4764735017335302E-4</v>
      </c>
      <c r="F1423" t="s">
        <v>306</v>
      </c>
    </row>
    <row r="1424" spans="1:6" x14ac:dyDescent="0.2">
      <c r="A1424" t="s">
        <v>125</v>
      </c>
      <c r="B1424" t="s">
        <v>114</v>
      </c>
      <c r="C1424">
        <v>8076</v>
      </c>
      <c r="D1424">
        <v>-1.76280285607439</v>
      </c>
      <c r="E1424">
        <v>2.4764735017335302E-4</v>
      </c>
      <c r="F1424" t="s">
        <v>306</v>
      </c>
    </row>
    <row r="1425" spans="1:6" x14ac:dyDescent="0.2">
      <c r="A1425" t="s">
        <v>187</v>
      </c>
      <c r="B1425" t="s">
        <v>37</v>
      </c>
      <c r="C1425">
        <v>8076</v>
      </c>
      <c r="D1425">
        <v>-1.76280285607439</v>
      </c>
      <c r="E1425">
        <v>2.4764735017335302E-4</v>
      </c>
      <c r="F1425" t="s">
        <v>306</v>
      </c>
    </row>
    <row r="1426" spans="1:6" x14ac:dyDescent="0.2">
      <c r="A1426" t="s">
        <v>90</v>
      </c>
      <c r="B1426" t="s">
        <v>45</v>
      </c>
      <c r="C1426">
        <v>8076</v>
      </c>
      <c r="D1426">
        <v>-1.76280285607439</v>
      </c>
      <c r="E1426">
        <v>2.4764735017335302E-4</v>
      </c>
      <c r="F1426" t="s">
        <v>306</v>
      </c>
    </row>
    <row r="1427" spans="1:6" x14ac:dyDescent="0.2">
      <c r="A1427" t="s">
        <v>100</v>
      </c>
      <c r="B1427" t="s">
        <v>60</v>
      </c>
      <c r="C1427">
        <v>8076</v>
      </c>
      <c r="D1427">
        <v>-1.76280285607439</v>
      </c>
      <c r="E1427">
        <v>2.4764735017335302E-4</v>
      </c>
      <c r="F1427" t="s">
        <v>306</v>
      </c>
    </row>
    <row r="1428" spans="1:6" x14ac:dyDescent="0.2">
      <c r="A1428" t="s">
        <v>36</v>
      </c>
      <c r="B1428" t="s">
        <v>111</v>
      </c>
      <c r="C1428">
        <v>8076</v>
      </c>
      <c r="D1428">
        <v>-1.76280285607439</v>
      </c>
      <c r="E1428">
        <v>2.4764735017335302E-4</v>
      </c>
      <c r="F1428" t="s">
        <v>306</v>
      </c>
    </row>
    <row r="1429" spans="1:6" x14ac:dyDescent="0.2">
      <c r="A1429" t="s">
        <v>193</v>
      </c>
      <c r="B1429" t="s">
        <v>106</v>
      </c>
      <c r="C1429">
        <v>8076</v>
      </c>
      <c r="D1429">
        <v>-1.76280285607439</v>
      </c>
      <c r="E1429">
        <v>2.4764735017335302E-4</v>
      </c>
      <c r="F1429" t="s">
        <v>306</v>
      </c>
    </row>
    <row r="1430" spans="1:6" x14ac:dyDescent="0.2">
      <c r="A1430" t="s">
        <v>58</v>
      </c>
      <c r="B1430" t="s">
        <v>120</v>
      </c>
      <c r="C1430">
        <v>8076</v>
      </c>
      <c r="D1430">
        <v>-1.76280285607439</v>
      </c>
      <c r="E1430">
        <v>2.4764735017335302E-4</v>
      </c>
      <c r="F1430" t="s">
        <v>306</v>
      </c>
    </row>
    <row r="1431" spans="1:6" x14ac:dyDescent="0.2">
      <c r="A1431" t="s">
        <v>92</v>
      </c>
      <c r="B1431" t="s">
        <v>129</v>
      </c>
      <c r="C1431">
        <v>8076</v>
      </c>
      <c r="D1431">
        <v>-1.76280285607439</v>
      </c>
      <c r="E1431">
        <v>2.4764735017335302E-4</v>
      </c>
      <c r="F1431" t="s">
        <v>306</v>
      </c>
    </row>
    <row r="1432" spans="1:6" x14ac:dyDescent="0.2">
      <c r="A1432" t="s">
        <v>61</v>
      </c>
      <c r="B1432" t="s">
        <v>175</v>
      </c>
      <c r="C1432">
        <v>8076</v>
      </c>
      <c r="D1432">
        <v>-1.76280285607439</v>
      </c>
      <c r="E1432">
        <v>2.4764735017335302E-4</v>
      </c>
      <c r="F1432" t="s">
        <v>306</v>
      </c>
    </row>
    <row r="1433" spans="1:6" x14ac:dyDescent="0.2">
      <c r="A1433" t="s">
        <v>126</v>
      </c>
      <c r="B1433" t="s">
        <v>108</v>
      </c>
      <c r="C1433">
        <v>8076</v>
      </c>
      <c r="D1433">
        <v>-1.76280285607439</v>
      </c>
      <c r="E1433">
        <v>2.4764735017335302E-4</v>
      </c>
      <c r="F1433" t="s">
        <v>306</v>
      </c>
    </row>
    <row r="1434" spans="1:6" x14ac:dyDescent="0.2">
      <c r="A1434" t="s">
        <v>92</v>
      </c>
      <c r="B1434" t="s">
        <v>50</v>
      </c>
      <c r="C1434">
        <v>8076</v>
      </c>
      <c r="D1434">
        <v>-1.76280285607439</v>
      </c>
      <c r="E1434">
        <v>2.4764735017335302E-4</v>
      </c>
      <c r="F1434" t="s">
        <v>306</v>
      </c>
    </row>
    <row r="1435" spans="1:6" x14ac:dyDescent="0.2">
      <c r="A1435" t="s">
        <v>94</v>
      </c>
      <c r="B1435" t="s">
        <v>38</v>
      </c>
      <c r="C1435">
        <v>8076</v>
      </c>
      <c r="D1435">
        <v>-1.76280285607439</v>
      </c>
      <c r="E1435">
        <v>2.4764735017335302E-4</v>
      </c>
      <c r="F1435" t="s">
        <v>306</v>
      </c>
    </row>
    <row r="1436" spans="1:6" x14ac:dyDescent="0.2">
      <c r="A1436" t="s">
        <v>104</v>
      </c>
      <c r="B1436" t="s">
        <v>187</v>
      </c>
      <c r="C1436">
        <v>8076</v>
      </c>
      <c r="D1436">
        <v>-1.76280285607439</v>
      </c>
      <c r="E1436">
        <v>2.4764735017335302E-4</v>
      </c>
      <c r="F1436" t="s">
        <v>306</v>
      </c>
    </row>
    <row r="1437" spans="1:6" x14ac:dyDescent="0.2">
      <c r="A1437" t="s">
        <v>102</v>
      </c>
      <c r="B1437" t="s">
        <v>92</v>
      </c>
      <c r="C1437">
        <v>8076</v>
      </c>
      <c r="D1437">
        <v>-1.76280285607439</v>
      </c>
      <c r="E1437">
        <v>2.4764735017335302E-4</v>
      </c>
      <c r="F1437" t="s">
        <v>306</v>
      </c>
    </row>
    <row r="1438" spans="1:6" x14ac:dyDescent="0.2">
      <c r="A1438" t="s">
        <v>193</v>
      </c>
      <c r="B1438" t="s">
        <v>123</v>
      </c>
      <c r="C1438">
        <v>8076</v>
      </c>
      <c r="D1438">
        <v>-1.76280285607439</v>
      </c>
      <c r="E1438">
        <v>2.4764735017335302E-4</v>
      </c>
      <c r="F1438" t="s">
        <v>306</v>
      </c>
    </row>
    <row r="1439" spans="1:6" x14ac:dyDescent="0.2">
      <c r="A1439" t="s">
        <v>163</v>
      </c>
      <c r="B1439" t="s">
        <v>66</v>
      </c>
      <c r="C1439">
        <v>8076</v>
      </c>
      <c r="D1439">
        <v>-1.76280285607439</v>
      </c>
      <c r="E1439">
        <v>2.4764735017335302E-4</v>
      </c>
      <c r="F1439" t="s">
        <v>306</v>
      </c>
    </row>
    <row r="1440" spans="1:6" x14ac:dyDescent="0.2">
      <c r="A1440" t="s">
        <v>58</v>
      </c>
      <c r="B1440" t="s">
        <v>38</v>
      </c>
      <c r="C1440">
        <v>8076</v>
      </c>
      <c r="D1440">
        <v>-1.76280285607439</v>
      </c>
      <c r="E1440">
        <v>2.4764735017335302E-4</v>
      </c>
      <c r="F1440" t="s">
        <v>306</v>
      </c>
    </row>
    <row r="1441" spans="1:6" x14ac:dyDescent="0.2">
      <c r="A1441" t="s">
        <v>163</v>
      </c>
      <c r="B1441" t="s">
        <v>45</v>
      </c>
      <c r="C1441">
        <v>8076</v>
      </c>
      <c r="D1441">
        <v>-1.76280285607439</v>
      </c>
      <c r="E1441">
        <v>2.4764735017335302E-4</v>
      </c>
      <c r="F1441" t="s">
        <v>306</v>
      </c>
    </row>
    <row r="1442" spans="1:6" x14ac:dyDescent="0.2">
      <c r="A1442" t="s">
        <v>129</v>
      </c>
      <c r="B1442" t="s">
        <v>111</v>
      </c>
      <c r="C1442">
        <v>8076</v>
      </c>
      <c r="D1442">
        <v>-1.76280285607439</v>
      </c>
      <c r="E1442">
        <v>2.4764735017335302E-4</v>
      </c>
      <c r="F1442" t="s">
        <v>306</v>
      </c>
    </row>
    <row r="1443" spans="1:6" x14ac:dyDescent="0.2">
      <c r="A1443" t="s">
        <v>212</v>
      </c>
      <c r="B1443" t="s">
        <v>106</v>
      </c>
      <c r="C1443">
        <v>8076</v>
      </c>
      <c r="D1443">
        <v>-1.76280285607439</v>
      </c>
      <c r="E1443">
        <v>2.4764735017335302E-4</v>
      </c>
      <c r="F1443" t="s">
        <v>306</v>
      </c>
    </row>
    <row r="1444" spans="1:6" x14ac:dyDescent="0.2">
      <c r="A1444" t="s">
        <v>95</v>
      </c>
      <c r="B1444" t="s">
        <v>58</v>
      </c>
      <c r="C1444">
        <v>8076</v>
      </c>
      <c r="D1444">
        <v>-1.76280285607439</v>
      </c>
      <c r="E1444">
        <v>2.4764735017335302E-4</v>
      </c>
      <c r="F1444" t="s">
        <v>306</v>
      </c>
    </row>
    <row r="1445" spans="1:6" x14ac:dyDescent="0.2">
      <c r="A1445" t="s">
        <v>28</v>
      </c>
      <c r="B1445" t="s">
        <v>111</v>
      </c>
      <c r="C1445">
        <v>8076</v>
      </c>
      <c r="D1445">
        <v>-1.76280285607439</v>
      </c>
      <c r="E1445">
        <v>2.4764735017335302E-4</v>
      </c>
      <c r="F1445" t="s">
        <v>306</v>
      </c>
    </row>
    <row r="1446" spans="1:6" x14ac:dyDescent="0.2">
      <c r="A1446" t="s">
        <v>95</v>
      </c>
      <c r="B1446" t="s">
        <v>123</v>
      </c>
      <c r="C1446">
        <v>8076</v>
      </c>
      <c r="D1446">
        <v>-1.76280285607439</v>
      </c>
      <c r="E1446">
        <v>2.4764735017335302E-4</v>
      </c>
      <c r="F1446" t="s">
        <v>306</v>
      </c>
    </row>
    <row r="1447" spans="1:6" x14ac:dyDescent="0.2">
      <c r="A1447" t="s">
        <v>125</v>
      </c>
      <c r="B1447" t="s">
        <v>17</v>
      </c>
      <c r="C1447">
        <v>8076</v>
      </c>
      <c r="D1447">
        <v>-1.76280285607439</v>
      </c>
      <c r="E1447">
        <v>2.4764735017335302E-4</v>
      </c>
      <c r="F1447" t="s">
        <v>306</v>
      </c>
    </row>
    <row r="1448" spans="1:6" x14ac:dyDescent="0.2">
      <c r="A1448" t="s">
        <v>193</v>
      </c>
      <c r="B1448" t="s">
        <v>28</v>
      </c>
      <c r="C1448">
        <v>8076</v>
      </c>
      <c r="D1448">
        <v>-1.76280285607439</v>
      </c>
      <c r="E1448">
        <v>2.4764735017335302E-4</v>
      </c>
      <c r="F1448" t="s">
        <v>306</v>
      </c>
    </row>
    <row r="1449" spans="1:6" x14ac:dyDescent="0.2">
      <c r="A1449" t="s">
        <v>28</v>
      </c>
      <c r="B1449" t="s">
        <v>74</v>
      </c>
      <c r="C1449">
        <v>8076</v>
      </c>
      <c r="D1449">
        <v>-1.76280285607439</v>
      </c>
      <c r="E1449">
        <v>2.4764735017335302E-4</v>
      </c>
      <c r="F1449" t="s">
        <v>306</v>
      </c>
    </row>
    <row r="1450" spans="1:6" x14ac:dyDescent="0.2">
      <c r="A1450" t="s">
        <v>193</v>
      </c>
      <c r="B1450" t="s">
        <v>66</v>
      </c>
      <c r="C1450">
        <v>8076</v>
      </c>
      <c r="D1450">
        <v>-1.76280285607439</v>
      </c>
      <c r="E1450">
        <v>2.4764735017335302E-4</v>
      </c>
      <c r="F1450" t="s">
        <v>306</v>
      </c>
    </row>
    <row r="1451" spans="1:6" x14ac:dyDescent="0.2">
      <c r="A1451" t="s">
        <v>177</v>
      </c>
      <c r="B1451" t="s">
        <v>189</v>
      </c>
      <c r="C1451">
        <v>8076</v>
      </c>
      <c r="D1451">
        <v>-1.76280285607439</v>
      </c>
      <c r="E1451">
        <v>2.4764735017335302E-4</v>
      </c>
      <c r="F1451" t="s">
        <v>306</v>
      </c>
    </row>
    <row r="1452" spans="1:6" x14ac:dyDescent="0.2">
      <c r="A1452" t="s">
        <v>177</v>
      </c>
      <c r="B1452" t="s">
        <v>120</v>
      </c>
      <c r="C1452">
        <v>8076</v>
      </c>
      <c r="D1452">
        <v>-1.76280285607439</v>
      </c>
      <c r="E1452">
        <v>2.4764735017335302E-4</v>
      </c>
      <c r="F1452" t="s">
        <v>306</v>
      </c>
    </row>
    <row r="1453" spans="1:6" x14ac:dyDescent="0.2">
      <c r="A1453" t="s">
        <v>79</v>
      </c>
      <c r="B1453" t="s">
        <v>28</v>
      </c>
      <c r="C1453">
        <v>8076</v>
      </c>
      <c r="D1453">
        <v>-1.76280285607439</v>
      </c>
      <c r="E1453">
        <v>2.4764735017335302E-4</v>
      </c>
      <c r="F1453" t="s">
        <v>306</v>
      </c>
    </row>
    <row r="1454" spans="1:6" x14ac:dyDescent="0.2">
      <c r="A1454" t="s">
        <v>104</v>
      </c>
      <c r="B1454" t="s">
        <v>66</v>
      </c>
      <c r="C1454">
        <v>8076</v>
      </c>
      <c r="D1454">
        <v>-1.76280285607439</v>
      </c>
      <c r="E1454">
        <v>2.4764735017335302E-4</v>
      </c>
      <c r="F1454" t="s">
        <v>306</v>
      </c>
    </row>
    <row r="1455" spans="1:6" x14ac:dyDescent="0.2">
      <c r="A1455" t="s">
        <v>163</v>
      </c>
      <c r="B1455" t="s">
        <v>53</v>
      </c>
      <c r="C1455">
        <v>8076</v>
      </c>
      <c r="D1455">
        <v>-1.76280285607439</v>
      </c>
      <c r="E1455">
        <v>2.4764735017335302E-4</v>
      </c>
      <c r="F1455" t="s">
        <v>306</v>
      </c>
    </row>
    <row r="1456" spans="1:6" x14ac:dyDescent="0.2">
      <c r="A1456" t="s">
        <v>94</v>
      </c>
      <c r="B1456" t="s">
        <v>108</v>
      </c>
      <c r="C1456">
        <v>8076</v>
      </c>
      <c r="D1456">
        <v>-1.76280285607439</v>
      </c>
      <c r="E1456">
        <v>2.4764735017335302E-4</v>
      </c>
      <c r="F1456" t="s">
        <v>306</v>
      </c>
    </row>
    <row r="1457" spans="1:6" x14ac:dyDescent="0.2">
      <c r="A1457" t="s">
        <v>124</v>
      </c>
      <c r="B1457" t="s">
        <v>45</v>
      </c>
      <c r="C1457">
        <v>8076</v>
      </c>
      <c r="D1457">
        <v>-1.76280285607439</v>
      </c>
      <c r="E1457">
        <v>2.4764735017335302E-4</v>
      </c>
      <c r="F1457" t="s">
        <v>306</v>
      </c>
    </row>
    <row r="1458" spans="1:6" x14ac:dyDescent="0.2">
      <c r="A1458" t="s">
        <v>59</v>
      </c>
      <c r="B1458" t="s">
        <v>53</v>
      </c>
      <c r="C1458">
        <v>8076</v>
      </c>
      <c r="D1458">
        <v>-1.76280285607439</v>
      </c>
      <c r="E1458">
        <v>2.4764735017335302E-4</v>
      </c>
      <c r="F1458" t="s">
        <v>306</v>
      </c>
    </row>
    <row r="1459" spans="1:6" x14ac:dyDescent="0.2">
      <c r="A1459" t="s">
        <v>123</v>
      </c>
      <c r="B1459" t="s">
        <v>108</v>
      </c>
      <c r="C1459">
        <v>8076</v>
      </c>
      <c r="D1459">
        <v>-1.76280285607439</v>
      </c>
      <c r="E1459">
        <v>2.4764735017335302E-4</v>
      </c>
      <c r="F1459" t="s">
        <v>306</v>
      </c>
    </row>
    <row r="1460" spans="1:6" x14ac:dyDescent="0.2">
      <c r="A1460" t="s">
        <v>126</v>
      </c>
      <c r="B1460" t="s">
        <v>111</v>
      </c>
      <c r="C1460">
        <v>8076</v>
      </c>
      <c r="D1460">
        <v>-1.76280285607439</v>
      </c>
      <c r="E1460">
        <v>2.4764735017335302E-4</v>
      </c>
      <c r="F1460" t="s">
        <v>306</v>
      </c>
    </row>
    <row r="1461" spans="1:6" x14ac:dyDescent="0.2">
      <c r="A1461" t="s">
        <v>79</v>
      </c>
      <c r="B1461" t="s">
        <v>129</v>
      </c>
      <c r="C1461">
        <v>8076</v>
      </c>
      <c r="D1461">
        <v>-1.76280285607439</v>
      </c>
      <c r="E1461">
        <v>2.4764735017335302E-4</v>
      </c>
      <c r="F1461" t="s">
        <v>306</v>
      </c>
    </row>
    <row r="1462" spans="1:6" x14ac:dyDescent="0.2">
      <c r="A1462" t="s">
        <v>95</v>
      </c>
      <c r="B1462" t="s">
        <v>66</v>
      </c>
      <c r="C1462">
        <v>8076</v>
      </c>
      <c r="D1462">
        <v>-1.76280285607439</v>
      </c>
      <c r="E1462">
        <v>2.4764735017335302E-4</v>
      </c>
      <c r="F1462" t="s">
        <v>306</v>
      </c>
    </row>
    <row r="1463" spans="1:6" x14ac:dyDescent="0.2">
      <c r="A1463" t="s">
        <v>124</v>
      </c>
      <c r="B1463" t="s">
        <v>79</v>
      </c>
      <c r="C1463">
        <v>8076</v>
      </c>
      <c r="D1463">
        <v>-1.76280285607439</v>
      </c>
      <c r="E1463">
        <v>2.4764735017335302E-4</v>
      </c>
      <c r="F1463" t="s">
        <v>306</v>
      </c>
    </row>
    <row r="1464" spans="1:6" x14ac:dyDescent="0.2">
      <c r="A1464" t="s">
        <v>212</v>
      </c>
      <c r="B1464" t="s">
        <v>28</v>
      </c>
      <c r="C1464">
        <v>8076</v>
      </c>
      <c r="D1464">
        <v>-1.76280285607439</v>
      </c>
      <c r="E1464">
        <v>2.4764735017335302E-4</v>
      </c>
      <c r="F1464" t="s">
        <v>306</v>
      </c>
    </row>
    <row r="1465" spans="1:6" x14ac:dyDescent="0.2">
      <c r="A1465" t="s">
        <v>124</v>
      </c>
      <c r="B1465" t="s">
        <v>53</v>
      </c>
      <c r="C1465">
        <v>8076</v>
      </c>
      <c r="D1465">
        <v>-1.76280285607439</v>
      </c>
      <c r="E1465">
        <v>2.4764735017335302E-4</v>
      </c>
      <c r="F1465" t="s">
        <v>306</v>
      </c>
    </row>
    <row r="1466" spans="1:6" x14ac:dyDescent="0.2">
      <c r="A1466" t="s">
        <v>100</v>
      </c>
      <c r="B1466" t="s">
        <v>114</v>
      </c>
      <c r="C1466">
        <v>8076</v>
      </c>
      <c r="D1466">
        <v>-1.76280285607439</v>
      </c>
      <c r="E1466">
        <v>2.4764735017335302E-4</v>
      </c>
      <c r="F1466" t="s">
        <v>306</v>
      </c>
    </row>
    <row r="1467" spans="1:6" x14ac:dyDescent="0.2">
      <c r="A1467" t="s">
        <v>189</v>
      </c>
      <c r="B1467" t="s">
        <v>25</v>
      </c>
      <c r="C1467">
        <v>8076</v>
      </c>
      <c r="D1467">
        <v>-1.76280285607439</v>
      </c>
      <c r="E1467">
        <v>2.4764735017335302E-4</v>
      </c>
      <c r="F1467" t="s">
        <v>306</v>
      </c>
    </row>
    <row r="1468" spans="1:6" x14ac:dyDescent="0.2">
      <c r="A1468" t="s">
        <v>187</v>
      </c>
      <c r="B1468" t="s">
        <v>175</v>
      </c>
      <c r="C1468">
        <v>8076</v>
      </c>
      <c r="D1468">
        <v>-1.76280285607439</v>
      </c>
      <c r="E1468">
        <v>2.4764735017335302E-4</v>
      </c>
      <c r="F1468" t="s">
        <v>306</v>
      </c>
    </row>
    <row r="1469" spans="1:6" x14ac:dyDescent="0.2">
      <c r="A1469" t="s">
        <v>107</v>
      </c>
      <c r="B1469" t="s">
        <v>53</v>
      </c>
      <c r="C1469">
        <v>8076</v>
      </c>
      <c r="D1469">
        <v>-1.76280285607439</v>
      </c>
      <c r="E1469">
        <v>2.4764735017335302E-4</v>
      </c>
      <c r="F1469" t="s">
        <v>306</v>
      </c>
    </row>
    <row r="1470" spans="1:6" x14ac:dyDescent="0.2">
      <c r="A1470" t="s">
        <v>189</v>
      </c>
      <c r="B1470" t="s">
        <v>114</v>
      </c>
      <c r="C1470">
        <v>8076</v>
      </c>
      <c r="D1470">
        <v>-1.76280285607439</v>
      </c>
      <c r="E1470">
        <v>2.4764735017335302E-4</v>
      </c>
      <c r="F1470" t="s">
        <v>306</v>
      </c>
    </row>
    <row r="1471" spans="1:6" x14ac:dyDescent="0.2">
      <c r="A1471" t="s">
        <v>79</v>
      </c>
      <c r="B1471" t="s">
        <v>38</v>
      </c>
      <c r="C1471">
        <v>8076</v>
      </c>
      <c r="D1471">
        <v>-1.76280285607439</v>
      </c>
      <c r="E1471">
        <v>2.4764735017335302E-4</v>
      </c>
      <c r="F1471" t="s">
        <v>306</v>
      </c>
    </row>
    <row r="1472" spans="1:6" x14ac:dyDescent="0.2">
      <c r="A1472" t="s">
        <v>73</v>
      </c>
      <c r="B1472" t="s">
        <v>79</v>
      </c>
      <c r="C1472">
        <v>8076</v>
      </c>
      <c r="D1472">
        <v>-1.76280285607439</v>
      </c>
      <c r="E1472">
        <v>2.4764735017335302E-4</v>
      </c>
      <c r="F1472" t="s">
        <v>306</v>
      </c>
    </row>
    <row r="1473" spans="1:6" x14ac:dyDescent="0.2">
      <c r="A1473" t="s">
        <v>36</v>
      </c>
      <c r="B1473" t="s">
        <v>114</v>
      </c>
      <c r="C1473">
        <v>8076</v>
      </c>
      <c r="D1473">
        <v>-1.76280285607439</v>
      </c>
      <c r="E1473">
        <v>2.4764735017335302E-4</v>
      </c>
      <c r="F1473" t="s">
        <v>306</v>
      </c>
    </row>
    <row r="1474" spans="1:6" x14ac:dyDescent="0.2">
      <c r="A1474" t="s">
        <v>37</v>
      </c>
      <c r="B1474" t="s">
        <v>74</v>
      </c>
      <c r="C1474">
        <v>8076</v>
      </c>
      <c r="D1474">
        <v>-1.76280285607439</v>
      </c>
      <c r="E1474">
        <v>2.4764735017335302E-4</v>
      </c>
      <c r="F1474" t="s">
        <v>306</v>
      </c>
    </row>
    <row r="1475" spans="1:6" x14ac:dyDescent="0.2">
      <c r="A1475" t="s">
        <v>59</v>
      </c>
      <c r="B1475" t="s">
        <v>120</v>
      </c>
      <c r="C1475">
        <v>8076</v>
      </c>
      <c r="D1475">
        <v>-1.76280285607439</v>
      </c>
      <c r="E1475">
        <v>2.4764735017335302E-4</v>
      </c>
      <c r="F1475" t="s">
        <v>306</v>
      </c>
    </row>
    <row r="1476" spans="1:6" x14ac:dyDescent="0.2">
      <c r="A1476" t="s">
        <v>107</v>
      </c>
      <c r="B1476" t="s">
        <v>32</v>
      </c>
      <c r="C1476">
        <v>8076</v>
      </c>
      <c r="D1476">
        <v>-1.76280285607439</v>
      </c>
      <c r="E1476">
        <v>2.4764735017335302E-4</v>
      </c>
      <c r="F1476" t="s">
        <v>306</v>
      </c>
    </row>
    <row r="1477" spans="1:6" x14ac:dyDescent="0.2">
      <c r="A1477" t="s">
        <v>212</v>
      </c>
      <c r="B1477" t="s">
        <v>123</v>
      </c>
      <c r="C1477">
        <v>8076</v>
      </c>
      <c r="D1477">
        <v>-1.76280285607439</v>
      </c>
      <c r="E1477">
        <v>2.4764735017335302E-4</v>
      </c>
      <c r="F1477" t="s">
        <v>306</v>
      </c>
    </row>
    <row r="1478" spans="1:6" x14ac:dyDescent="0.2">
      <c r="A1478" t="s">
        <v>58</v>
      </c>
      <c r="B1478" t="s">
        <v>123</v>
      </c>
      <c r="C1478">
        <v>8076</v>
      </c>
      <c r="D1478">
        <v>-1.76280285607439</v>
      </c>
      <c r="E1478">
        <v>2.4764735017335302E-4</v>
      </c>
      <c r="F1478" t="s">
        <v>306</v>
      </c>
    </row>
    <row r="1479" spans="1:6" x14ac:dyDescent="0.2">
      <c r="A1479" t="s">
        <v>61</v>
      </c>
      <c r="B1479" t="s">
        <v>108</v>
      </c>
      <c r="C1479">
        <v>8076</v>
      </c>
      <c r="D1479">
        <v>-1.76280285607439</v>
      </c>
      <c r="E1479">
        <v>2.4764735017335302E-4</v>
      </c>
      <c r="F1479" t="s">
        <v>306</v>
      </c>
    </row>
    <row r="1480" spans="1:6" x14ac:dyDescent="0.2">
      <c r="A1480" t="s">
        <v>60</v>
      </c>
      <c r="B1480" t="s">
        <v>83</v>
      </c>
      <c r="C1480">
        <v>8076</v>
      </c>
      <c r="D1480">
        <v>-1.76280285607439</v>
      </c>
      <c r="E1480">
        <v>2.4764735017335302E-4</v>
      </c>
      <c r="F1480" t="s">
        <v>306</v>
      </c>
    </row>
    <row r="1481" spans="1:6" x14ac:dyDescent="0.2">
      <c r="A1481" t="s">
        <v>25</v>
      </c>
      <c r="B1481" t="s">
        <v>111</v>
      </c>
      <c r="C1481">
        <v>8076</v>
      </c>
      <c r="D1481">
        <v>-1.76280285607439</v>
      </c>
      <c r="E1481">
        <v>2.4764735017335302E-4</v>
      </c>
      <c r="F1481" t="s">
        <v>306</v>
      </c>
    </row>
    <row r="1482" spans="1:6" x14ac:dyDescent="0.2">
      <c r="A1482" t="s">
        <v>67</v>
      </c>
      <c r="B1482" t="s">
        <v>126</v>
      </c>
      <c r="C1482">
        <v>8076</v>
      </c>
      <c r="D1482">
        <v>-1.76280285607439</v>
      </c>
      <c r="E1482">
        <v>2.4764735017335302E-4</v>
      </c>
      <c r="F1482" t="s">
        <v>306</v>
      </c>
    </row>
    <row r="1483" spans="1:6" x14ac:dyDescent="0.2">
      <c r="A1483" t="s">
        <v>95</v>
      </c>
      <c r="B1483" t="s">
        <v>28</v>
      </c>
      <c r="C1483">
        <v>8076</v>
      </c>
      <c r="D1483">
        <v>-1.76280285607439</v>
      </c>
      <c r="E1483">
        <v>2.4764735017335302E-4</v>
      </c>
      <c r="F1483" t="s">
        <v>306</v>
      </c>
    </row>
    <row r="1484" spans="1:6" x14ac:dyDescent="0.2">
      <c r="A1484" t="s">
        <v>123</v>
      </c>
      <c r="B1484" t="s">
        <v>38</v>
      </c>
      <c r="C1484">
        <v>8076</v>
      </c>
      <c r="D1484">
        <v>-1.76280285607439</v>
      </c>
      <c r="E1484">
        <v>2.4764735017335302E-4</v>
      </c>
      <c r="F1484" t="s">
        <v>306</v>
      </c>
    </row>
    <row r="1485" spans="1:6" x14ac:dyDescent="0.2">
      <c r="A1485" t="s">
        <v>106</v>
      </c>
      <c r="B1485" t="s">
        <v>114</v>
      </c>
      <c r="C1485">
        <v>8076</v>
      </c>
      <c r="D1485">
        <v>-1.76280285607439</v>
      </c>
      <c r="E1485">
        <v>2.4764735017335302E-4</v>
      </c>
      <c r="F1485" t="s">
        <v>306</v>
      </c>
    </row>
    <row r="1486" spans="1:6" x14ac:dyDescent="0.2">
      <c r="A1486" t="s">
        <v>187</v>
      </c>
      <c r="B1486" t="s">
        <v>193</v>
      </c>
      <c r="C1486">
        <v>8076</v>
      </c>
      <c r="D1486">
        <v>-1.76280285607439</v>
      </c>
      <c r="E1486">
        <v>2.4764735017335302E-4</v>
      </c>
      <c r="F1486" t="s">
        <v>306</v>
      </c>
    </row>
    <row r="1487" spans="1:6" x14ac:dyDescent="0.2">
      <c r="A1487" t="s">
        <v>125</v>
      </c>
      <c r="B1487" t="s">
        <v>177</v>
      </c>
      <c r="C1487">
        <v>8076</v>
      </c>
      <c r="D1487">
        <v>-1.76280285607439</v>
      </c>
      <c r="E1487">
        <v>2.4764735017335302E-4</v>
      </c>
      <c r="F1487" t="s">
        <v>306</v>
      </c>
    </row>
    <row r="1488" spans="1:6" x14ac:dyDescent="0.2">
      <c r="A1488" t="s">
        <v>193</v>
      </c>
      <c r="B1488" t="s">
        <v>50</v>
      </c>
      <c r="C1488">
        <v>8076</v>
      </c>
      <c r="D1488">
        <v>-1.76280285607439</v>
      </c>
      <c r="E1488">
        <v>2.4764735017335302E-4</v>
      </c>
      <c r="F1488" t="s">
        <v>306</v>
      </c>
    </row>
    <row r="1489" spans="1:6" x14ac:dyDescent="0.2">
      <c r="A1489" t="s">
        <v>175</v>
      </c>
      <c r="B1489" t="s">
        <v>108</v>
      </c>
      <c r="C1489">
        <v>8076</v>
      </c>
      <c r="D1489">
        <v>-1.76280285607439</v>
      </c>
      <c r="E1489">
        <v>2.4764735017335302E-4</v>
      </c>
      <c r="F1489" t="s">
        <v>306</v>
      </c>
    </row>
    <row r="1490" spans="1:6" x14ac:dyDescent="0.2">
      <c r="A1490" t="s">
        <v>45</v>
      </c>
      <c r="B1490" t="s">
        <v>60</v>
      </c>
      <c r="C1490">
        <v>8076</v>
      </c>
      <c r="D1490">
        <v>-1.76280285607439</v>
      </c>
      <c r="E1490">
        <v>2.4764735017335302E-4</v>
      </c>
      <c r="F1490" t="s">
        <v>306</v>
      </c>
    </row>
    <row r="1491" spans="1:6" x14ac:dyDescent="0.2">
      <c r="A1491" t="s">
        <v>50</v>
      </c>
      <c r="B1491" t="s">
        <v>189</v>
      </c>
      <c r="C1491">
        <v>8076</v>
      </c>
      <c r="D1491">
        <v>-1.76280285607439</v>
      </c>
      <c r="E1491">
        <v>2.4764735017335302E-4</v>
      </c>
      <c r="F1491" t="s">
        <v>306</v>
      </c>
    </row>
    <row r="1492" spans="1:6" x14ac:dyDescent="0.2">
      <c r="A1492" t="s">
        <v>73</v>
      </c>
      <c r="B1492" t="s">
        <v>37</v>
      </c>
      <c r="C1492">
        <v>8076</v>
      </c>
      <c r="D1492">
        <v>-1.76280285607439</v>
      </c>
      <c r="E1492">
        <v>2.4764735017335302E-4</v>
      </c>
      <c r="F1492" t="s">
        <v>306</v>
      </c>
    </row>
    <row r="1493" spans="1:6" x14ac:dyDescent="0.2">
      <c r="A1493" t="s">
        <v>79</v>
      </c>
      <c r="B1493" t="s">
        <v>60</v>
      </c>
      <c r="C1493">
        <v>8076</v>
      </c>
      <c r="D1493">
        <v>-1.76280285607439</v>
      </c>
      <c r="E1493">
        <v>2.4764735017335302E-4</v>
      </c>
      <c r="F1493" t="s">
        <v>306</v>
      </c>
    </row>
    <row r="1494" spans="1:6" x14ac:dyDescent="0.2">
      <c r="A1494" t="s">
        <v>73</v>
      </c>
      <c r="B1494" t="s">
        <v>111</v>
      </c>
      <c r="C1494">
        <v>8076</v>
      </c>
      <c r="D1494">
        <v>-1.76280285607439</v>
      </c>
      <c r="E1494">
        <v>2.4764735017335302E-4</v>
      </c>
      <c r="F1494" t="s">
        <v>306</v>
      </c>
    </row>
    <row r="1495" spans="1:6" x14ac:dyDescent="0.2">
      <c r="A1495" t="s">
        <v>100</v>
      </c>
      <c r="B1495" t="s">
        <v>123</v>
      </c>
      <c r="C1495">
        <v>8076</v>
      </c>
      <c r="D1495">
        <v>-1.76280285607439</v>
      </c>
      <c r="E1495">
        <v>2.4764735017335302E-4</v>
      </c>
      <c r="F1495" t="s">
        <v>306</v>
      </c>
    </row>
    <row r="1496" spans="1:6" x14ac:dyDescent="0.2">
      <c r="A1496" t="s">
        <v>100</v>
      </c>
      <c r="B1496" t="s">
        <v>61</v>
      </c>
      <c r="C1496">
        <v>8076</v>
      </c>
      <c r="D1496">
        <v>-1.76280285607439</v>
      </c>
      <c r="E1496">
        <v>2.4764735017335302E-4</v>
      </c>
      <c r="F1496" t="s">
        <v>306</v>
      </c>
    </row>
    <row r="1497" spans="1:6" x14ac:dyDescent="0.2">
      <c r="A1497" t="s">
        <v>125</v>
      </c>
      <c r="B1497" t="s">
        <v>126</v>
      </c>
      <c r="C1497">
        <v>8076</v>
      </c>
      <c r="D1497">
        <v>-1.76280285607439</v>
      </c>
      <c r="E1497">
        <v>2.4764735017335302E-4</v>
      </c>
      <c r="F1497" t="s">
        <v>306</v>
      </c>
    </row>
    <row r="1498" spans="1:6" x14ac:dyDescent="0.2">
      <c r="A1498" t="s">
        <v>53</v>
      </c>
      <c r="B1498" t="s">
        <v>108</v>
      </c>
      <c r="C1498">
        <v>8076</v>
      </c>
      <c r="D1498">
        <v>-1.76280285607439</v>
      </c>
      <c r="E1498">
        <v>2.4764735017335302E-4</v>
      </c>
      <c r="F1498" t="s">
        <v>306</v>
      </c>
    </row>
    <row r="1499" spans="1:6" x14ac:dyDescent="0.2">
      <c r="A1499" t="s">
        <v>32</v>
      </c>
      <c r="B1499" t="s">
        <v>59</v>
      </c>
      <c r="C1499">
        <v>8076</v>
      </c>
      <c r="D1499">
        <v>-1.76280285607439</v>
      </c>
      <c r="E1499">
        <v>2.4764735017335302E-4</v>
      </c>
      <c r="F1499" t="s">
        <v>306</v>
      </c>
    </row>
    <row r="1500" spans="1:6" x14ac:dyDescent="0.2">
      <c r="A1500" t="s">
        <v>28</v>
      </c>
      <c r="B1500" t="s">
        <v>37</v>
      </c>
      <c r="C1500">
        <v>8076</v>
      </c>
      <c r="D1500">
        <v>-1.76280285607439</v>
      </c>
      <c r="E1500">
        <v>2.4764735017335302E-4</v>
      </c>
      <c r="F1500" t="s">
        <v>306</v>
      </c>
    </row>
    <row r="1501" spans="1:6" x14ac:dyDescent="0.2">
      <c r="A1501" t="s">
        <v>102</v>
      </c>
      <c r="B1501" t="s">
        <v>74</v>
      </c>
      <c r="C1501">
        <v>8076</v>
      </c>
      <c r="D1501">
        <v>-1.76280285607439</v>
      </c>
      <c r="E1501">
        <v>2.4764735017335302E-4</v>
      </c>
      <c r="F1501" t="s">
        <v>306</v>
      </c>
    </row>
    <row r="1502" spans="1:6" x14ac:dyDescent="0.2">
      <c r="A1502" t="s">
        <v>212</v>
      </c>
      <c r="B1502" t="s">
        <v>126</v>
      </c>
      <c r="C1502">
        <v>8076</v>
      </c>
      <c r="D1502">
        <v>-1.76280285607439</v>
      </c>
      <c r="E1502">
        <v>2.4764735017335302E-4</v>
      </c>
      <c r="F1502" t="s">
        <v>306</v>
      </c>
    </row>
    <row r="1503" spans="1:6" x14ac:dyDescent="0.2">
      <c r="A1503" t="s">
        <v>163</v>
      </c>
      <c r="B1503" t="s">
        <v>100</v>
      </c>
      <c r="C1503">
        <v>8076</v>
      </c>
      <c r="D1503">
        <v>-1.76280285607439</v>
      </c>
      <c r="E1503">
        <v>2.4764735017335302E-4</v>
      </c>
      <c r="F1503" t="s">
        <v>306</v>
      </c>
    </row>
    <row r="1504" spans="1:6" x14ac:dyDescent="0.2">
      <c r="A1504" t="s">
        <v>67</v>
      </c>
      <c r="B1504" t="s">
        <v>90</v>
      </c>
      <c r="C1504">
        <v>8076</v>
      </c>
      <c r="D1504">
        <v>-1.76280285607439</v>
      </c>
      <c r="E1504">
        <v>2.4764735017335302E-4</v>
      </c>
      <c r="F1504" t="s">
        <v>306</v>
      </c>
    </row>
    <row r="1505" spans="1:6" x14ac:dyDescent="0.2">
      <c r="A1505" t="s">
        <v>104</v>
      </c>
      <c r="B1505" t="s">
        <v>175</v>
      </c>
      <c r="C1505">
        <v>8076</v>
      </c>
      <c r="D1505">
        <v>-1.76280285607439</v>
      </c>
      <c r="E1505">
        <v>2.4764735017335302E-4</v>
      </c>
      <c r="F1505" t="s">
        <v>306</v>
      </c>
    </row>
    <row r="1506" spans="1:6" x14ac:dyDescent="0.2">
      <c r="A1506" t="s">
        <v>92</v>
      </c>
      <c r="B1506" t="s">
        <v>60</v>
      </c>
      <c r="C1506">
        <v>8076</v>
      </c>
      <c r="D1506">
        <v>-1.76280285607439</v>
      </c>
      <c r="E1506">
        <v>2.4764735017335302E-4</v>
      </c>
      <c r="F1506" t="s">
        <v>306</v>
      </c>
    </row>
    <row r="1507" spans="1:6" x14ac:dyDescent="0.2">
      <c r="A1507" t="s">
        <v>123</v>
      </c>
      <c r="B1507" t="s">
        <v>66</v>
      </c>
      <c r="C1507">
        <v>8076</v>
      </c>
      <c r="D1507">
        <v>-1.76280285607439</v>
      </c>
      <c r="E1507">
        <v>2.4764735017335302E-4</v>
      </c>
      <c r="F1507" t="s">
        <v>306</v>
      </c>
    </row>
    <row r="1508" spans="1:6" x14ac:dyDescent="0.2">
      <c r="A1508" t="s">
        <v>60</v>
      </c>
      <c r="B1508" t="s">
        <v>123</v>
      </c>
      <c r="C1508">
        <v>8076</v>
      </c>
      <c r="D1508">
        <v>-1.76280285607439</v>
      </c>
      <c r="E1508">
        <v>2.4764735017335302E-4</v>
      </c>
      <c r="F1508" t="s">
        <v>306</v>
      </c>
    </row>
    <row r="1509" spans="1:6" x14ac:dyDescent="0.2">
      <c r="A1509" t="s">
        <v>67</v>
      </c>
      <c r="B1509" t="s">
        <v>177</v>
      </c>
      <c r="C1509">
        <v>8076</v>
      </c>
      <c r="D1509">
        <v>-1.76280285607439</v>
      </c>
      <c r="E1509">
        <v>2.4764735017335302E-4</v>
      </c>
      <c r="F1509" t="s">
        <v>306</v>
      </c>
    </row>
    <row r="1510" spans="1:6" x14ac:dyDescent="0.2">
      <c r="A1510" t="s">
        <v>58</v>
      </c>
      <c r="B1510" t="s">
        <v>106</v>
      </c>
      <c r="C1510">
        <v>8076</v>
      </c>
      <c r="D1510">
        <v>-1.76280285607439</v>
      </c>
      <c r="E1510">
        <v>2.4764735017335302E-4</v>
      </c>
      <c r="F1510" t="s">
        <v>306</v>
      </c>
    </row>
    <row r="1511" spans="1:6" x14ac:dyDescent="0.2">
      <c r="A1511" t="s">
        <v>59</v>
      </c>
      <c r="B1511" t="s">
        <v>74</v>
      </c>
      <c r="C1511">
        <v>8076</v>
      </c>
      <c r="D1511">
        <v>-1.76280285607439</v>
      </c>
      <c r="E1511">
        <v>2.4764735017335302E-4</v>
      </c>
      <c r="F1511" t="s">
        <v>306</v>
      </c>
    </row>
    <row r="1512" spans="1:6" x14ac:dyDescent="0.2">
      <c r="A1512" t="s">
        <v>125</v>
      </c>
      <c r="B1512" t="s">
        <v>175</v>
      </c>
      <c r="C1512">
        <v>8076</v>
      </c>
      <c r="D1512">
        <v>-1.76280285607439</v>
      </c>
      <c r="E1512">
        <v>2.4764735017335302E-4</v>
      </c>
      <c r="F1512" t="s">
        <v>306</v>
      </c>
    </row>
    <row r="1513" spans="1:6" x14ac:dyDescent="0.2">
      <c r="A1513" t="s">
        <v>79</v>
      </c>
      <c r="B1513" t="s">
        <v>83</v>
      </c>
      <c r="C1513">
        <v>8076</v>
      </c>
      <c r="D1513">
        <v>-1.76280285607439</v>
      </c>
      <c r="E1513">
        <v>2.4764735017335302E-4</v>
      </c>
      <c r="F1513" t="s">
        <v>306</v>
      </c>
    </row>
    <row r="1514" spans="1:6" x14ac:dyDescent="0.2">
      <c r="A1514" t="s">
        <v>104</v>
      </c>
      <c r="B1514" t="s">
        <v>74</v>
      </c>
      <c r="C1514">
        <v>8076</v>
      </c>
      <c r="D1514">
        <v>-1.76280285607439</v>
      </c>
      <c r="E1514">
        <v>2.4764735017335302E-4</v>
      </c>
      <c r="F1514" t="s">
        <v>306</v>
      </c>
    </row>
    <row r="1515" spans="1:6" x14ac:dyDescent="0.2">
      <c r="A1515" t="s">
        <v>124</v>
      </c>
      <c r="B1515" t="s">
        <v>163</v>
      </c>
      <c r="C1515">
        <v>8076</v>
      </c>
      <c r="D1515">
        <v>-1.76280285607439</v>
      </c>
      <c r="E1515">
        <v>2.4764735017335302E-4</v>
      </c>
      <c r="F1515" t="s">
        <v>306</v>
      </c>
    </row>
    <row r="1516" spans="1:6" x14ac:dyDescent="0.2">
      <c r="A1516" t="s">
        <v>60</v>
      </c>
      <c r="B1516" t="s">
        <v>61</v>
      </c>
      <c r="C1516">
        <v>8076</v>
      </c>
      <c r="D1516">
        <v>-1.76280285607439</v>
      </c>
      <c r="E1516">
        <v>2.4764735017335302E-4</v>
      </c>
      <c r="F1516" t="s">
        <v>306</v>
      </c>
    </row>
    <row r="1517" spans="1:6" x14ac:dyDescent="0.2">
      <c r="A1517" t="s">
        <v>104</v>
      </c>
      <c r="B1517" t="s">
        <v>53</v>
      </c>
      <c r="C1517">
        <v>8076</v>
      </c>
      <c r="D1517">
        <v>-1.76280285607439</v>
      </c>
      <c r="E1517">
        <v>2.4764735017335302E-4</v>
      </c>
      <c r="F1517" t="s">
        <v>306</v>
      </c>
    </row>
    <row r="1518" spans="1:6" x14ac:dyDescent="0.2">
      <c r="A1518" t="s">
        <v>107</v>
      </c>
      <c r="B1518" t="s">
        <v>66</v>
      </c>
      <c r="C1518">
        <v>8076</v>
      </c>
      <c r="D1518">
        <v>-1.76280285607439</v>
      </c>
      <c r="E1518">
        <v>2.4764735017335302E-4</v>
      </c>
      <c r="F1518" t="s">
        <v>306</v>
      </c>
    </row>
    <row r="1519" spans="1:6" x14ac:dyDescent="0.2">
      <c r="A1519" t="s">
        <v>17</v>
      </c>
      <c r="B1519" t="s">
        <v>189</v>
      </c>
      <c r="C1519">
        <v>8076</v>
      </c>
      <c r="D1519">
        <v>-1.76280285607439</v>
      </c>
      <c r="E1519">
        <v>2.4764735017335302E-4</v>
      </c>
      <c r="F1519" t="s">
        <v>306</v>
      </c>
    </row>
    <row r="1520" spans="1:6" x14ac:dyDescent="0.2">
      <c r="A1520" t="s">
        <v>36</v>
      </c>
      <c r="B1520" t="s">
        <v>189</v>
      </c>
      <c r="C1520">
        <v>8076</v>
      </c>
      <c r="D1520">
        <v>-1.76280285607439</v>
      </c>
      <c r="E1520">
        <v>2.4764735017335302E-4</v>
      </c>
      <c r="F1520" t="s">
        <v>306</v>
      </c>
    </row>
    <row r="1521" spans="1:6" x14ac:dyDescent="0.2">
      <c r="A1521" t="s">
        <v>106</v>
      </c>
      <c r="B1521" t="s">
        <v>25</v>
      </c>
      <c r="C1521">
        <v>8076</v>
      </c>
      <c r="D1521">
        <v>-1.76280285607439</v>
      </c>
      <c r="E1521">
        <v>2.4764735017335302E-4</v>
      </c>
      <c r="F1521" t="s">
        <v>306</v>
      </c>
    </row>
    <row r="1522" spans="1:6" x14ac:dyDescent="0.2">
      <c r="A1522" t="s">
        <v>67</v>
      </c>
      <c r="B1522" t="s">
        <v>59</v>
      </c>
      <c r="C1522">
        <v>8076</v>
      </c>
      <c r="D1522">
        <v>-1.76280285607439</v>
      </c>
      <c r="E1522">
        <v>2.4764735017335302E-4</v>
      </c>
      <c r="F1522" t="s">
        <v>306</v>
      </c>
    </row>
    <row r="1523" spans="1:6" x14ac:dyDescent="0.2">
      <c r="A1523" t="s">
        <v>104</v>
      </c>
      <c r="B1523" t="s">
        <v>59</v>
      </c>
      <c r="C1523">
        <v>8076</v>
      </c>
      <c r="D1523">
        <v>-1.76280285607439</v>
      </c>
      <c r="E1523">
        <v>2.4764735017335302E-4</v>
      </c>
      <c r="F1523" t="s">
        <v>306</v>
      </c>
    </row>
    <row r="1524" spans="1:6" x14ac:dyDescent="0.2">
      <c r="A1524" t="s">
        <v>187</v>
      </c>
      <c r="B1524" t="s">
        <v>17</v>
      </c>
      <c r="C1524">
        <v>8076</v>
      </c>
      <c r="D1524">
        <v>-1.76280285607439</v>
      </c>
      <c r="E1524">
        <v>2.4764735017335302E-4</v>
      </c>
      <c r="F1524" t="s">
        <v>306</v>
      </c>
    </row>
    <row r="1525" spans="1:6" x14ac:dyDescent="0.2">
      <c r="A1525" t="s">
        <v>95</v>
      </c>
      <c r="B1525" t="s">
        <v>17</v>
      </c>
      <c r="C1525">
        <v>8076</v>
      </c>
      <c r="D1525">
        <v>-1.76280285607439</v>
      </c>
      <c r="E1525">
        <v>2.4764735017335302E-4</v>
      </c>
      <c r="F1525" t="s">
        <v>306</v>
      </c>
    </row>
    <row r="1526" spans="1:6" x14ac:dyDescent="0.2">
      <c r="A1526" t="s">
        <v>163</v>
      </c>
      <c r="B1526" t="s">
        <v>74</v>
      </c>
      <c r="C1526">
        <v>8076</v>
      </c>
      <c r="D1526">
        <v>-1.76280285607439</v>
      </c>
      <c r="E1526">
        <v>2.4764735017335302E-4</v>
      </c>
      <c r="F1526" t="s">
        <v>306</v>
      </c>
    </row>
    <row r="1527" spans="1:6" x14ac:dyDescent="0.2">
      <c r="A1527" t="s">
        <v>107</v>
      </c>
      <c r="B1527" t="s">
        <v>100</v>
      </c>
      <c r="C1527">
        <v>8076</v>
      </c>
      <c r="D1527">
        <v>-1.76280285607439</v>
      </c>
      <c r="E1527">
        <v>2.4764735017335302E-4</v>
      </c>
      <c r="F1527" t="s">
        <v>306</v>
      </c>
    </row>
    <row r="1528" spans="1:6" x14ac:dyDescent="0.2">
      <c r="A1528" t="s">
        <v>123</v>
      </c>
      <c r="B1528" t="s">
        <v>28</v>
      </c>
      <c r="C1528">
        <v>8076</v>
      </c>
      <c r="D1528">
        <v>-1.76280285607439</v>
      </c>
      <c r="E1528">
        <v>2.4764735017335302E-4</v>
      </c>
      <c r="F1528" t="s">
        <v>306</v>
      </c>
    </row>
    <row r="1529" spans="1:6" x14ac:dyDescent="0.2">
      <c r="A1529" t="s">
        <v>58</v>
      </c>
      <c r="B1529" t="s">
        <v>175</v>
      </c>
      <c r="C1529">
        <v>8076</v>
      </c>
      <c r="D1529">
        <v>-1.76280285607439</v>
      </c>
      <c r="E1529">
        <v>2.4764735017335302E-4</v>
      </c>
      <c r="F1529" t="s">
        <v>306</v>
      </c>
    </row>
    <row r="1530" spans="1:6" x14ac:dyDescent="0.2">
      <c r="A1530" t="s">
        <v>124</v>
      </c>
      <c r="B1530" t="s">
        <v>123</v>
      </c>
      <c r="C1530">
        <v>8076</v>
      </c>
      <c r="D1530">
        <v>-1.76280285607439</v>
      </c>
      <c r="E1530">
        <v>2.4764735017335302E-4</v>
      </c>
      <c r="F1530" t="s">
        <v>306</v>
      </c>
    </row>
    <row r="1531" spans="1:6" x14ac:dyDescent="0.2">
      <c r="A1531" t="s">
        <v>95</v>
      </c>
      <c r="B1531" t="s">
        <v>102</v>
      </c>
      <c r="C1531">
        <v>8076</v>
      </c>
      <c r="D1531">
        <v>-1.76280285607439</v>
      </c>
      <c r="E1531">
        <v>2.4764735017335302E-4</v>
      </c>
      <c r="F1531" t="s">
        <v>306</v>
      </c>
    </row>
    <row r="1532" spans="1:6" x14ac:dyDescent="0.2">
      <c r="A1532" t="s">
        <v>163</v>
      </c>
      <c r="B1532" t="s">
        <v>67</v>
      </c>
      <c r="C1532">
        <v>8076</v>
      </c>
      <c r="D1532">
        <v>-1.76280285607439</v>
      </c>
      <c r="E1532">
        <v>2.4764735017335302E-4</v>
      </c>
      <c r="F1532" t="s">
        <v>306</v>
      </c>
    </row>
    <row r="1533" spans="1:6" x14ac:dyDescent="0.2">
      <c r="A1533" t="s">
        <v>163</v>
      </c>
      <c r="B1533" t="s">
        <v>189</v>
      </c>
      <c r="C1533">
        <v>8076</v>
      </c>
      <c r="D1533">
        <v>-1.76280285607439</v>
      </c>
      <c r="E1533">
        <v>2.4764735017335302E-4</v>
      </c>
      <c r="F1533" t="s">
        <v>306</v>
      </c>
    </row>
    <row r="1534" spans="1:6" x14ac:dyDescent="0.2">
      <c r="A1534" t="s">
        <v>193</v>
      </c>
      <c r="B1534" t="s">
        <v>74</v>
      </c>
      <c r="C1534">
        <v>8076</v>
      </c>
      <c r="D1534">
        <v>-1.76280285607439</v>
      </c>
      <c r="E1534">
        <v>2.4764735017335302E-4</v>
      </c>
      <c r="F1534" t="s">
        <v>306</v>
      </c>
    </row>
    <row r="1535" spans="1:6" x14ac:dyDescent="0.2">
      <c r="A1535" t="s">
        <v>32</v>
      </c>
      <c r="B1535" t="s">
        <v>17</v>
      </c>
      <c r="C1535">
        <v>8076</v>
      </c>
      <c r="D1535">
        <v>-1.76280285607439</v>
      </c>
      <c r="E1535">
        <v>2.4764735017335302E-4</v>
      </c>
      <c r="F1535" t="s">
        <v>306</v>
      </c>
    </row>
    <row r="1536" spans="1:6" x14ac:dyDescent="0.2">
      <c r="A1536" t="s">
        <v>17</v>
      </c>
      <c r="B1536" t="s">
        <v>28</v>
      </c>
      <c r="C1536">
        <v>8076</v>
      </c>
      <c r="D1536">
        <v>-1.76280285607439</v>
      </c>
      <c r="E1536">
        <v>2.4764735017335302E-4</v>
      </c>
      <c r="F1536" t="s">
        <v>306</v>
      </c>
    </row>
    <row r="1537" spans="1:6" x14ac:dyDescent="0.2">
      <c r="A1537" t="s">
        <v>193</v>
      </c>
      <c r="B1537" t="s">
        <v>60</v>
      </c>
      <c r="C1537">
        <v>8076</v>
      </c>
      <c r="D1537">
        <v>-1.76280285607439</v>
      </c>
      <c r="E1537">
        <v>2.4764735017335302E-4</v>
      </c>
      <c r="F1537" t="s">
        <v>306</v>
      </c>
    </row>
    <row r="1538" spans="1:6" x14ac:dyDescent="0.2">
      <c r="A1538" t="s">
        <v>67</v>
      </c>
      <c r="B1538" t="s">
        <v>193</v>
      </c>
      <c r="C1538">
        <v>8076</v>
      </c>
      <c r="D1538">
        <v>-1.76280285607439</v>
      </c>
      <c r="E1538">
        <v>2.4764735017335302E-4</v>
      </c>
      <c r="F1538" t="s">
        <v>306</v>
      </c>
    </row>
    <row r="1539" spans="1:6" x14ac:dyDescent="0.2">
      <c r="A1539" t="s">
        <v>193</v>
      </c>
      <c r="B1539" t="s">
        <v>61</v>
      </c>
      <c r="C1539">
        <v>8076</v>
      </c>
      <c r="D1539">
        <v>-1.76280285607439</v>
      </c>
      <c r="E1539">
        <v>2.4764735017335302E-4</v>
      </c>
      <c r="F1539" t="s">
        <v>306</v>
      </c>
    </row>
    <row r="1540" spans="1:6" x14ac:dyDescent="0.2">
      <c r="A1540" t="s">
        <v>123</v>
      </c>
      <c r="B1540" t="s">
        <v>126</v>
      </c>
      <c r="C1540">
        <v>8076</v>
      </c>
      <c r="D1540">
        <v>-1.76280285607439</v>
      </c>
      <c r="E1540">
        <v>2.4764735017335302E-4</v>
      </c>
      <c r="F1540" t="s">
        <v>306</v>
      </c>
    </row>
    <row r="1541" spans="1:6" x14ac:dyDescent="0.2">
      <c r="A1541" t="s">
        <v>124</v>
      </c>
      <c r="B1541" t="s">
        <v>102</v>
      </c>
      <c r="C1541">
        <v>8076</v>
      </c>
      <c r="D1541">
        <v>-1.76280285607439</v>
      </c>
      <c r="E1541">
        <v>2.4764735017335302E-4</v>
      </c>
      <c r="F1541" t="s">
        <v>306</v>
      </c>
    </row>
    <row r="1542" spans="1:6" x14ac:dyDescent="0.2">
      <c r="A1542" t="s">
        <v>163</v>
      </c>
      <c r="B1542" t="s">
        <v>92</v>
      </c>
      <c r="C1542">
        <v>8076</v>
      </c>
      <c r="D1542">
        <v>-1.76280285607439</v>
      </c>
      <c r="E1542">
        <v>2.4764735017335302E-4</v>
      </c>
      <c r="F1542" t="s">
        <v>306</v>
      </c>
    </row>
    <row r="1543" spans="1:6" x14ac:dyDescent="0.2">
      <c r="A1543" t="s">
        <v>189</v>
      </c>
      <c r="B1543" t="s">
        <v>83</v>
      </c>
      <c r="C1543">
        <v>8076</v>
      </c>
      <c r="D1543">
        <v>-1.76280285607439</v>
      </c>
      <c r="E1543">
        <v>2.4764735017335302E-4</v>
      </c>
      <c r="F1543" t="s">
        <v>306</v>
      </c>
    </row>
    <row r="1544" spans="1:6" x14ac:dyDescent="0.2">
      <c r="A1544" t="s">
        <v>104</v>
      </c>
      <c r="B1544" t="s">
        <v>17</v>
      </c>
      <c r="C1544">
        <v>8076</v>
      </c>
      <c r="D1544">
        <v>-1.76280285607439</v>
      </c>
      <c r="E1544">
        <v>2.4764735017335302E-4</v>
      </c>
      <c r="F1544" t="s">
        <v>306</v>
      </c>
    </row>
    <row r="1545" spans="1:6" x14ac:dyDescent="0.2">
      <c r="A1545" t="s">
        <v>36</v>
      </c>
      <c r="B1545" t="s">
        <v>61</v>
      </c>
      <c r="C1545">
        <v>8076</v>
      </c>
      <c r="D1545">
        <v>-1.76280285607439</v>
      </c>
      <c r="E1545">
        <v>2.4764735017335302E-4</v>
      </c>
      <c r="F1545" t="s">
        <v>306</v>
      </c>
    </row>
    <row r="1546" spans="1:6" x14ac:dyDescent="0.2">
      <c r="A1546" t="s">
        <v>94</v>
      </c>
      <c r="B1546" t="s">
        <v>107</v>
      </c>
      <c r="C1546">
        <v>8076</v>
      </c>
      <c r="D1546">
        <v>-1.76280285607439</v>
      </c>
      <c r="E1546">
        <v>2.4764735017335302E-4</v>
      </c>
      <c r="F1546" t="s">
        <v>306</v>
      </c>
    </row>
    <row r="1547" spans="1:6" x14ac:dyDescent="0.2">
      <c r="A1547" t="s">
        <v>120</v>
      </c>
      <c r="B1547" t="s">
        <v>111</v>
      </c>
      <c r="C1547">
        <v>8076</v>
      </c>
      <c r="D1547">
        <v>-1.76280285607439</v>
      </c>
      <c r="E1547">
        <v>2.4764735017335302E-4</v>
      </c>
      <c r="F1547" t="s">
        <v>306</v>
      </c>
    </row>
    <row r="1548" spans="1:6" x14ac:dyDescent="0.2">
      <c r="A1548" t="s">
        <v>104</v>
      </c>
      <c r="B1548" t="s">
        <v>92</v>
      </c>
      <c r="C1548">
        <v>8076</v>
      </c>
      <c r="D1548">
        <v>-1.76280285607439</v>
      </c>
      <c r="E1548">
        <v>2.4764735017335302E-4</v>
      </c>
      <c r="F1548" t="s">
        <v>306</v>
      </c>
    </row>
    <row r="1549" spans="1:6" x14ac:dyDescent="0.2">
      <c r="A1549" t="s">
        <v>17</v>
      </c>
      <c r="B1549" t="s">
        <v>114</v>
      </c>
      <c r="C1549">
        <v>8076</v>
      </c>
      <c r="D1549">
        <v>-1.76280285607439</v>
      </c>
      <c r="E1549">
        <v>2.4764735017335302E-4</v>
      </c>
      <c r="F1549" t="s">
        <v>306</v>
      </c>
    </row>
    <row r="1550" spans="1:6" x14ac:dyDescent="0.2">
      <c r="A1550" t="s">
        <v>100</v>
      </c>
      <c r="B1550" t="s">
        <v>74</v>
      </c>
      <c r="C1550">
        <v>8076</v>
      </c>
      <c r="D1550">
        <v>-1.76280285607439</v>
      </c>
      <c r="E1550">
        <v>2.4764735017335302E-4</v>
      </c>
      <c r="F1550" t="s">
        <v>306</v>
      </c>
    </row>
    <row r="1551" spans="1:6" x14ac:dyDescent="0.2">
      <c r="A1551" t="s">
        <v>62</v>
      </c>
      <c r="B1551" t="s">
        <v>125</v>
      </c>
      <c r="C1551">
        <v>8076</v>
      </c>
      <c r="D1551">
        <v>-1.76280285607439</v>
      </c>
      <c r="E1551">
        <v>2.4764735017335302E-4</v>
      </c>
      <c r="F1551" t="s">
        <v>306</v>
      </c>
    </row>
    <row r="1552" spans="1:6" x14ac:dyDescent="0.2">
      <c r="A1552" t="s">
        <v>123</v>
      </c>
      <c r="B1552" t="s">
        <v>111</v>
      </c>
      <c r="C1552">
        <v>8076</v>
      </c>
      <c r="D1552">
        <v>-1.76280285607439</v>
      </c>
      <c r="E1552">
        <v>2.4764735017335302E-4</v>
      </c>
      <c r="F1552" t="s">
        <v>306</v>
      </c>
    </row>
    <row r="1553" spans="1:6" x14ac:dyDescent="0.2">
      <c r="A1553" t="s">
        <v>94</v>
      </c>
      <c r="B1553" t="s">
        <v>60</v>
      </c>
      <c r="C1553">
        <v>8076</v>
      </c>
      <c r="D1553">
        <v>-1.76280285607439</v>
      </c>
      <c r="E1553">
        <v>2.4764735017335302E-4</v>
      </c>
      <c r="F1553" t="s">
        <v>306</v>
      </c>
    </row>
    <row r="1554" spans="1:6" x14ac:dyDescent="0.2">
      <c r="A1554" t="s">
        <v>62</v>
      </c>
      <c r="B1554" t="s">
        <v>108</v>
      </c>
      <c r="C1554">
        <v>8076</v>
      </c>
      <c r="D1554">
        <v>-1.76280285607439</v>
      </c>
      <c r="E1554">
        <v>2.4764735017335302E-4</v>
      </c>
      <c r="F1554" t="s">
        <v>306</v>
      </c>
    </row>
    <row r="1555" spans="1:6" x14ac:dyDescent="0.2">
      <c r="A1555" t="s">
        <v>59</v>
      </c>
      <c r="B1555" t="s">
        <v>50</v>
      </c>
      <c r="C1555">
        <v>8076</v>
      </c>
      <c r="D1555">
        <v>-1.76280285607439</v>
      </c>
      <c r="E1555">
        <v>2.4764735017335302E-4</v>
      </c>
      <c r="F1555" t="s">
        <v>306</v>
      </c>
    </row>
    <row r="1556" spans="1:6" x14ac:dyDescent="0.2">
      <c r="A1556" t="s">
        <v>100</v>
      </c>
      <c r="B1556" t="s">
        <v>177</v>
      </c>
      <c r="C1556">
        <v>8076</v>
      </c>
      <c r="D1556">
        <v>-1.76280285607439</v>
      </c>
      <c r="E1556">
        <v>2.4764735017335302E-4</v>
      </c>
      <c r="F1556" t="s">
        <v>306</v>
      </c>
    </row>
    <row r="1557" spans="1:6" x14ac:dyDescent="0.2">
      <c r="A1557" t="s">
        <v>67</v>
      </c>
      <c r="B1557" t="s">
        <v>189</v>
      </c>
      <c r="C1557">
        <v>8076</v>
      </c>
      <c r="D1557">
        <v>-1.76280285607439</v>
      </c>
      <c r="E1557">
        <v>2.4764735017335302E-4</v>
      </c>
      <c r="F1557" t="s">
        <v>306</v>
      </c>
    </row>
    <row r="1558" spans="1:6" x14ac:dyDescent="0.2">
      <c r="A1558" t="s">
        <v>58</v>
      </c>
      <c r="B1558" t="s">
        <v>79</v>
      </c>
      <c r="C1558">
        <v>8076</v>
      </c>
      <c r="D1558">
        <v>-1.76280285607439</v>
      </c>
      <c r="E1558">
        <v>2.4764735017335302E-4</v>
      </c>
      <c r="F1558" t="s">
        <v>306</v>
      </c>
    </row>
    <row r="1559" spans="1:6" x14ac:dyDescent="0.2">
      <c r="A1559" t="s">
        <v>94</v>
      </c>
      <c r="B1559" t="s">
        <v>66</v>
      </c>
      <c r="C1559">
        <v>8076</v>
      </c>
      <c r="D1559">
        <v>-1.76280285607439</v>
      </c>
      <c r="E1559">
        <v>2.4764735017335302E-4</v>
      </c>
      <c r="F1559" t="s">
        <v>306</v>
      </c>
    </row>
    <row r="1560" spans="1:6" x14ac:dyDescent="0.2">
      <c r="A1560" t="s">
        <v>92</v>
      </c>
      <c r="B1560" t="s">
        <v>74</v>
      </c>
      <c r="C1560">
        <v>8076</v>
      </c>
      <c r="D1560">
        <v>-1.76280285607439</v>
      </c>
      <c r="E1560">
        <v>2.4764735017335302E-4</v>
      </c>
      <c r="F1560" t="s">
        <v>306</v>
      </c>
    </row>
    <row r="1561" spans="1:6" x14ac:dyDescent="0.2">
      <c r="A1561" t="s">
        <v>37</v>
      </c>
      <c r="B1561" t="s">
        <v>83</v>
      </c>
      <c r="C1561">
        <v>8076</v>
      </c>
      <c r="D1561">
        <v>-1.76280285607439</v>
      </c>
      <c r="E1561">
        <v>2.4764735017335302E-4</v>
      </c>
      <c r="F1561" t="s">
        <v>306</v>
      </c>
    </row>
    <row r="1562" spans="1:6" x14ac:dyDescent="0.2">
      <c r="A1562" t="s">
        <v>90</v>
      </c>
      <c r="B1562" t="s">
        <v>92</v>
      </c>
      <c r="C1562">
        <v>8076</v>
      </c>
      <c r="D1562">
        <v>-1.76280285607439</v>
      </c>
      <c r="E1562">
        <v>2.4764735017335302E-4</v>
      </c>
      <c r="F1562" t="s">
        <v>306</v>
      </c>
    </row>
    <row r="1563" spans="1:6" x14ac:dyDescent="0.2">
      <c r="A1563" t="s">
        <v>124</v>
      </c>
      <c r="B1563" t="s">
        <v>37</v>
      </c>
      <c r="C1563">
        <v>8076</v>
      </c>
      <c r="D1563">
        <v>-1.76280285607439</v>
      </c>
      <c r="E1563">
        <v>2.4764735017335302E-4</v>
      </c>
      <c r="F1563" t="s">
        <v>306</v>
      </c>
    </row>
    <row r="1564" spans="1:6" x14ac:dyDescent="0.2">
      <c r="A1564" t="s">
        <v>59</v>
      </c>
      <c r="B1564" t="s">
        <v>108</v>
      </c>
      <c r="C1564">
        <v>8076</v>
      </c>
      <c r="D1564">
        <v>-1.76280285607439</v>
      </c>
      <c r="E1564">
        <v>2.4764735017335302E-4</v>
      </c>
      <c r="F1564" t="s">
        <v>306</v>
      </c>
    </row>
    <row r="1565" spans="1:6" x14ac:dyDescent="0.2">
      <c r="A1565" t="s">
        <v>60</v>
      </c>
      <c r="B1565" t="s">
        <v>129</v>
      </c>
      <c r="C1565">
        <v>8076</v>
      </c>
      <c r="D1565">
        <v>-1.76280285607439</v>
      </c>
      <c r="E1565">
        <v>2.4764735017335302E-4</v>
      </c>
      <c r="F1565" t="s">
        <v>306</v>
      </c>
    </row>
    <row r="1566" spans="1:6" x14ac:dyDescent="0.2">
      <c r="A1566" t="s">
        <v>61</v>
      </c>
      <c r="B1566" t="s">
        <v>114</v>
      </c>
      <c r="C1566">
        <v>8076</v>
      </c>
      <c r="D1566">
        <v>-1.76280285607439</v>
      </c>
      <c r="E1566">
        <v>2.4764735017335302E-4</v>
      </c>
      <c r="F1566" t="s">
        <v>306</v>
      </c>
    </row>
    <row r="1567" spans="1:6" x14ac:dyDescent="0.2">
      <c r="A1567" t="s">
        <v>193</v>
      </c>
      <c r="B1567" t="s">
        <v>36</v>
      </c>
      <c r="C1567">
        <v>8076</v>
      </c>
      <c r="D1567">
        <v>-1.76280285607439</v>
      </c>
      <c r="E1567">
        <v>2.4764735017335302E-4</v>
      </c>
      <c r="F1567" t="s">
        <v>306</v>
      </c>
    </row>
    <row r="1568" spans="1:6" x14ac:dyDescent="0.2">
      <c r="A1568" t="s">
        <v>60</v>
      </c>
      <c r="B1568" t="s">
        <v>114</v>
      </c>
      <c r="C1568">
        <v>8076</v>
      </c>
      <c r="D1568">
        <v>-1.76280285607439</v>
      </c>
      <c r="E1568">
        <v>2.4764735017335302E-4</v>
      </c>
      <c r="F1568" t="s">
        <v>306</v>
      </c>
    </row>
    <row r="1569" spans="1:6" x14ac:dyDescent="0.2">
      <c r="A1569" t="s">
        <v>187</v>
      </c>
      <c r="B1569" t="s">
        <v>102</v>
      </c>
      <c r="C1569">
        <v>8076</v>
      </c>
      <c r="D1569">
        <v>-1.76280285607439</v>
      </c>
      <c r="E1569">
        <v>2.4764735017335302E-4</v>
      </c>
      <c r="F1569" t="s">
        <v>306</v>
      </c>
    </row>
    <row r="1570" spans="1:6" x14ac:dyDescent="0.2">
      <c r="A1570" t="s">
        <v>95</v>
      </c>
      <c r="B1570" t="s">
        <v>175</v>
      </c>
      <c r="C1570">
        <v>8076</v>
      </c>
      <c r="D1570">
        <v>-1.76280285607439</v>
      </c>
      <c r="E1570">
        <v>2.4764735017335302E-4</v>
      </c>
      <c r="F1570" t="s">
        <v>306</v>
      </c>
    </row>
    <row r="1571" spans="1:6" x14ac:dyDescent="0.2">
      <c r="A1571" t="s">
        <v>36</v>
      </c>
      <c r="B1571" t="s">
        <v>28</v>
      </c>
      <c r="C1571">
        <v>8076</v>
      </c>
      <c r="D1571">
        <v>-1.76280285607439</v>
      </c>
      <c r="E1571">
        <v>2.4764735017335302E-4</v>
      </c>
      <c r="F1571" t="s">
        <v>306</v>
      </c>
    </row>
    <row r="1572" spans="1:6" x14ac:dyDescent="0.2">
      <c r="A1572" t="s">
        <v>90</v>
      </c>
      <c r="B1572" t="s">
        <v>123</v>
      </c>
      <c r="C1572">
        <v>8076</v>
      </c>
      <c r="D1572">
        <v>-1.76280285607439</v>
      </c>
      <c r="E1572">
        <v>2.4764735017335302E-4</v>
      </c>
      <c r="F1572" t="s">
        <v>306</v>
      </c>
    </row>
    <row r="1573" spans="1:6" x14ac:dyDescent="0.2">
      <c r="A1573" t="s">
        <v>94</v>
      </c>
      <c r="B1573" t="s">
        <v>129</v>
      </c>
      <c r="C1573">
        <v>8076</v>
      </c>
      <c r="D1573">
        <v>-1.76280285607439</v>
      </c>
      <c r="E1573">
        <v>2.4764735017335302E-4</v>
      </c>
      <c r="F1573" t="s">
        <v>306</v>
      </c>
    </row>
    <row r="1574" spans="1:6" x14ac:dyDescent="0.2">
      <c r="A1574" t="s">
        <v>124</v>
      </c>
      <c r="B1574" t="s">
        <v>66</v>
      </c>
      <c r="C1574">
        <v>8076</v>
      </c>
      <c r="D1574">
        <v>-1.76280285607439</v>
      </c>
      <c r="E1574">
        <v>2.4764735017335302E-4</v>
      </c>
      <c r="F1574" t="s">
        <v>306</v>
      </c>
    </row>
    <row r="1575" spans="1:6" x14ac:dyDescent="0.2">
      <c r="A1575" t="s">
        <v>189</v>
      </c>
      <c r="B1575" t="s">
        <v>175</v>
      </c>
      <c r="C1575">
        <v>8076</v>
      </c>
      <c r="D1575">
        <v>-1.76280285607439</v>
      </c>
      <c r="E1575">
        <v>2.4764735017335302E-4</v>
      </c>
      <c r="F1575" t="s">
        <v>306</v>
      </c>
    </row>
    <row r="1576" spans="1:6" x14ac:dyDescent="0.2">
      <c r="A1576" t="s">
        <v>102</v>
      </c>
      <c r="B1576" t="s">
        <v>125</v>
      </c>
      <c r="C1576">
        <v>8076</v>
      </c>
      <c r="D1576">
        <v>-1.76280285607439</v>
      </c>
      <c r="E1576">
        <v>2.4764735017335302E-4</v>
      </c>
      <c r="F1576" t="s">
        <v>306</v>
      </c>
    </row>
    <row r="1577" spans="1:6" x14ac:dyDescent="0.2">
      <c r="A1577" t="s">
        <v>129</v>
      </c>
      <c r="B1577" t="s">
        <v>108</v>
      </c>
      <c r="C1577">
        <v>8076</v>
      </c>
      <c r="D1577">
        <v>-1.76280285607439</v>
      </c>
      <c r="E1577">
        <v>2.4764735017335302E-4</v>
      </c>
      <c r="F1577" t="s">
        <v>306</v>
      </c>
    </row>
    <row r="1578" spans="1:6" x14ac:dyDescent="0.2">
      <c r="A1578" t="s">
        <v>90</v>
      </c>
      <c r="B1578" t="s">
        <v>100</v>
      </c>
      <c r="C1578">
        <v>8076</v>
      </c>
      <c r="D1578">
        <v>-1.76280285607439</v>
      </c>
      <c r="E1578">
        <v>2.4764735017335302E-4</v>
      </c>
      <c r="F1578" t="s">
        <v>306</v>
      </c>
    </row>
    <row r="1579" spans="1:6" x14ac:dyDescent="0.2">
      <c r="A1579" t="s">
        <v>45</v>
      </c>
      <c r="B1579" t="s">
        <v>111</v>
      </c>
      <c r="C1579">
        <v>8076</v>
      </c>
      <c r="D1579">
        <v>-1.76280285607439</v>
      </c>
      <c r="E1579">
        <v>2.4764735017335302E-4</v>
      </c>
      <c r="F1579" t="s">
        <v>306</v>
      </c>
    </row>
    <row r="1580" spans="1:6" x14ac:dyDescent="0.2">
      <c r="A1580" t="s">
        <v>90</v>
      </c>
      <c r="B1580" t="s">
        <v>189</v>
      </c>
      <c r="C1580">
        <v>8076</v>
      </c>
      <c r="D1580">
        <v>-1.76280285607439</v>
      </c>
      <c r="E1580">
        <v>2.4764735017335302E-4</v>
      </c>
      <c r="F1580" t="s">
        <v>306</v>
      </c>
    </row>
    <row r="1581" spans="1:6" x14ac:dyDescent="0.2">
      <c r="A1581" t="s">
        <v>58</v>
      </c>
      <c r="B1581" t="s">
        <v>66</v>
      </c>
      <c r="C1581">
        <v>8076</v>
      </c>
      <c r="D1581">
        <v>-1.76280285607439</v>
      </c>
      <c r="E1581">
        <v>2.4764735017335302E-4</v>
      </c>
      <c r="F1581" t="s">
        <v>306</v>
      </c>
    </row>
    <row r="1582" spans="1:6" x14ac:dyDescent="0.2">
      <c r="A1582" t="s">
        <v>59</v>
      </c>
      <c r="B1582" t="s">
        <v>189</v>
      </c>
      <c r="C1582">
        <v>8076</v>
      </c>
      <c r="D1582">
        <v>-1.76280285607439</v>
      </c>
      <c r="E1582">
        <v>2.4764735017335302E-4</v>
      </c>
      <c r="F1582" t="s">
        <v>306</v>
      </c>
    </row>
    <row r="1583" spans="1:6" x14ac:dyDescent="0.2">
      <c r="A1583" t="s">
        <v>60</v>
      </c>
      <c r="B1583" t="s">
        <v>175</v>
      </c>
      <c r="C1583">
        <v>8076</v>
      </c>
      <c r="D1583">
        <v>-1.76280285607439</v>
      </c>
      <c r="E1583">
        <v>2.4764735017335302E-4</v>
      </c>
      <c r="F1583" t="s">
        <v>306</v>
      </c>
    </row>
    <row r="1584" spans="1:6" x14ac:dyDescent="0.2">
      <c r="A1584" t="s">
        <v>36</v>
      </c>
      <c r="B1584" t="s">
        <v>37</v>
      </c>
      <c r="C1584">
        <v>8076</v>
      </c>
      <c r="D1584">
        <v>-1.76280285607439</v>
      </c>
      <c r="E1584">
        <v>2.4764735017335302E-4</v>
      </c>
      <c r="F1584" t="s">
        <v>306</v>
      </c>
    </row>
    <row r="1585" spans="1:6" x14ac:dyDescent="0.2">
      <c r="A1585" t="s">
        <v>17</v>
      </c>
      <c r="B1585" t="s">
        <v>108</v>
      </c>
      <c r="C1585">
        <v>8076</v>
      </c>
      <c r="D1585">
        <v>-1.76280285607439</v>
      </c>
      <c r="E1585">
        <v>2.4764735017335302E-4</v>
      </c>
      <c r="F1585" t="s">
        <v>306</v>
      </c>
    </row>
    <row r="1586" spans="1:6" x14ac:dyDescent="0.2">
      <c r="A1586" t="s">
        <v>212</v>
      </c>
      <c r="B1586" t="s">
        <v>107</v>
      </c>
      <c r="C1586">
        <v>8076</v>
      </c>
      <c r="D1586">
        <v>-1.76280285607439</v>
      </c>
      <c r="E1586">
        <v>2.4764735017335302E-4</v>
      </c>
      <c r="F1586" t="s">
        <v>306</v>
      </c>
    </row>
    <row r="1587" spans="1:6" x14ac:dyDescent="0.2">
      <c r="A1587" t="s">
        <v>104</v>
      </c>
      <c r="B1587" t="s">
        <v>100</v>
      </c>
      <c r="C1587">
        <v>8076</v>
      </c>
      <c r="D1587">
        <v>-1.76280285607439</v>
      </c>
      <c r="E1587">
        <v>2.4764735017335302E-4</v>
      </c>
      <c r="F1587" t="s">
        <v>306</v>
      </c>
    </row>
    <row r="1588" spans="1:6" x14ac:dyDescent="0.2">
      <c r="A1588" t="s">
        <v>79</v>
      </c>
      <c r="B1588" t="s">
        <v>66</v>
      </c>
      <c r="C1588">
        <v>8076</v>
      </c>
      <c r="D1588">
        <v>-1.76280285607439</v>
      </c>
      <c r="E1588">
        <v>2.4764735017335302E-4</v>
      </c>
      <c r="F1588" t="s">
        <v>306</v>
      </c>
    </row>
    <row r="1589" spans="1:6" x14ac:dyDescent="0.2">
      <c r="A1589" t="s">
        <v>17</v>
      </c>
      <c r="B1589" t="s">
        <v>74</v>
      </c>
      <c r="C1589">
        <v>8076</v>
      </c>
      <c r="D1589">
        <v>-1.76280285607439</v>
      </c>
      <c r="E1589">
        <v>2.4764735017335302E-4</v>
      </c>
      <c r="F1589" t="s">
        <v>306</v>
      </c>
    </row>
    <row r="1590" spans="1:6" x14ac:dyDescent="0.2">
      <c r="A1590" t="s">
        <v>38</v>
      </c>
      <c r="B1590" t="s">
        <v>66</v>
      </c>
      <c r="C1590">
        <v>8076</v>
      </c>
      <c r="D1590">
        <v>-1.76280285607439</v>
      </c>
      <c r="E1590">
        <v>2.4764735017335302E-4</v>
      </c>
      <c r="F1590" t="s">
        <v>306</v>
      </c>
    </row>
    <row r="1591" spans="1:6" x14ac:dyDescent="0.2">
      <c r="A1591" t="s">
        <v>102</v>
      </c>
      <c r="B1591" t="s">
        <v>61</v>
      </c>
      <c r="C1591">
        <v>8076</v>
      </c>
      <c r="D1591">
        <v>-1.76280285607439</v>
      </c>
      <c r="E1591">
        <v>2.4764735017335302E-4</v>
      </c>
      <c r="F1591" t="s">
        <v>306</v>
      </c>
    </row>
    <row r="1592" spans="1:6" x14ac:dyDescent="0.2">
      <c r="A1592" t="s">
        <v>212</v>
      </c>
      <c r="B1592" t="s">
        <v>37</v>
      </c>
      <c r="C1592">
        <v>8076</v>
      </c>
      <c r="D1592">
        <v>-1.76280285607439</v>
      </c>
      <c r="E1592">
        <v>2.4764735017335302E-4</v>
      </c>
      <c r="F1592" t="s">
        <v>306</v>
      </c>
    </row>
    <row r="1593" spans="1:6" x14ac:dyDescent="0.2">
      <c r="A1593" t="s">
        <v>187</v>
      </c>
      <c r="B1593" t="s">
        <v>126</v>
      </c>
      <c r="C1593">
        <v>8076</v>
      </c>
      <c r="D1593">
        <v>-1.76280285607439</v>
      </c>
      <c r="E1593">
        <v>2.4764735017335302E-4</v>
      </c>
      <c r="F1593" t="s">
        <v>306</v>
      </c>
    </row>
    <row r="1594" spans="1:6" x14ac:dyDescent="0.2">
      <c r="A1594" t="s">
        <v>94</v>
      </c>
      <c r="B1594" t="s">
        <v>79</v>
      </c>
      <c r="C1594">
        <v>8076</v>
      </c>
      <c r="D1594">
        <v>-1.76280285607439</v>
      </c>
      <c r="E1594">
        <v>2.4764735017335302E-4</v>
      </c>
      <c r="F1594" t="s">
        <v>306</v>
      </c>
    </row>
    <row r="1595" spans="1:6" x14ac:dyDescent="0.2">
      <c r="A1595" t="s">
        <v>38</v>
      </c>
      <c r="B1595" t="s">
        <v>114</v>
      </c>
      <c r="C1595">
        <v>8076</v>
      </c>
      <c r="D1595">
        <v>-1.76280285607439</v>
      </c>
      <c r="E1595">
        <v>2.4764735017335302E-4</v>
      </c>
      <c r="F1595" t="s">
        <v>306</v>
      </c>
    </row>
    <row r="1596" spans="1:6" x14ac:dyDescent="0.2">
      <c r="A1596" t="s">
        <v>53</v>
      </c>
      <c r="B1596" t="s">
        <v>177</v>
      </c>
      <c r="C1596">
        <v>8076</v>
      </c>
      <c r="D1596">
        <v>-1.76280285607439</v>
      </c>
      <c r="E1596">
        <v>2.4764735017335302E-4</v>
      </c>
      <c r="F1596" t="s">
        <v>306</v>
      </c>
    </row>
    <row r="1597" spans="1:6" x14ac:dyDescent="0.2">
      <c r="A1597" t="s">
        <v>90</v>
      </c>
      <c r="B1597" t="s">
        <v>53</v>
      </c>
      <c r="C1597">
        <v>8076</v>
      </c>
      <c r="D1597">
        <v>-1.76280285607439</v>
      </c>
      <c r="E1597">
        <v>2.4764735017335302E-4</v>
      </c>
      <c r="F1597" t="s">
        <v>306</v>
      </c>
    </row>
    <row r="1598" spans="1:6" x14ac:dyDescent="0.2">
      <c r="A1598" t="s">
        <v>90</v>
      </c>
      <c r="B1598" t="s">
        <v>108</v>
      </c>
      <c r="C1598">
        <v>8076</v>
      </c>
      <c r="D1598">
        <v>-1.76280285607439</v>
      </c>
      <c r="E1598">
        <v>2.4764735017335302E-4</v>
      </c>
      <c r="F1598" t="s">
        <v>306</v>
      </c>
    </row>
    <row r="1599" spans="1:6" x14ac:dyDescent="0.2">
      <c r="A1599" t="s">
        <v>125</v>
      </c>
      <c r="B1599" t="s">
        <v>106</v>
      </c>
      <c r="C1599">
        <v>8076</v>
      </c>
      <c r="D1599">
        <v>-1.76280285607439</v>
      </c>
      <c r="E1599">
        <v>2.4764735017335302E-4</v>
      </c>
      <c r="F1599" t="s">
        <v>306</v>
      </c>
    </row>
    <row r="1600" spans="1:6" x14ac:dyDescent="0.2">
      <c r="A1600" t="s">
        <v>79</v>
      </c>
      <c r="B1600" t="s">
        <v>108</v>
      </c>
      <c r="C1600">
        <v>8076</v>
      </c>
      <c r="D1600">
        <v>-1.76280285607439</v>
      </c>
      <c r="E1600">
        <v>2.4764735017335302E-4</v>
      </c>
      <c r="F1600" t="s">
        <v>306</v>
      </c>
    </row>
    <row r="1601" spans="1:6" x14ac:dyDescent="0.2">
      <c r="A1601" t="s">
        <v>45</v>
      </c>
      <c r="B1601" t="s">
        <v>123</v>
      </c>
      <c r="C1601">
        <v>8076</v>
      </c>
      <c r="D1601">
        <v>-1.76280285607439</v>
      </c>
      <c r="E1601">
        <v>2.4764735017335302E-4</v>
      </c>
      <c r="F1601" t="s">
        <v>306</v>
      </c>
    </row>
    <row r="1602" spans="1:6" x14ac:dyDescent="0.2">
      <c r="A1602" t="s">
        <v>126</v>
      </c>
      <c r="B1602" t="s">
        <v>189</v>
      </c>
      <c r="C1602">
        <v>8076</v>
      </c>
      <c r="D1602">
        <v>-1.76280285607439</v>
      </c>
      <c r="E1602">
        <v>2.4764735017335302E-4</v>
      </c>
      <c r="F1602" t="s">
        <v>306</v>
      </c>
    </row>
    <row r="1603" spans="1:6" x14ac:dyDescent="0.2">
      <c r="A1603" t="s">
        <v>92</v>
      </c>
      <c r="B1603" t="s">
        <v>53</v>
      </c>
      <c r="C1603">
        <v>8076</v>
      </c>
      <c r="D1603">
        <v>-1.76280285607439</v>
      </c>
      <c r="E1603">
        <v>2.4764735017335302E-4</v>
      </c>
      <c r="F1603" t="s">
        <v>306</v>
      </c>
    </row>
    <row r="1604" spans="1:6" x14ac:dyDescent="0.2">
      <c r="A1604" t="s">
        <v>62</v>
      </c>
      <c r="B1604" t="s">
        <v>189</v>
      </c>
      <c r="C1604">
        <v>8076</v>
      </c>
      <c r="D1604">
        <v>-1.76280285607439</v>
      </c>
      <c r="E1604">
        <v>2.4764735017335302E-4</v>
      </c>
      <c r="F1604" t="s">
        <v>306</v>
      </c>
    </row>
    <row r="1605" spans="1:6" x14ac:dyDescent="0.2">
      <c r="A1605" t="s">
        <v>100</v>
      </c>
      <c r="B1605" t="s">
        <v>79</v>
      </c>
      <c r="C1605">
        <v>8076</v>
      </c>
      <c r="D1605">
        <v>-1.76280285607439</v>
      </c>
      <c r="E1605">
        <v>2.4764735017335302E-4</v>
      </c>
      <c r="F1605" t="s">
        <v>306</v>
      </c>
    </row>
    <row r="1606" spans="1:6" x14ac:dyDescent="0.2">
      <c r="A1606" t="s">
        <v>94</v>
      </c>
      <c r="B1606" t="s">
        <v>114</v>
      </c>
      <c r="C1606">
        <v>8076</v>
      </c>
      <c r="D1606">
        <v>-1.76280285607439</v>
      </c>
      <c r="E1606">
        <v>2.4764735017335302E-4</v>
      </c>
      <c r="F1606" t="s">
        <v>306</v>
      </c>
    </row>
    <row r="1607" spans="1:6" x14ac:dyDescent="0.2">
      <c r="A1607" t="s">
        <v>79</v>
      </c>
      <c r="B1607" t="s">
        <v>114</v>
      </c>
      <c r="C1607">
        <v>8076</v>
      </c>
      <c r="D1607">
        <v>-1.76280285607439</v>
      </c>
      <c r="E1607">
        <v>2.4764735017335302E-4</v>
      </c>
      <c r="F1607" t="s">
        <v>306</v>
      </c>
    </row>
    <row r="1608" spans="1:6" x14ac:dyDescent="0.2">
      <c r="A1608" t="s">
        <v>38</v>
      </c>
      <c r="B1608" t="s">
        <v>111</v>
      </c>
      <c r="C1608">
        <v>8076</v>
      </c>
      <c r="D1608">
        <v>-1.76280285607439</v>
      </c>
      <c r="E1608">
        <v>2.4764735017335302E-4</v>
      </c>
      <c r="F1608" t="s">
        <v>306</v>
      </c>
    </row>
    <row r="1609" spans="1:6" x14ac:dyDescent="0.2">
      <c r="A1609" t="s">
        <v>45</v>
      </c>
      <c r="B1609" t="s">
        <v>37</v>
      </c>
      <c r="C1609">
        <v>8076</v>
      </c>
      <c r="D1609">
        <v>-1.76280285607439</v>
      </c>
      <c r="E1609">
        <v>2.4764735017335302E-4</v>
      </c>
      <c r="F1609" t="s">
        <v>306</v>
      </c>
    </row>
    <row r="1610" spans="1:6" x14ac:dyDescent="0.2">
      <c r="A1610" t="s">
        <v>102</v>
      </c>
      <c r="B1610" t="s">
        <v>60</v>
      </c>
      <c r="C1610">
        <v>8076</v>
      </c>
      <c r="D1610">
        <v>-1.76280285607439</v>
      </c>
      <c r="E1610">
        <v>2.4764735017335302E-4</v>
      </c>
      <c r="F1610" t="s">
        <v>306</v>
      </c>
    </row>
    <row r="1611" spans="1:6" x14ac:dyDescent="0.2">
      <c r="A1611" t="s">
        <v>104</v>
      </c>
      <c r="B1611" t="s">
        <v>123</v>
      </c>
      <c r="C1611">
        <v>8076</v>
      </c>
      <c r="D1611">
        <v>-1.76280285607439</v>
      </c>
      <c r="E1611">
        <v>2.4764735017335302E-4</v>
      </c>
      <c r="F1611" t="s">
        <v>306</v>
      </c>
    </row>
    <row r="1612" spans="1:6" x14ac:dyDescent="0.2">
      <c r="A1612" t="s">
        <v>100</v>
      </c>
      <c r="B1612" t="s">
        <v>108</v>
      </c>
      <c r="C1612">
        <v>8076</v>
      </c>
      <c r="D1612">
        <v>-1.76280285607439</v>
      </c>
      <c r="E1612">
        <v>2.4764735017335302E-4</v>
      </c>
      <c r="F1612" t="s">
        <v>306</v>
      </c>
    </row>
    <row r="1613" spans="1:6" x14ac:dyDescent="0.2">
      <c r="A1613" t="s">
        <v>58</v>
      </c>
      <c r="B1613" t="s">
        <v>107</v>
      </c>
      <c r="C1613">
        <v>8076</v>
      </c>
      <c r="D1613">
        <v>-1.76280285607439</v>
      </c>
      <c r="E1613">
        <v>2.4764735017335302E-4</v>
      </c>
      <c r="F1613" t="s">
        <v>306</v>
      </c>
    </row>
    <row r="1614" spans="1:6" x14ac:dyDescent="0.2">
      <c r="A1614" t="s">
        <v>212</v>
      </c>
      <c r="B1614" t="s">
        <v>189</v>
      </c>
      <c r="C1614">
        <v>8076</v>
      </c>
      <c r="D1614">
        <v>-1.76280285607439</v>
      </c>
      <c r="E1614">
        <v>2.4764735017335302E-4</v>
      </c>
      <c r="F1614" t="s">
        <v>306</v>
      </c>
    </row>
    <row r="1615" spans="1:6" x14ac:dyDescent="0.2">
      <c r="A1615" t="s">
        <v>94</v>
      </c>
      <c r="B1615" t="s">
        <v>111</v>
      </c>
      <c r="C1615">
        <v>8076</v>
      </c>
      <c r="D1615">
        <v>-1.76280285607439</v>
      </c>
      <c r="E1615">
        <v>2.4764735017335302E-4</v>
      </c>
      <c r="F1615" t="s">
        <v>306</v>
      </c>
    </row>
    <row r="1616" spans="1:6" x14ac:dyDescent="0.2">
      <c r="A1616" t="s">
        <v>32</v>
      </c>
      <c r="B1616" t="s">
        <v>38</v>
      </c>
      <c r="C1616">
        <v>8076</v>
      </c>
      <c r="D1616">
        <v>-1.76280285607439</v>
      </c>
      <c r="E1616">
        <v>2.4764735017335302E-4</v>
      </c>
      <c r="F1616" t="s">
        <v>306</v>
      </c>
    </row>
    <row r="1617" spans="1:6" x14ac:dyDescent="0.2">
      <c r="A1617" t="s">
        <v>163</v>
      </c>
      <c r="B1617" t="s">
        <v>123</v>
      </c>
      <c r="C1617">
        <v>8076</v>
      </c>
      <c r="D1617">
        <v>-1.76280285607439</v>
      </c>
      <c r="E1617">
        <v>2.4764735017335302E-4</v>
      </c>
      <c r="F1617" t="s">
        <v>306</v>
      </c>
    </row>
    <row r="1618" spans="1:6" x14ac:dyDescent="0.2">
      <c r="A1618" t="s">
        <v>45</v>
      </c>
      <c r="B1618" t="s">
        <v>175</v>
      </c>
      <c r="C1618">
        <v>8076</v>
      </c>
      <c r="D1618">
        <v>-1.76280285607439</v>
      </c>
      <c r="E1618">
        <v>2.4764735017335302E-4</v>
      </c>
      <c r="F1618" t="s">
        <v>306</v>
      </c>
    </row>
    <row r="1619" spans="1:6" x14ac:dyDescent="0.2">
      <c r="A1619" t="s">
        <v>67</v>
      </c>
      <c r="B1619" t="s">
        <v>36</v>
      </c>
      <c r="C1619">
        <v>8076</v>
      </c>
      <c r="D1619">
        <v>-1.76280285607439</v>
      </c>
      <c r="E1619">
        <v>2.4764735017335302E-4</v>
      </c>
      <c r="F1619" t="s">
        <v>306</v>
      </c>
    </row>
    <row r="1620" spans="1:6" x14ac:dyDescent="0.2">
      <c r="A1620" t="s">
        <v>94</v>
      </c>
      <c r="B1620" t="s">
        <v>123</v>
      </c>
      <c r="C1620">
        <v>8076</v>
      </c>
      <c r="D1620">
        <v>-1.76280285607439</v>
      </c>
      <c r="E1620">
        <v>2.4764735017335302E-4</v>
      </c>
      <c r="F1620" t="s">
        <v>306</v>
      </c>
    </row>
    <row r="1621" spans="1:6" x14ac:dyDescent="0.2">
      <c r="A1621" t="s">
        <v>67</v>
      </c>
      <c r="B1621" t="s">
        <v>38</v>
      </c>
      <c r="C1621">
        <v>8076</v>
      </c>
      <c r="D1621">
        <v>-1.76280285607439</v>
      </c>
      <c r="E1621">
        <v>2.4764735017335302E-4</v>
      </c>
      <c r="F1621" t="s">
        <v>306</v>
      </c>
    </row>
    <row r="1622" spans="1:6" x14ac:dyDescent="0.2">
      <c r="A1622" t="s">
        <v>126</v>
      </c>
      <c r="B1622" t="s">
        <v>114</v>
      </c>
      <c r="C1622">
        <v>8076</v>
      </c>
      <c r="D1622">
        <v>-1.76280285607439</v>
      </c>
      <c r="E1622">
        <v>2.4764735017335302E-4</v>
      </c>
      <c r="F1622" t="s">
        <v>306</v>
      </c>
    </row>
    <row r="1623" spans="1:6" x14ac:dyDescent="0.2">
      <c r="A1623" t="s">
        <v>58</v>
      </c>
      <c r="B1623" t="s">
        <v>50</v>
      </c>
      <c r="C1623">
        <v>8076</v>
      </c>
      <c r="D1623">
        <v>-1.76280285607439</v>
      </c>
      <c r="E1623">
        <v>2.4764735017335302E-4</v>
      </c>
      <c r="F1623" t="s">
        <v>306</v>
      </c>
    </row>
    <row r="1624" spans="1:6" x14ac:dyDescent="0.2">
      <c r="A1624" t="s">
        <v>50</v>
      </c>
      <c r="B1624" t="s">
        <v>37</v>
      </c>
      <c r="C1624">
        <v>8076</v>
      </c>
      <c r="D1624">
        <v>-1.76280285607439</v>
      </c>
      <c r="E1624">
        <v>2.4764735017335302E-4</v>
      </c>
      <c r="F1624" t="s">
        <v>306</v>
      </c>
    </row>
    <row r="1625" spans="1:6" x14ac:dyDescent="0.2">
      <c r="A1625" t="s">
        <v>193</v>
      </c>
      <c r="B1625" t="s">
        <v>120</v>
      </c>
      <c r="C1625">
        <v>8076</v>
      </c>
      <c r="D1625">
        <v>-1.76280285607439</v>
      </c>
      <c r="E1625">
        <v>2.4764735017335302E-4</v>
      </c>
      <c r="F1625" t="s">
        <v>306</v>
      </c>
    </row>
    <row r="1626" spans="1:6" x14ac:dyDescent="0.2">
      <c r="A1626" t="s">
        <v>53</v>
      </c>
      <c r="B1626" t="s">
        <v>111</v>
      </c>
      <c r="C1626">
        <v>8076</v>
      </c>
      <c r="D1626">
        <v>-1.76280285607439</v>
      </c>
      <c r="E1626">
        <v>2.4764735017335302E-4</v>
      </c>
      <c r="F1626" t="s">
        <v>306</v>
      </c>
    </row>
    <row r="1627" spans="1:6" x14ac:dyDescent="0.2">
      <c r="A1627" t="s">
        <v>60</v>
      </c>
      <c r="B1627" t="s">
        <v>111</v>
      </c>
      <c r="C1627">
        <v>8076</v>
      </c>
      <c r="D1627">
        <v>-1.76280285607439</v>
      </c>
      <c r="E1627">
        <v>2.4764735017335302E-4</v>
      </c>
      <c r="F1627" t="s">
        <v>306</v>
      </c>
    </row>
    <row r="1628" spans="1:6" x14ac:dyDescent="0.2">
      <c r="A1628" t="s">
        <v>126</v>
      </c>
      <c r="B1628" t="s">
        <v>37</v>
      </c>
      <c r="C1628">
        <v>8076</v>
      </c>
      <c r="D1628">
        <v>-1.76280285607439</v>
      </c>
      <c r="E1628">
        <v>2.4764735017335302E-4</v>
      </c>
      <c r="F1628" t="s">
        <v>306</v>
      </c>
    </row>
    <row r="1629" spans="1:6" x14ac:dyDescent="0.2">
      <c r="A1629" t="s">
        <v>25</v>
      </c>
      <c r="B1629" t="s">
        <v>108</v>
      </c>
      <c r="C1629">
        <v>8076</v>
      </c>
      <c r="D1629">
        <v>-1.76280285607439</v>
      </c>
      <c r="E1629">
        <v>2.4764735017335302E-4</v>
      </c>
      <c r="F1629" t="s">
        <v>306</v>
      </c>
    </row>
    <row r="1630" spans="1:6" x14ac:dyDescent="0.2">
      <c r="A1630" t="s">
        <v>32</v>
      </c>
      <c r="B1630" t="s">
        <v>175</v>
      </c>
      <c r="C1630">
        <v>8076</v>
      </c>
      <c r="D1630">
        <v>-1.76280285607439</v>
      </c>
      <c r="E1630">
        <v>2.4764735017335302E-4</v>
      </c>
      <c r="F1630" t="s">
        <v>306</v>
      </c>
    </row>
    <row r="1631" spans="1:6" x14ac:dyDescent="0.2">
      <c r="A1631" t="s">
        <v>125</v>
      </c>
      <c r="B1631" t="s">
        <v>83</v>
      </c>
      <c r="C1631">
        <v>8076</v>
      </c>
      <c r="D1631">
        <v>-1.76280285607439</v>
      </c>
      <c r="E1631">
        <v>2.4764735017335302E-4</v>
      </c>
      <c r="F1631" t="s">
        <v>306</v>
      </c>
    </row>
    <row r="1632" spans="1:6" x14ac:dyDescent="0.2">
      <c r="A1632" t="s">
        <v>73</v>
      </c>
      <c r="B1632" t="s">
        <v>92</v>
      </c>
      <c r="C1632">
        <v>8076</v>
      </c>
      <c r="D1632">
        <v>-1.76280285607439</v>
      </c>
      <c r="E1632">
        <v>2.4764735017335302E-4</v>
      </c>
      <c r="F1632" t="s">
        <v>306</v>
      </c>
    </row>
    <row r="1633" spans="1:6" x14ac:dyDescent="0.2">
      <c r="A1633" t="s">
        <v>36</v>
      </c>
      <c r="B1633" t="s">
        <v>125</v>
      </c>
      <c r="C1633">
        <v>8076</v>
      </c>
      <c r="D1633">
        <v>-1.76280285607439</v>
      </c>
      <c r="E1633">
        <v>2.4764735017335302E-4</v>
      </c>
      <c r="F1633" t="s">
        <v>306</v>
      </c>
    </row>
    <row r="1634" spans="1:6" x14ac:dyDescent="0.2">
      <c r="A1634" t="s">
        <v>67</v>
      </c>
      <c r="B1634" t="s">
        <v>79</v>
      </c>
      <c r="C1634">
        <v>8076</v>
      </c>
      <c r="D1634">
        <v>-1.76280285607439</v>
      </c>
      <c r="E1634">
        <v>2.4764735017335302E-4</v>
      </c>
      <c r="F1634" t="s">
        <v>306</v>
      </c>
    </row>
    <row r="1635" spans="1:6" x14ac:dyDescent="0.2">
      <c r="A1635" t="s">
        <v>61</v>
      </c>
      <c r="B1635" t="s">
        <v>66</v>
      </c>
      <c r="C1635">
        <v>8076</v>
      </c>
      <c r="D1635">
        <v>-1.76280285607439</v>
      </c>
      <c r="E1635">
        <v>2.4764735017335302E-4</v>
      </c>
      <c r="F1635" t="s">
        <v>306</v>
      </c>
    </row>
    <row r="1636" spans="1:6" x14ac:dyDescent="0.2">
      <c r="A1636" t="s">
        <v>32</v>
      </c>
      <c r="B1636" t="s">
        <v>108</v>
      </c>
      <c r="C1636">
        <v>8076</v>
      </c>
      <c r="D1636">
        <v>-1.76280285607439</v>
      </c>
      <c r="E1636">
        <v>2.4764735017335302E-4</v>
      </c>
      <c r="F1636" t="s">
        <v>306</v>
      </c>
    </row>
    <row r="1637" spans="1:6" x14ac:dyDescent="0.2">
      <c r="A1637" t="s">
        <v>73</v>
      </c>
      <c r="B1637" t="s">
        <v>212</v>
      </c>
      <c r="C1637">
        <v>8076</v>
      </c>
      <c r="D1637">
        <v>-1.76280285607439</v>
      </c>
      <c r="E1637">
        <v>2.4764735017335302E-4</v>
      </c>
      <c r="F1637" t="s">
        <v>306</v>
      </c>
    </row>
    <row r="1638" spans="1:6" x14ac:dyDescent="0.2">
      <c r="A1638" t="s">
        <v>66</v>
      </c>
      <c r="B1638" t="s">
        <v>108</v>
      </c>
      <c r="C1638">
        <v>8076</v>
      </c>
      <c r="D1638">
        <v>-1.76280285607439</v>
      </c>
      <c r="E1638">
        <v>2.4764735017335302E-4</v>
      </c>
      <c r="F1638" t="s">
        <v>306</v>
      </c>
    </row>
    <row r="1639" spans="1:6" x14ac:dyDescent="0.2">
      <c r="A1639" t="s">
        <v>95</v>
      </c>
      <c r="B1639" t="s">
        <v>25</v>
      </c>
      <c r="C1639">
        <v>8076</v>
      </c>
      <c r="D1639">
        <v>-1.76280285607439</v>
      </c>
      <c r="E1639">
        <v>2.4764735017335302E-4</v>
      </c>
      <c r="F1639" t="s">
        <v>306</v>
      </c>
    </row>
    <row r="1640" spans="1:6" x14ac:dyDescent="0.2">
      <c r="A1640" t="s">
        <v>100</v>
      </c>
      <c r="B1640" t="s">
        <v>175</v>
      </c>
      <c r="C1640">
        <v>8076</v>
      </c>
      <c r="D1640">
        <v>-1.76280285607439</v>
      </c>
      <c r="E1640">
        <v>2.4764735017335302E-4</v>
      </c>
      <c r="F1640" t="s">
        <v>306</v>
      </c>
    </row>
    <row r="1641" spans="1:6" x14ac:dyDescent="0.2">
      <c r="A1641" t="s">
        <v>100</v>
      </c>
      <c r="B1641" t="s">
        <v>92</v>
      </c>
      <c r="C1641">
        <v>8076</v>
      </c>
      <c r="D1641">
        <v>-1.76280285607439</v>
      </c>
      <c r="E1641">
        <v>2.4764735017335302E-4</v>
      </c>
      <c r="F1641" t="s">
        <v>306</v>
      </c>
    </row>
    <row r="1642" spans="1:6" x14ac:dyDescent="0.2">
      <c r="A1642" t="s">
        <v>124</v>
      </c>
      <c r="B1642" t="s">
        <v>90</v>
      </c>
      <c r="C1642">
        <v>8076</v>
      </c>
      <c r="D1642">
        <v>-1.76280285607439</v>
      </c>
      <c r="E1642">
        <v>2.4764735017335302E-4</v>
      </c>
      <c r="F1642" t="s">
        <v>306</v>
      </c>
    </row>
    <row r="1643" spans="1:6" x14ac:dyDescent="0.2">
      <c r="A1643" t="s">
        <v>37</v>
      </c>
      <c r="B1643" t="s">
        <v>114</v>
      </c>
      <c r="C1643">
        <v>8076</v>
      </c>
      <c r="D1643">
        <v>-1.76280285607439</v>
      </c>
      <c r="E1643">
        <v>2.4764735017335302E-4</v>
      </c>
      <c r="F1643" t="s">
        <v>306</v>
      </c>
    </row>
    <row r="1644" spans="1:6" x14ac:dyDescent="0.2">
      <c r="A1644" t="s">
        <v>100</v>
      </c>
      <c r="B1644" t="s">
        <v>28</v>
      </c>
      <c r="C1644">
        <v>8076</v>
      </c>
      <c r="D1644">
        <v>-1.76280285607439</v>
      </c>
      <c r="E1644">
        <v>2.4764735017335302E-4</v>
      </c>
      <c r="F1644" t="s">
        <v>306</v>
      </c>
    </row>
    <row r="1645" spans="1:6" x14ac:dyDescent="0.2">
      <c r="A1645" t="s">
        <v>90</v>
      </c>
      <c r="B1645" t="s">
        <v>175</v>
      </c>
      <c r="C1645">
        <v>8076</v>
      </c>
      <c r="D1645">
        <v>-1.76280285607439</v>
      </c>
      <c r="E1645">
        <v>2.4764735017335302E-4</v>
      </c>
      <c r="F1645" t="s">
        <v>306</v>
      </c>
    </row>
    <row r="1646" spans="1:6" x14ac:dyDescent="0.2">
      <c r="A1646" t="s">
        <v>79</v>
      </c>
      <c r="B1646" t="s">
        <v>126</v>
      </c>
      <c r="C1646">
        <v>8076</v>
      </c>
      <c r="D1646">
        <v>-1.76280285607439</v>
      </c>
      <c r="E1646">
        <v>2.4764735017335302E-4</v>
      </c>
      <c r="F1646" t="s">
        <v>306</v>
      </c>
    </row>
    <row r="1647" spans="1:6" x14ac:dyDescent="0.2">
      <c r="A1647" t="s">
        <v>100</v>
      </c>
      <c r="B1647" t="s">
        <v>83</v>
      </c>
      <c r="C1647">
        <v>8076</v>
      </c>
      <c r="D1647">
        <v>-1.76280285607439</v>
      </c>
      <c r="E1647">
        <v>2.4764735017335302E-4</v>
      </c>
      <c r="F1647" t="s">
        <v>306</v>
      </c>
    </row>
    <row r="1648" spans="1:6" x14ac:dyDescent="0.2">
      <c r="A1648" t="s">
        <v>193</v>
      </c>
      <c r="B1648" t="s">
        <v>129</v>
      </c>
      <c r="C1648">
        <v>8076</v>
      </c>
      <c r="D1648">
        <v>-1.76280285607439</v>
      </c>
      <c r="E1648">
        <v>2.4764735017335302E-4</v>
      </c>
      <c r="F1648" t="s">
        <v>306</v>
      </c>
    </row>
    <row r="1649" spans="1:6" x14ac:dyDescent="0.2">
      <c r="A1649" t="s">
        <v>104</v>
      </c>
      <c r="B1649" t="s">
        <v>37</v>
      </c>
      <c r="C1649">
        <v>8076</v>
      </c>
      <c r="D1649">
        <v>-1.76280285607439</v>
      </c>
      <c r="E1649">
        <v>2.4764735017335302E-4</v>
      </c>
      <c r="F1649" t="s">
        <v>306</v>
      </c>
    </row>
    <row r="1650" spans="1:6" x14ac:dyDescent="0.2">
      <c r="A1650" t="s">
        <v>90</v>
      </c>
      <c r="B1650" t="s">
        <v>59</v>
      </c>
      <c r="C1650">
        <v>8076</v>
      </c>
      <c r="D1650">
        <v>-1.76280285607439</v>
      </c>
      <c r="E1650">
        <v>2.4764735017335302E-4</v>
      </c>
      <c r="F1650" t="s">
        <v>306</v>
      </c>
    </row>
    <row r="1651" spans="1:6" x14ac:dyDescent="0.2">
      <c r="A1651" t="s">
        <v>92</v>
      </c>
      <c r="B1651" t="s">
        <v>126</v>
      </c>
      <c r="C1651">
        <v>8076</v>
      </c>
      <c r="D1651">
        <v>-1.76280285607439</v>
      </c>
      <c r="E1651">
        <v>2.4764735017335302E-4</v>
      </c>
      <c r="F1651" t="s">
        <v>306</v>
      </c>
    </row>
    <row r="1652" spans="1:6" x14ac:dyDescent="0.2">
      <c r="A1652" t="s">
        <v>94</v>
      </c>
      <c r="B1652" t="s">
        <v>53</v>
      </c>
      <c r="C1652">
        <v>8076</v>
      </c>
      <c r="D1652">
        <v>-1.76280285607439</v>
      </c>
      <c r="E1652">
        <v>2.4764735017335302E-4</v>
      </c>
      <c r="F1652" t="s">
        <v>306</v>
      </c>
    </row>
    <row r="1653" spans="1:6" x14ac:dyDescent="0.2">
      <c r="A1653" t="s">
        <v>212</v>
      </c>
      <c r="B1653" t="s">
        <v>125</v>
      </c>
      <c r="C1653">
        <v>8076</v>
      </c>
      <c r="D1653">
        <v>-1.76280285607439</v>
      </c>
      <c r="E1653">
        <v>2.4764735017335302E-4</v>
      </c>
      <c r="F1653" t="s">
        <v>306</v>
      </c>
    </row>
    <row r="1654" spans="1:6" x14ac:dyDescent="0.2">
      <c r="A1654" t="s">
        <v>95</v>
      </c>
      <c r="B1654" t="s">
        <v>189</v>
      </c>
      <c r="C1654">
        <v>8076</v>
      </c>
      <c r="D1654">
        <v>-1.76280285607439</v>
      </c>
      <c r="E1654">
        <v>2.4764735017335302E-4</v>
      </c>
      <c r="F1654" t="s">
        <v>306</v>
      </c>
    </row>
    <row r="1655" spans="1:6" x14ac:dyDescent="0.2">
      <c r="A1655" t="s">
        <v>125</v>
      </c>
      <c r="B1655" t="s">
        <v>111</v>
      </c>
      <c r="C1655">
        <v>8076</v>
      </c>
      <c r="D1655">
        <v>-1.76280285607439</v>
      </c>
      <c r="E1655">
        <v>2.4764735017335302E-4</v>
      </c>
      <c r="F1655" t="s">
        <v>306</v>
      </c>
    </row>
    <row r="1656" spans="1:6" x14ac:dyDescent="0.2">
      <c r="A1656" t="s">
        <v>94</v>
      </c>
      <c r="B1656" t="s">
        <v>36</v>
      </c>
      <c r="C1656">
        <v>8076</v>
      </c>
      <c r="D1656">
        <v>-1.76280285607439</v>
      </c>
      <c r="E1656">
        <v>2.4764735017335302E-4</v>
      </c>
      <c r="F1656" t="s">
        <v>306</v>
      </c>
    </row>
    <row r="1657" spans="1:6" x14ac:dyDescent="0.2">
      <c r="A1657" t="s">
        <v>36</v>
      </c>
      <c r="B1657" t="s">
        <v>108</v>
      </c>
      <c r="C1657">
        <v>8076</v>
      </c>
      <c r="D1657">
        <v>-1.76280285607439</v>
      </c>
      <c r="E1657">
        <v>2.4764735017335302E-4</v>
      </c>
      <c r="F1657" t="s">
        <v>306</v>
      </c>
    </row>
    <row r="1658" spans="1:6" x14ac:dyDescent="0.2">
      <c r="A1658" t="s">
        <v>92</v>
      </c>
      <c r="B1658" t="s">
        <v>37</v>
      </c>
      <c r="C1658">
        <v>8076</v>
      </c>
      <c r="D1658">
        <v>-1.76280285607439</v>
      </c>
      <c r="E1658">
        <v>2.4764735017335302E-4</v>
      </c>
      <c r="F1658" t="s">
        <v>306</v>
      </c>
    </row>
    <row r="1659" spans="1:6" x14ac:dyDescent="0.2">
      <c r="A1659" t="s">
        <v>124</v>
      </c>
      <c r="B1659" t="s">
        <v>60</v>
      </c>
      <c r="C1659">
        <v>8076</v>
      </c>
      <c r="D1659">
        <v>-1.76280285607439</v>
      </c>
      <c r="E1659">
        <v>2.4764735017335302E-4</v>
      </c>
      <c r="F1659" t="s">
        <v>306</v>
      </c>
    </row>
    <row r="1660" spans="1:6" x14ac:dyDescent="0.2">
      <c r="A1660" t="s">
        <v>163</v>
      </c>
      <c r="B1660" t="s">
        <v>61</v>
      </c>
      <c r="C1660">
        <v>8076</v>
      </c>
      <c r="D1660">
        <v>-1.76280285607439</v>
      </c>
      <c r="E1660">
        <v>2.4764735017335302E-4</v>
      </c>
      <c r="F1660" t="s">
        <v>306</v>
      </c>
    </row>
    <row r="1661" spans="1:6" x14ac:dyDescent="0.2">
      <c r="A1661" t="s">
        <v>66</v>
      </c>
      <c r="B1661" t="s">
        <v>175</v>
      </c>
      <c r="C1661">
        <v>8076</v>
      </c>
      <c r="D1661">
        <v>-1.76280285607439</v>
      </c>
      <c r="E1661">
        <v>2.4764735017335302E-4</v>
      </c>
      <c r="F1661" t="s">
        <v>306</v>
      </c>
    </row>
    <row r="1662" spans="1:6" x14ac:dyDescent="0.2">
      <c r="A1662" t="s">
        <v>100</v>
      </c>
      <c r="B1662" t="s">
        <v>59</v>
      </c>
      <c r="C1662">
        <v>8076</v>
      </c>
      <c r="D1662">
        <v>-1.76280285607439</v>
      </c>
      <c r="E1662">
        <v>2.4764735017335302E-4</v>
      </c>
      <c r="F1662" t="s">
        <v>306</v>
      </c>
    </row>
    <row r="1663" spans="1:6" x14ac:dyDescent="0.2">
      <c r="A1663" t="s">
        <v>212</v>
      </c>
      <c r="B1663" t="s">
        <v>92</v>
      </c>
      <c r="C1663">
        <v>8076</v>
      </c>
      <c r="D1663">
        <v>-1.76280285607439</v>
      </c>
      <c r="E1663">
        <v>2.4764735017335302E-4</v>
      </c>
      <c r="F1663" t="s">
        <v>306</v>
      </c>
    </row>
    <row r="1664" spans="1:6" x14ac:dyDescent="0.2">
      <c r="A1664" t="s">
        <v>177</v>
      </c>
      <c r="B1664" t="s">
        <v>74</v>
      </c>
      <c r="C1664">
        <v>8076</v>
      </c>
      <c r="D1664">
        <v>-1.76280285607439</v>
      </c>
      <c r="E1664">
        <v>2.4764735017335302E-4</v>
      </c>
      <c r="F1664" t="s">
        <v>306</v>
      </c>
    </row>
    <row r="1665" spans="1:6" x14ac:dyDescent="0.2">
      <c r="A1665" t="s">
        <v>94</v>
      </c>
      <c r="B1665" t="s">
        <v>25</v>
      </c>
      <c r="C1665">
        <v>8076</v>
      </c>
      <c r="D1665">
        <v>-1.76280285607439</v>
      </c>
      <c r="E1665">
        <v>2.4764735017335302E-4</v>
      </c>
      <c r="F1665" t="s">
        <v>306</v>
      </c>
    </row>
    <row r="1666" spans="1:6" x14ac:dyDescent="0.2">
      <c r="A1666" t="s">
        <v>193</v>
      </c>
      <c r="B1666" t="s">
        <v>25</v>
      </c>
      <c r="C1666">
        <v>8076</v>
      </c>
      <c r="D1666">
        <v>-1.76280285607439</v>
      </c>
      <c r="E1666">
        <v>2.4764735017335302E-4</v>
      </c>
      <c r="F1666" t="s">
        <v>306</v>
      </c>
    </row>
    <row r="1667" spans="1:6" x14ac:dyDescent="0.2">
      <c r="A1667" t="s">
        <v>58</v>
      </c>
      <c r="B1667" t="s">
        <v>94</v>
      </c>
      <c r="C1667">
        <v>8076</v>
      </c>
      <c r="D1667">
        <v>-1.76280285607439</v>
      </c>
      <c r="E1667">
        <v>2.4764735017335302E-4</v>
      </c>
      <c r="F1667" t="s">
        <v>306</v>
      </c>
    </row>
    <row r="1668" spans="1:6" x14ac:dyDescent="0.2">
      <c r="A1668" t="s">
        <v>102</v>
      </c>
      <c r="B1668" t="s">
        <v>28</v>
      </c>
      <c r="C1668">
        <v>8076</v>
      </c>
      <c r="D1668">
        <v>-1.76280285607439</v>
      </c>
      <c r="E1668">
        <v>2.4764735017335302E-4</v>
      </c>
      <c r="F1668" t="s">
        <v>306</v>
      </c>
    </row>
    <row r="1669" spans="1:6" x14ac:dyDescent="0.2">
      <c r="A1669" t="s">
        <v>60</v>
      </c>
      <c r="B1669" t="s">
        <v>74</v>
      </c>
      <c r="C1669">
        <v>8076</v>
      </c>
      <c r="D1669">
        <v>-1.76280285607439</v>
      </c>
      <c r="E1669">
        <v>2.4764735017335302E-4</v>
      </c>
      <c r="F1669" t="s">
        <v>306</v>
      </c>
    </row>
    <row r="1670" spans="1:6" x14ac:dyDescent="0.2">
      <c r="A1670" t="s">
        <v>53</v>
      </c>
      <c r="B1670" t="s">
        <v>38</v>
      </c>
      <c r="C1670">
        <v>8076</v>
      </c>
      <c r="D1670">
        <v>-1.76280285607439</v>
      </c>
      <c r="E1670">
        <v>2.4764735017335302E-4</v>
      </c>
      <c r="F1670" t="s">
        <v>306</v>
      </c>
    </row>
    <row r="1671" spans="1:6" x14ac:dyDescent="0.2">
      <c r="A1671" t="s">
        <v>124</v>
      </c>
      <c r="B1671" t="s">
        <v>92</v>
      </c>
      <c r="C1671">
        <v>8076</v>
      </c>
      <c r="D1671">
        <v>-1.76280285607439</v>
      </c>
      <c r="E1671">
        <v>2.4764735017335302E-4</v>
      </c>
      <c r="F1671" t="s">
        <v>306</v>
      </c>
    </row>
    <row r="1672" spans="1:6" x14ac:dyDescent="0.2">
      <c r="A1672" t="s">
        <v>90</v>
      </c>
      <c r="B1672" t="s">
        <v>38</v>
      </c>
      <c r="C1672">
        <v>8076</v>
      </c>
      <c r="D1672">
        <v>-1.76280285607439</v>
      </c>
      <c r="E1672">
        <v>2.4764735017335302E-4</v>
      </c>
      <c r="F1672" t="s">
        <v>306</v>
      </c>
    </row>
    <row r="1673" spans="1:6" x14ac:dyDescent="0.2">
      <c r="A1673" t="s">
        <v>92</v>
      </c>
      <c r="B1673" t="s">
        <v>66</v>
      </c>
      <c r="C1673">
        <v>8076</v>
      </c>
      <c r="D1673">
        <v>-1.76280285607439</v>
      </c>
      <c r="E1673">
        <v>2.4764735017335302E-4</v>
      </c>
      <c r="F1673" t="s">
        <v>306</v>
      </c>
    </row>
    <row r="1674" spans="1:6" x14ac:dyDescent="0.2">
      <c r="A1674" t="s">
        <v>79</v>
      </c>
      <c r="B1674" t="s">
        <v>61</v>
      </c>
      <c r="C1674">
        <v>8076</v>
      </c>
      <c r="D1674">
        <v>-1.76280285607439</v>
      </c>
      <c r="E1674">
        <v>2.4764735017335302E-4</v>
      </c>
      <c r="F1674" t="s">
        <v>306</v>
      </c>
    </row>
    <row r="1675" spans="1:6" x14ac:dyDescent="0.2">
      <c r="A1675" t="s">
        <v>125</v>
      </c>
      <c r="B1675" t="s">
        <v>28</v>
      </c>
      <c r="C1675">
        <v>8076</v>
      </c>
      <c r="D1675">
        <v>-1.76280285607439</v>
      </c>
      <c r="E1675">
        <v>2.4764735017335302E-4</v>
      </c>
      <c r="F1675" t="s">
        <v>306</v>
      </c>
    </row>
  </sheetData>
  <sortState xmlns:xlrd2="http://schemas.microsoft.com/office/spreadsheetml/2017/richdata2" ref="A2:F1675">
    <sortCondition descending="1" ref="E2:E1675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01"/>
  <sheetViews>
    <sheetView workbookViewId="0">
      <selection activeCell="J20" sqref="J20"/>
    </sheetView>
  </sheetViews>
  <sheetFormatPr baseColWidth="10" defaultColWidth="11" defaultRowHeight="16" x14ac:dyDescent="0.2"/>
  <sheetData>
    <row r="1" spans="1:7" x14ac:dyDescent="0.2">
      <c r="A1" t="s">
        <v>79</v>
      </c>
      <c r="B1" t="s">
        <v>163</v>
      </c>
      <c r="C1">
        <v>4</v>
      </c>
      <c r="D1" t="s">
        <v>307</v>
      </c>
      <c r="E1" t="s">
        <v>308</v>
      </c>
      <c r="F1" t="s">
        <v>308</v>
      </c>
      <c r="G1" t="s">
        <v>309</v>
      </c>
    </row>
    <row r="2" spans="1:7" x14ac:dyDescent="0.2">
      <c r="A2" t="s">
        <v>163</v>
      </c>
      <c r="B2" t="s">
        <v>90</v>
      </c>
      <c r="C2">
        <v>4</v>
      </c>
      <c r="D2" t="s">
        <v>307</v>
      </c>
      <c r="E2" t="s">
        <v>308</v>
      </c>
      <c r="F2" t="s">
        <v>308</v>
      </c>
      <c r="G2" t="s">
        <v>309</v>
      </c>
    </row>
    <row r="3" spans="1:7" x14ac:dyDescent="0.2">
      <c r="A3" t="s">
        <v>163</v>
      </c>
      <c r="B3" t="s">
        <v>55</v>
      </c>
      <c r="C3">
        <v>4</v>
      </c>
      <c r="D3" t="s">
        <v>307</v>
      </c>
      <c r="E3" t="s">
        <v>308</v>
      </c>
      <c r="F3" t="s">
        <v>308</v>
      </c>
      <c r="G3" t="s">
        <v>309</v>
      </c>
    </row>
    <row r="4" spans="1:7" x14ac:dyDescent="0.2">
      <c r="A4" t="s">
        <v>111</v>
      </c>
      <c r="B4" t="s">
        <v>90</v>
      </c>
      <c r="C4">
        <v>4</v>
      </c>
      <c r="D4" t="s">
        <v>307</v>
      </c>
      <c r="E4" t="s">
        <v>308</v>
      </c>
      <c r="F4" t="s">
        <v>308</v>
      </c>
      <c r="G4" t="s">
        <v>309</v>
      </c>
    </row>
    <row r="5" spans="1:7" x14ac:dyDescent="0.2">
      <c r="A5" t="s">
        <v>111</v>
      </c>
      <c r="B5" t="s">
        <v>104</v>
      </c>
      <c r="C5">
        <v>4</v>
      </c>
      <c r="D5" t="s">
        <v>307</v>
      </c>
      <c r="E5" t="s">
        <v>308</v>
      </c>
      <c r="F5" t="s">
        <v>308</v>
      </c>
      <c r="G5" t="s">
        <v>309</v>
      </c>
    </row>
    <row r="6" spans="1:7" x14ac:dyDescent="0.2">
      <c r="A6" t="s">
        <v>58</v>
      </c>
      <c r="B6" t="s">
        <v>163</v>
      </c>
      <c r="C6">
        <v>4</v>
      </c>
      <c r="D6" t="s">
        <v>307</v>
      </c>
      <c r="E6" t="s">
        <v>308</v>
      </c>
      <c r="F6" t="s">
        <v>308</v>
      </c>
      <c r="G6" t="s">
        <v>309</v>
      </c>
    </row>
    <row r="7" spans="1:7" x14ac:dyDescent="0.2">
      <c r="A7" t="s">
        <v>58</v>
      </c>
      <c r="B7" t="s">
        <v>111</v>
      </c>
      <c r="C7">
        <v>4</v>
      </c>
      <c r="D7" t="s">
        <v>307</v>
      </c>
      <c r="E7" t="s">
        <v>308</v>
      </c>
      <c r="F7" t="s">
        <v>308</v>
      </c>
      <c r="G7" t="s">
        <v>309</v>
      </c>
    </row>
    <row r="8" spans="1:7" x14ac:dyDescent="0.2">
      <c r="A8" t="s">
        <v>58</v>
      </c>
      <c r="B8" t="s">
        <v>55</v>
      </c>
      <c r="C8">
        <v>4</v>
      </c>
      <c r="D8" t="s">
        <v>307</v>
      </c>
      <c r="E8" t="s">
        <v>308</v>
      </c>
      <c r="F8" t="s">
        <v>308</v>
      </c>
      <c r="G8" t="s">
        <v>309</v>
      </c>
    </row>
    <row r="9" spans="1:7" x14ac:dyDescent="0.2">
      <c r="A9" t="s">
        <v>114</v>
      </c>
      <c r="B9" t="s">
        <v>163</v>
      </c>
      <c r="C9">
        <v>4</v>
      </c>
      <c r="D9" t="s">
        <v>307</v>
      </c>
      <c r="E9" t="s">
        <v>308</v>
      </c>
      <c r="F9" t="s">
        <v>308</v>
      </c>
      <c r="G9" t="s">
        <v>309</v>
      </c>
    </row>
    <row r="10" spans="1:7" x14ac:dyDescent="0.2">
      <c r="A10" t="s">
        <v>114</v>
      </c>
      <c r="B10" t="s">
        <v>58</v>
      </c>
      <c r="C10">
        <v>4</v>
      </c>
      <c r="D10" t="s">
        <v>307</v>
      </c>
      <c r="E10" t="s">
        <v>308</v>
      </c>
      <c r="F10" t="s">
        <v>308</v>
      </c>
      <c r="G10" t="s">
        <v>309</v>
      </c>
    </row>
    <row r="11" spans="1:7" x14ac:dyDescent="0.2">
      <c r="A11" t="s">
        <v>104</v>
      </c>
      <c r="B11" t="s">
        <v>163</v>
      </c>
      <c r="C11">
        <v>4</v>
      </c>
      <c r="D11" t="s">
        <v>307</v>
      </c>
      <c r="E11" t="s">
        <v>308</v>
      </c>
      <c r="F11" t="s">
        <v>308</v>
      </c>
      <c r="G11" t="s">
        <v>309</v>
      </c>
    </row>
    <row r="12" spans="1:7" x14ac:dyDescent="0.2">
      <c r="A12" t="s">
        <v>104</v>
      </c>
      <c r="B12" t="s">
        <v>90</v>
      </c>
      <c r="C12">
        <v>4</v>
      </c>
      <c r="D12" t="s">
        <v>307</v>
      </c>
      <c r="E12" t="s">
        <v>308</v>
      </c>
      <c r="F12" t="s">
        <v>308</v>
      </c>
      <c r="G12" t="s">
        <v>309</v>
      </c>
    </row>
    <row r="13" spans="1:7" x14ac:dyDescent="0.2">
      <c r="A13" t="s">
        <v>193</v>
      </c>
      <c r="B13" t="s">
        <v>163</v>
      </c>
      <c r="C13">
        <v>4</v>
      </c>
      <c r="D13" t="s">
        <v>307</v>
      </c>
      <c r="E13" t="s">
        <v>308</v>
      </c>
      <c r="F13" t="s">
        <v>308</v>
      </c>
      <c r="G13" t="s">
        <v>309</v>
      </c>
    </row>
    <row r="14" spans="1:7" x14ac:dyDescent="0.2">
      <c r="A14" t="s">
        <v>193</v>
      </c>
      <c r="B14" t="s">
        <v>90</v>
      </c>
      <c r="C14">
        <v>4</v>
      </c>
      <c r="D14" t="s">
        <v>307</v>
      </c>
      <c r="E14" t="s">
        <v>308</v>
      </c>
      <c r="F14" t="s">
        <v>308</v>
      </c>
      <c r="G14" t="s">
        <v>309</v>
      </c>
    </row>
    <row r="15" spans="1:7" x14ac:dyDescent="0.2">
      <c r="A15" t="s">
        <v>193</v>
      </c>
      <c r="B15" t="s">
        <v>104</v>
      </c>
      <c r="C15">
        <v>4</v>
      </c>
      <c r="D15" t="s">
        <v>307</v>
      </c>
      <c r="E15" t="s">
        <v>308</v>
      </c>
      <c r="F15" t="s">
        <v>308</v>
      </c>
      <c r="G15" t="s">
        <v>309</v>
      </c>
    </row>
    <row r="16" spans="1:7" x14ac:dyDescent="0.2">
      <c r="A16" t="s">
        <v>102</v>
      </c>
      <c r="B16" t="s">
        <v>79</v>
      </c>
      <c r="C16">
        <v>4</v>
      </c>
      <c r="D16" t="s">
        <v>307</v>
      </c>
      <c r="E16" t="s">
        <v>308</v>
      </c>
      <c r="F16" t="s">
        <v>308</v>
      </c>
      <c r="G16" t="s">
        <v>309</v>
      </c>
    </row>
    <row r="17" spans="1:7" x14ac:dyDescent="0.2">
      <c r="A17" t="s">
        <v>102</v>
      </c>
      <c r="B17" t="s">
        <v>163</v>
      </c>
      <c r="C17">
        <v>4</v>
      </c>
      <c r="D17" t="s">
        <v>307</v>
      </c>
      <c r="E17" t="s">
        <v>308</v>
      </c>
      <c r="F17" t="s">
        <v>308</v>
      </c>
      <c r="G17" t="s">
        <v>309</v>
      </c>
    </row>
    <row r="18" spans="1:7" x14ac:dyDescent="0.2">
      <c r="A18" t="s">
        <v>93</v>
      </c>
      <c r="B18" t="s">
        <v>94</v>
      </c>
      <c r="C18">
        <v>3</v>
      </c>
      <c r="D18" t="s">
        <v>307</v>
      </c>
      <c r="E18" t="s">
        <v>308</v>
      </c>
      <c r="F18" t="s">
        <v>309</v>
      </c>
    </row>
    <row r="19" spans="1:7" x14ac:dyDescent="0.2">
      <c r="A19" t="s">
        <v>79</v>
      </c>
      <c r="B19" t="s">
        <v>111</v>
      </c>
      <c r="C19">
        <v>3</v>
      </c>
      <c r="D19" t="s">
        <v>307</v>
      </c>
      <c r="E19" t="s">
        <v>308</v>
      </c>
      <c r="F19" t="s">
        <v>309</v>
      </c>
    </row>
    <row r="20" spans="1:7" x14ac:dyDescent="0.2">
      <c r="A20" t="s">
        <v>79</v>
      </c>
      <c r="B20" t="s">
        <v>58</v>
      </c>
      <c r="C20">
        <v>3</v>
      </c>
      <c r="D20" t="s">
        <v>307</v>
      </c>
      <c r="E20" t="s">
        <v>308</v>
      </c>
      <c r="F20" t="s">
        <v>309</v>
      </c>
    </row>
    <row r="21" spans="1:7" x14ac:dyDescent="0.2">
      <c r="A21" t="s">
        <v>163</v>
      </c>
      <c r="B21" t="s">
        <v>119</v>
      </c>
      <c r="C21">
        <v>3</v>
      </c>
      <c r="D21" t="s">
        <v>307</v>
      </c>
      <c r="E21" t="s">
        <v>308</v>
      </c>
      <c r="F21" t="s">
        <v>309</v>
      </c>
    </row>
    <row r="22" spans="1:7" x14ac:dyDescent="0.2">
      <c r="A22" t="s">
        <v>163</v>
      </c>
      <c r="B22" t="s">
        <v>177</v>
      </c>
      <c r="C22">
        <v>3</v>
      </c>
      <c r="D22" t="s">
        <v>307</v>
      </c>
      <c r="E22" t="s">
        <v>308</v>
      </c>
      <c r="F22" t="s">
        <v>309</v>
      </c>
    </row>
    <row r="23" spans="1:7" x14ac:dyDescent="0.2">
      <c r="A23" t="s">
        <v>125</v>
      </c>
      <c r="B23" t="s">
        <v>58</v>
      </c>
      <c r="C23">
        <v>3</v>
      </c>
      <c r="D23" t="s">
        <v>307</v>
      </c>
      <c r="E23" t="s">
        <v>308</v>
      </c>
      <c r="F23" t="s">
        <v>309</v>
      </c>
    </row>
    <row r="24" spans="1:7" x14ac:dyDescent="0.2">
      <c r="A24" t="s">
        <v>125</v>
      </c>
      <c r="B24" t="s">
        <v>90</v>
      </c>
      <c r="C24">
        <v>3</v>
      </c>
      <c r="D24" t="s">
        <v>307</v>
      </c>
      <c r="E24" t="s">
        <v>308</v>
      </c>
      <c r="F24" t="s">
        <v>309</v>
      </c>
    </row>
    <row r="25" spans="1:7" x14ac:dyDescent="0.2">
      <c r="A25" t="s">
        <v>111</v>
      </c>
      <c r="B25" t="s">
        <v>163</v>
      </c>
      <c r="C25">
        <v>3</v>
      </c>
      <c r="D25" t="s">
        <v>308</v>
      </c>
      <c r="E25" t="s">
        <v>308</v>
      </c>
      <c r="F25" t="s">
        <v>309</v>
      </c>
    </row>
    <row r="26" spans="1:7" x14ac:dyDescent="0.2">
      <c r="A26" t="s">
        <v>58</v>
      </c>
      <c r="B26" t="s">
        <v>90</v>
      </c>
      <c r="C26">
        <v>3</v>
      </c>
      <c r="D26" t="s">
        <v>307</v>
      </c>
      <c r="E26" t="s">
        <v>308</v>
      </c>
      <c r="F26" t="s">
        <v>309</v>
      </c>
    </row>
    <row r="27" spans="1:7" x14ac:dyDescent="0.2">
      <c r="A27" t="s">
        <v>58</v>
      </c>
      <c r="B27" t="s">
        <v>104</v>
      </c>
      <c r="C27">
        <v>3</v>
      </c>
      <c r="D27" t="s">
        <v>307</v>
      </c>
      <c r="E27" t="s">
        <v>308</v>
      </c>
      <c r="F27" t="s">
        <v>309</v>
      </c>
    </row>
    <row r="28" spans="1:7" x14ac:dyDescent="0.2">
      <c r="A28" t="s">
        <v>58</v>
      </c>
      <c r="B28" t="s">
        <v>177</v>
      </c>
      <c r="C28">
        <v>3</v>
      </c>
      <c r="D28" t="s">
        <v>307</v>
      </c>
      <c r="E28" t="s">
        <v>308</v>
      </c>
      <c r="F28" t="s">
        <v>309</v>
      </c>
    </row>
    <row r="29" spans="1:7" x14ac:dyDescent="0.2">
      <c r="A29" t="s">
        <v>58</v>
      </c>
      <c r="B29" t="s">
        <v>17</v>
      </c>
      <c r="C29">
        <v>3</v>
      </c>
      <c r="D29" t="s">
        <v>307</v>
      </c>
      <c r="E29" t="s">
        <v>308</v>
      </c>
      <c r="F29" t="s">
        <v>309</v>
      </c>
    </row>
    <row r="30" spans="1:7" x14ac:dyDescent="0.2">
      <c r="A30" t="s">
        <v>90</v>
      </c>
      <c r="B30" t="s">
        <v>79</v>
      </c>
      <c r="C30">
        <v>3</v>
      </c>
      <c r="D30" t="s">
        <v>308</v>
      </c>
      <c r="E30" t="s">
        <v>308</v>
      </c>
      <c r="F30" t="s">
        <v>309</v>
      </c>
    </row>
    <row r="31" spans="1:7" x14ac:dyDescent="0.2">
      <c r="A31" t="s">
        <v>114</v>
      </c>
      <c r="B31" t="s">
        <v>28</v>
      </c>
      <c r="C31">
        <v>3</v>
      </c>
      <c r="D31" t="s">
        <v>307</v>
      </c>
      <c r="E31" t="s">
        <v>308</v>
      </c>
      <c r="F31" t="s">
        <v>309</v>
      </c>
    </row>
    <row r="32" spans="1:7" x14ac:dyDescent="0.2">
      <c r="A32" t="s">
        <v>28</v>
      </c>
      <c r="B32" t="s">
        <v>163</v>
      </c>
      <c r="C32">
        <v>3</v>
      </c>
      <c r="D32" t="s">
        <v>307</v>
      </c>
      <c r="E32" t="s">
        <v>308</v>
      </c>
      <c r="F32" t="s">
        <v>309</v>
      </c>
    </row>
    <row r="33" spans="1:6" x14ac:dyDescent="0.2">
      <c r="A33" t="s">
        <v>104</v>
      </c>
      <c r="B33" t="s">
        <v>79</v>
      </c>
      <c r="C33">
        <v>3</v>
      </c>
      <c r="D33" t="s">
        <v>308</v>
      </c>
      <c r="E33" t="s">
        <v>308</v>
      </c>
      <c r="F33" t="s">
        <v>309</v>
      </c>
    </row>
    <row r="34" spans="1:6" x14ac:dyDescent="0.2">
      <c r="A34" t="s">
        <v>107</v>
      </c>
      <c r="B34" t="s">
        <v>163</v>
      </c>
      <c r="C34">
        <v>3</v>
      </c>
      <c r="D34" t="s">
        <v>307</v>
      </c>
      <c r="E34" t="s">
        <v>308</v>
      </c>
      <c r="F34" t="s">
        <v>309</v>
      </c>
    </row>
    <row r="35" spans="1:6" x14ac:dyDescent="0.2">
      <c r="A35" t="s">
        <v>107</v>
      </c>
      <c r="B35" t="s">
        <v>58</v>
      </c>
      <c r="C35">
        <v>3</v>
      </c>
      <c r="D35" t="s">
        <v>307</v>
      </c>
      <c r="E35" t="s">
        <v>308</v>
      </c>
      <c r="F35" t="s">
        <v>309</v>
      </c>
    </row>
    <row r="36" spans="1:6" x14ac:dyDescent="0.2">
      <c r="A36" t="s">
        <v>193</v>
      </c>
      <c r="B36" t="s">
        <v>79</v>
      </c>
      <c r="C36">
        <v>3</v>
      </c>
      <c r="D36" t="s">
        <v>308</v>
      </c>
      <c r="E36" t="s">
        <v>308</v>
      </c>
      <c r="F36" t="s">
        <v>309</v>
      </c>
    </row>
    <row r="37" spans="1:6" x14ac:dyDescent="0.2">
      <c r="A37" t="s">
        <v>193</v>
      </c>
      <c r="B37" t="s">
        <v>111</v>
      </c>
      <c r="C37">
        <v>3</v>
      </c>
      <c r="D37" t="s">
        <v>308</v>
      </c>
      <c r="E37" t="s">
        <v>308</v>
      </c>
      <c r="F37" t="s">
        <v>309</v>
      </c>
    </row>
    <row r="38" spans="1:6" x14ac:dyDescent="0.2">
      <c r="A38" t="s">
        <v>193</v>
      </c>
      <c r="B38" t="s">
        <v>58</v>
      </c>
      <c r="C38">
        <v>3</v>
      </c>
      <c r="D38" t="s">
        <v>307</v>
      </c>
      <c r="E38" t="s">
        <v>308</v>
      </c>
      <c r="F38" t="s">
        <v>309</v>
      </c>
    </row>
    <row r="39" spans="1:6" x14ac:dyDescent="0.2">
      <c r="A39" t="s">
        <v>193</v>
      </c>
      <c r="B39" t="s">
        <v>102</v>
      </c>
      <c r="C39">
        <v>3</v>
      </c>
      <c r="D39" t="s">
        <v>308</v>
      </c>
      <c r="E39" t="s">
        <v>308</v>
      </c>
      <c r="F39" t="s">
        <v>309</v>
      </c>
    </row>
    <row r="40" spans="1:6" x14ac:dyDescent="0.2">
      <c r="A40" t="s">
        <v>102</v>
      </c>
      <c r="B40" t="s">
        <v>111</v>
      </c>
      <c r="C40">
        <v>3</v>
      </c>
      <c r="D40" t="s">
        <v>308</v>
      </c>
      <c r="E40" t="s">
        <v>308</v>
      </c>
      <c r="F40" t="s">
        <v>309</v>
      </c>
    </row>
    <row r="41" spans="1:6" x14ac:dyDescent="0.2">
      <c r="A41" t="s">
        <v>102</v>
      </c>
      <c r="B41" t="s">
        <v>58</v>
      </c>
      <c r="C41">
        <v>3</v>
      </c>
      <c r="D41" t="s">
        <v>307</v>
      </c>
      <c r="E41" t="s">
        <v>308</v>
      </c>
      <c r="F41" t="s">
        <v>309</v>
      </c>
    </row>
    <row r="42" spans="1:6" x14ac:dyDescent="0.2">
      <c r="A42" t="s">
        <v>102</v>
      </c>
      <c r="B42" t="s">
        <v>90</v>
      </c>
      <c r="C42">
        <v>3</v>
      </c>
      <c r="D42" t="s">
        <v>308</v>
      </c>
      <c r="E42" t="s">
        <v>308</v>
      </c>
      <c r="F42" t="s">
        <v>309</v>
      </c>
    </row>
    <row r="43" spans="1:6" x14ac:dyDescent="0.2">
      <c r="A43" t="s">
        <v>102</v>
      </c>
      <c r="B43" t="s">
        <v>28</v>
      </c>
      <c r="C43">
        <v>3</v>
      </c>
      <c r="D43" t="s">
        <v>307</v>
      </c>
      <c r="E43" t="s">
        <v>308</v>
      </c>
      <c r="F43" t="s">
        <v>309</v>
      </c>
    </row>
    <row r="44" spans="1:6" x14ac:dyDescent="0.2">
      <c r="A44" t="s">
        <v>102</v>
      </c>
      <c r="B44" t="s">
        <v>104</v>
      </c>
      <c r="C44">
        <v>3</v>
      </c>
      <c r="D44" t="s">
        <v>308</v>
      </c>
      <c r="E44" t="s">
        <v>308</v>
      </c>
      <c r="F44" t="s">
        <v>309</v>
      </c>
    </row>
    <row r="45" spans="1:6" x14ac:dyDescent="0.2">
      <c r="A45" t="s">
        <v>177</v>
      </c>
      <c r="B45" t="s">
        <v>79</v>
      </c>
      <c r="C45">
        <v>3</v>
      </c>
      <c r="D45" t="s">
        <v>308</v>
      </c>
      <c r="E45" t="s">
        <v>308</v>
      </c>
      <c r="F45" t="s">
        <v>309</v>
      </c>
    </row>
    <row r="46" spans="1:6" x14ac:dyDescent="0.2">
      <c r="A46" t="s">
        <v>177</v>
      </c>
      <c r="B46" t="s">
        <v>17</v>
      </c>
      <c r="C46">
        <v>3</v>
      </c>
      <c r="D46" t="s">
        <v>308</v>
      </c>
      <c r="E46" t="s">
        <v>308</v>
      </c>
      <c r="F46" t="s">
        <v>309</v>
      </c>
    </row>
    <row r="47" spans="1:6" x14ac:dyDescent="0.2">
      <c r="A47" t="s">
        <v>17</v>
      </c>
      <c r="B47" t="s">
        <v>79</v>
      </c>
      <c r="C47">
        <v>3</v>
      </c>
      <c r="D47" t="s">
        <v>308</v>
      </c>
      <c r="E47" t="s">
        <v>308</v>
      </c>
      <c r="F47" t="s">
        <v>309</v>
      </c>
    </row>
    <row r="48" spans="1:6" x14ac:dyDescent="0.2">
      <c r="A48" t="s">
        <v>17</v>
      </c>
      <c r="B48" t="s">
        <v>163</v>
      </c>
      <c r="C48">
        <v>3</v>
      </c>
      <c r="D48" t="s">
        <v>307</v>
      </c>
      <c r="E48" t="s">
        <v>308</v>
      </c>
      <c r="F48" t="s">
        <v>309</v>
      </c>
    </row>
    <row r="49" spans="1:5" x14ac:dyDescent="0.2">
      <c r="A49" t="s">
        <v>178</v>
      </c>
      <c r="B49" t="s">
        <v>38</v>
      </c>
      <c r="C49">
        <v>2</v>
      </c>
      <c r="D49" t="s">
        <v>308</v>
      </c>
      <c r="E49" t="s">
        <v>308</v>
      </c>
    </row>
    <row r="50" spans="1:5" x14ac:dyDescent="0.2">
      <c r="A50" t="s">
        <v>47</v>
      </c>
      <c r="B50" t="s">
        <v>65</v>
      </c>
      <c r="C50">
        <v>2</v>
      </c>
      <c r="D50" t="s">
        <v>308</v>
      </c>
      <c r="E50" t="s">
        <v>308</v>
      </c>
    </row>
    <row r="51" spans="1:5" x14ac:dyDescent="0.2">
      <c r="A51" t="s">
        <v>187</v>
      </c>
      <c r="B51" t="s">
        <v>119</v>
      </c>
      <c r="C51">
        <v>2</v>
      </c>
      <c r="D51" t="s">
        <v>308</v>
      </c>
      <c r="E51" t="s">
        <v>309</v>
      </c>
    </row>
    <row r="52" spans="1:5" x14ac:dyDescent="0.2">
      <c r="A52" t="s">
        <v>187</v>
      </c>
      <c r="B52" t="s">
        <v>75</v>
      </c>
      <c r="C52">
        <v>2</v>
      </c>
      <c r="D52" t="s">
        <v>308</v>
      </c>
      <c r="E52" t="s">
        <v>309</v>
      </c>
    </row>
    <row r="53" spans="1:5" x14ac:dyDescent="0.2">
      <c r="A53" t="s">
        <v>95</v>
      </c>
      <c r="B53" t="s">
        <v>87</v>
      </c>
      <c r="C53">
        <v>2</v>
      </c>
      <c r="D53" t="s">
        <v>307</v>
      </c>
      <c r="E53" t="s">
        <v>309</v>
      </c>
    </row>
    <row r="54" spans="1:5" x14ac:dyDescent="0.2">
      <c r="A54" t="s">
        <v>95</v>
      </c>
      <c r="B54" t="s">
        <v>120</v>
      </c>
      <c r="C54">
        <v>2</v>
      </c>
      <c r="D54" t="s">
        <v>308</v>
      </c>
      <c r="E54" t="s">
        <v>308</v>
      </c>
    </row>
    <row r="55" spans="1:5" x14ac:dyDescent="0.2">
      <c r="A55" t="s">
        <v>93</v>
      </c>
      <c r="B55" t="s">
        <v>187</v>
      </c>
      <c r="C55">
        <v>2</v>
      </c>
      <c r="D55" t="s">
        <v>308</v>
      </c>
      <c r="E55" t="s">
        <v>309</v>
      </c>
    </row>
    <row r="56" spans="1:5" x14ac:dyDescent="0.2">
      <c r="A56" t="s">
        <v>93</v>
      </c>
      <c r="B56" t="s">
        <v>95</v>
      </c>
      <c r="C56">
        <v>2</v>
      </c>
      <c r="D56" t="s">
        <v>307</v>
      </c>
      <c r="E56" t="s">
        <v>309</v>
      </c>
    </row>
    <row r="57" spans="1:5" x14ac:dyDescent="0.2">
      <c r="A57" t="s">
        <v>93</v>
      </c>
      <c r="B57" t="s">
        <v>163</v>
      </c>
      <c r="C57">
        <v>2</v>
      </c>
      <c r="D57" t="s">
        <v>308</v>
      </c>
      <c r="E57" t="s">
        <v>309</v>
      </c>
    </row>
    <row r="58" spans="1:5" x14ac:dyDescent="0.2">
      <c r="A58" t="s">
        <v>93</v>
      </c>
      <c r="B58" t="s">
        <v>125</v>
      </c>
      <c r="C58">
        <v>2</v>
      </c>
      <c r="D58" t="s">
        <v>308</v>
      </c>
      <c r="E58" t="s">
        <v>309</v>
      </c>
    </row>
    <row r="59" spans="1:5" x14ac:dyDescent="0.2">
      <c r="A59" t="s">
        <v>93</v>
      </c>
      <c r="B59" t="s">
        <v>111</v>
      </c>
      <c r="C59">
        <v>2</v>
      </c>
      <c r="D59" t="s">
        <v>308</v>
      </c>
      <c r="E59" t="s">
        <v>309</v>
      </c>
    </row>
    <row r="60" spans="1:5" x14ac:dyDescent="0.2">
      <c r="A60" t="s">
        <v>93</v>
      </c>
      <c r="B60" t="s">
        <v>90</v>
      </c>
      <c r="C60">
        <v>2</v>
      </c>
      <c r="D60" t="s">
        <v>308</v>
      </c>
      <c r="E60" t="s">
        <v>309</v>
      </c>
    </row>
    <row r="61" spans="1:5" x14ac:dyDescent="0.2">
      <c r="A61" t="s">
        <v>93</v>
      </c>
      <c r="B61" t="s">
        <v>104</v>
      </c>
      <c r="C61">
        <v>2</v>
      </c>
      <c r="D61" t="s">
        <v>308</v>
      </c>
      <c r="E61" t="s">
        <v>309</v>
      </c>
    </row>
    <row r="62" spans="1:5" x14ac:dyDescent="0.2">
      <c r="A62" t="s">
        <v>93</v>
      </c>
      <c r="B62" t="s">
        <v>107</v>
      </c>
      <c r="C62">
        <v>2</v>
      </c>
      <c r="D62" t="s">
        <v>308</v>
      </c>
      <c r="E62" t="s">
        <v>309</v>
      </c>
    </row>
    <row r="63" spans="1:5" x14ac:dyDescent="0.2">
      <c r="A63" t="s">
        <v>93</v>
      </c>
      <c r="B63" t="s">
        <v>193</v>
      </c>
      <c r="C63">
        <v>2</v>
      </c>
      <c r="D63" t="s">
        <v>308</v>
      </c>
      <c r="E63" t="s">
        <v>309</v>
      </c>
    </row>
    <row r="64" spans="1:5" x14ac:dyDescent="0.2">
      <c r="A64" t="s">
        <v>93</v>
      </c>
      <c r="B64" t="s">
        <v>127</v>
      </c>
      <c r="C64">
        <v>2</v>
      </c>
      <c r="D64" t="s">
        <v>308</v>
      </c>
      <c r="E64" t="s">
        <v>309</v>
      </c>
    </row>
    <row r="65" spans="1:5" x14ac:dyDescent="0.2">
      <c r="A65" t="s">
        <v>93</v>
      </c>
      <c r="B65" t="s">
        <v>27</v>
      </c>
      <c r="C65">
        <v>2</v>
      </c>
      <c r="D65" t="s">
        <v>308</v>
      </c>
      <c r="E65" t="s">
        <v>309</v>
      </c>
    </row>
    <row r="66" spans="1:5" x14ac:dyDescent="0.2">
      <c r="A66" t="s">
        <v>93</v>
      </c>
      <c r="B66" t="s">
        <v>17</v>
      </c>
      <c r="C66">
        <v>2</v>
      </c>
      <c r="D66" t="s">
        <v>308</v>
      </c>
      <c r="E66" t="s">
        <v>309</v>
      </c>
    </row>
    <row r="67" spans="1:5" x14ac:dyDescent="0.2">
      <c r="A67" t="s">
        <v>79</v>
      </c>
      <c r="B67" t="s">
        <v>93</v>
      </c>
      <c r="C67">
        <v>2</v>
      </c>
      <c r="D67" t="s">
        <v>308</v>
      </c>
      <c r="E67" t="s">
        <v>309</v>
      </c>
    </row>
    <row r="68" spans="1:5" x14ac:dyDescent="0.2">
      <c r="A68" t="s">
        <v>79</v>
      </c>
      <c r="B68" t="s">
        <v>125</v>
      </c>
      <c r="C68">
        <v>2</v>
      </c>
      <c r="D68" t="s">
        <v>308</v>
      </c>
      <c r="E68" t="s">
        <v>309</v>
      </c>
    </row>
    <row r="69" spans="1:5" x14ac:dyDescent="0.2">
      <c r="A69" t="s">
        <v>79</v>
      </c>
      <c r="B69" t="s">
        <v>114</v>
      </c>
      <c r="C69">
        <v>2</v>
      </c>
      <c r="D69" t="s">
        <v>308</v>
      </c>
      <c r="E69" t="s">
        <v>309</v>
      </c>
    </row>
    <row r="70" spans="1:5" x14ac:dyDescent="0.2">
      <c r="A70" t="s">
        <v>79</v>
      </c>
      <c r="B70" t="s">
        <v>107</v>
      </c>
      <c r="C70">
        <v>2</v>
      </c>
      <c r="D70" t="s">
        <v>308</v>
      </c>
      <c r="E70" t="s">
        <v>309</v>
      </c>
    </row>
    <row r="71" spans="1:5" x14ac:dyDescent="0.2">
      <c r="A71" t="s">
        <v>163</v>
      </c>
      <c r="B71" t="s">
        <v>96</v>
      </c>
      <c r="C71">
        <v>2</v>
      </c>
      <c r="D71" t="s">
        <v>307</v>
      </c>
      <c r="E71" t="s">
        <v>308</v>
      </c>
    </row>
    <row r="72" spans="1:5" x14ac:dyDescent="0.2">
      <c r="A72" t="s">
        <v>163</v>
      </c>
      <c r="B72" t="s">
        <v>187</v>
      </c>
      <c r="C72">
        <v>2</v>
      </c>
      <c r="D72" t="s">
        <v>307</v>
      </c>
      <c r="E72" t="s">
        <v>308</v>
      </c>
    </row>
    <row r="73" spans="1:5" x14ac:dyDescent="0.2">
      <c r="A73" t="s">
        <v>163</v>
      </c>
      <c r="B73" t="s">
        <v>95</v>
      </c>
      <c r="C73">
        <v>2</v>
      </c>
      <c r="D73" t="s">
        <v>307</v>
      </c>
      <c r="E73" t="s">
        <v>309</v>
      </c>
    </row>
    <row r="74" spans="1:5" x14ac:dyDescent="0.2">
      <c r="A74" t="s">
        <v>163</v>
      </c>
      <c r="B74" t="s">
        <v>89</v>
      </c>
      <c r="C74">
        <v>2</v>
      </c>
      <c r="D74" t="s">
        <v>307</v>
      </c>
      <c r="E74" t="s">
        <v>309</v>
      </c>
    </row>
    <row r="75" spans="1:5" x14ac:dyDescent="0.2">
      <c r="A75" t="s">
        <v>163</v>
      </c>
      <c r="B75" t="s">
        <v>87</v>
      </c>
      <c r="C75">
        <v>2</v>
      </c>
      <c r="D75" t="s">
        <v>307</v>
      </c>
      <c r="E75" t="s">
        <v>309</v>
      </c>
    </row>
    <row r="76" spans="1:5" x14ac:dyDescent="0.2">
      <c r="A76" t="s">
        <v>163</v>
      </c>
      <c r="B76" t="s">
        <v>27</v>
      </c>
      <c r="C76">
        <v>2</v>
      </c>
      <c r="D76" t="s">
        <v>307</v>
      </c>
      <c r="E76" t="s">
        <v>309</v>
      </c>
    </row>
    <row r="77" spans="1:5" x14ac:dyDescent="0.2">
      <c r="A77" t="s">
        <v>163</v>
      </c>
      <c r="B77" t="s">
        <v>25</v>
      </c>
      <c r="C77">
        <v>2</v>
      </c>
      <c r="D77" t="s">
        <v>307</v>
      </c>
      <c r="E77" t="s">
        <v>309</v>
      </c>
    </row>
    <row r="78" spans="1:5" x14ac:dyDescent="0.2">
      <c r="A78" t="s">
        <v>163</v>
      </c>
      <c r="B78" t="s">
        <v>66</v>
      </c>
      <c r="C78">
        <v>2</v>
      </c>
      <c r="D78" t="s">
        <v>307</v>
      </c>
      <c r="E78" t="s">
        <v>309</v>
      </c>
    </row>
    <row r="79" spans="1:5" x14ac:dyDescent="0.2">
      <c r="A79" t="s">
        <v>163</v>
      </c>
      <c r="B79" t="s">
        <v>18</v>
      </c>
      <c r="C79">
        <v>2</v>
      </c>
      <c r="D79" t="s">
        <v>307</v>
      </c>
      <c r="E79" t="s">
        <v>309</v>
      </c>
    </row>
    <row r="80" spans="1:5" x14ac:dyDescent="0.2">
      <c r="A80" t="s">
        <v>163</v>
      </c>
      <c r="B80" t="s">
        <v>50</v>
      </c>
      <c r="C80">
        <v>2</v>
      </c>
      <c r="D80" t="s">
        <v>307</v>
      </c>
      <c r="E80" t="s">
        <v>309</v>
      </c>
    </row>
    <row r="81" spans="1:5" x14ac:dyDescent="0.2">
      <c r="A81" t="s">
        <v>163</v>
      </c>
      <c r="B81" t="s">
        <v>94</v>
      </c>
      <c r="C81">
        <v>2</v>
      </c>
      <c r="D81" t="s">
        <v>307</v>
      </c>
      <c r="E81" t="s">
        <v>309</v>
      </c>
    </row>
    <row r="82" spans="1:5" x14ac:dyDescent="0.2">
      <c r="A82" t="s">
        <v>163</v>
      </c>
      <c r="B82" t="s">
        <v>189</v>
      </c>
      <c r="C82">
        <v>2</v>
      </c>
      <c r="D82" t="s">
        <v>307</v>
      </c>
      <c r="E82" t="s">
        <v>308</v>
      </c>
    </row>
    <row r="83" spans="1:5" x14ac:dyDescent="0.2">
      <c r="A83" t="s">
        <v>125</v>
      </c>
      <c r="B83" t="s">
        <v>163</v>
      </c>
      <c r="C83">
        <v>2</v>
      </c>
      <c r="D83" t="s">
        <v>308</v>
      </c>
      <c r="E83" t="s">
        <v>309</v>
      </c>
    </row>
    <row r="84" spans="1:5" x14ac:dyDescent="0.2">
      <c r="A84" t="s">
        <v>125</v>
      </c>
      <c r="B84" t="s">
        <v>111</v>
      </c>
      <c r="C84">
        <v>2</v>
      </c>
      <c r="D84" t="s">
        <v>308</v>
      </c>
      <c r="E84" t="s">
        <v>309</v>
      </c>
    </row>
    <row r="85" spans="1:5" x14ac:dyDescent="0.2">
      <c r="A85" t="s">
        <v>125</v>
      </c>
      <c r="B85" t="s">
        <v>104</v>
      </c>
      <c r="C85">
        <v>2</v>
      </c>
      <c r="D85" t="s">
        <v>308</v>
      </c>
      <c r="E85" t="s">
        <v>309</v>
      </c>
    </row>
    <row r="86" spans="1:5" x14ac:dyDescent="0.2">
      <c r="A86" t="s">
        <v>125</v>
      </c>
      <c r="B86" t="s">
        <v>107</v>
      </c>
      <c r="C86">
        <v>2</v>
      </c>
      <c r="D86" t="s">
        <v>308</v>
      </c>
      <c r="E86" t="s">
        <v>309</v>
      </c>
    </row>
    <row r="87" spans="1:5" x14ac:dyDescent="0.2">
      <c r="A87" t="s">
        <v>125</v>
      </c>
      <c r="B87" t="s">
        <v>193</v>
      </c>
      <c r="C87">
        <v>2</v>
      </c>
      <c r="D87" t="s">
        <v>308</v>
      </c>
      <c r="E87" t="s">
        <v>309</v>
      </c>
    </row>
    <row r="88" spans="1:5" x14ac:dyDescent="0.2">
      <c r="A88" t="s">
        <v>125</v>
      </c>
      <c r="B88" t="s">
        <v>17</v>
      </c>
      <c r="C88">
        <v>2</v>
      </c>
      <c r="D88" t="s">
        <v>308</v>
      </c>
      <c r="E88" t="s">
        <v>309</v>
      </c>
    </row>
    <row r="89" spans="1:5" x14ac:dyDescent="0.2">
      <c r="A89" t="s">
        <v>111</v>
      </c>
      <c r="B89" t="s">
        <v>28</v>
      </c>
      <c r="C89">
        <v>2</v>
      </c>
      <c r="D89" t="s">
        <v>307</v>
      </c>
      <c r="E89" t="s">
        <v>309</v>
      </c>
    </row>
    <row r="90" spans="1:5" x14ac:dyDescent="0.2">
      <c r="A90" t="s">
        <v>111</v>
      </c>
      <c r="B90" t="s">
        <v>27</v>
      </c>
      <c r="C90">
        <v>2</v>
      </c>
      <c r="D90" t="s">
        <v>307</v>
      </c>
      <c r="E90" t="s">
        <v>309</v>
      </c>
    </row>
    <row r="91" spans="1:5" x14ac:dyDescent="0.2">
      <c r="A91" t="s">
        <v>111</v>
      </c>
      <c r="B91" t="s">
        <v>18</v>
      </c>
      <c r="C91">
        <v>2</v>
      </c>
      <c r="D91" t="s">
        <v>307</v>
      </c>
      <c r="E91" t="s">
        <v>309</v>
      </c>
    </row>
    <row r="92" spans="1:5" x14ac:dyDescent="0.2">
      <c r="A92" t="s">
        <v>124</v>
      </c>
      <c r="B92" t="s">
        <v>93</v>
      </c>
      <c r="C92">
        <v>2</v>
      </c>
      <c r="D92" t="s">
        <v>308</v>
      </c>
      <c r="E92" t="s">
        <v>309</v>
      </c>
    </row>
    <row r="93" spans="1:5" x14ac:dyDescent="0.2">
      <c r="A93" t="s">
        <v>124</v>
      </c>
      <c r="B93" t="s">
        <v>79</v>
      </c>
      <c r="C93">
        <v>2</v>
      </c>
      <c r="D93" t="s">
        <v>308</v>
      </c>
      <c r="E93" t="s">
        <v>309</v>
      </c>
    </row>
    <row r="94" spans="1:5" x14ac:dyDescent="0.2">
      <c r="A94" t="s">
        <v>124</v>
      </c>
      <c r="B94" t="s">
        <v>163</v>
      </c>
      <c r="C94">
        <v>2</v>
      </c>
      <c r="D94" t="s">
        <v>308</v>
      </c>
      <c r="E94" t="s">
        <v>309</v>
      </c>
    </row>
    <row r="95" spans="1:5" x14ac:dyDescent="0.2">
      <c r="A95" t="s">
        <v>124</v>
      </c>
      <c r="B95" t="s">
        <v>125</v>
      </c>
      <c r="C95">
        <v>2</v>
      </c>
      <c r="D95" t="s">
        <v>308</v>
      </c>
      <c r="E95" t="s">
        <v>309</v>
      </c>
    </row>
    <row r="96" spans="1:5" x14ac:dyDescent="0.2">
      <c r="A96" t="s">
        <v>124</v>
      </c>
      <c r="B96" t="s">
        <v>111</v>
      </c>
      <c r="C96">
        <v>2</v>
      </c>
      <c r="D96" t="s">
        <v>308</v>
      </c>
      <c r="E96" t="s">
        <v>309</v>
      </c>
    </row>
    <row r="97" spans="1:5" x14ac:dyDescent="0.2">
      <c r="A97" t="s">
        <v>124</v>
      </c>
      <c r="B97" t="s">
        <v>58</v>
      </c>
      <c r="C97">
        <v>2</v>
      </c>
      <c r="D97" t="s">
        <v>308</v>
      </c>
      <c r="E97" t="s">
        <v>309</v>
      </c>
    </row>
    <row r="98" spans="1:5" x14ac:dyDescent="0.2">
      <c r="A98" t="s">
        <v>124</v>
      </c>
      <c r="B98" t="s">
        <v>90</v>
      </c>
      <c r="C98">
        <v>2</v>
      </c>
      <c r="D98" t="s">
        <v>308</v>
      </c>
      <c r="E98" t="s">
        <v>309</v>
      </c>
    </row>
    <row r="99" spans="1:5" x14ac:dyDescent="0.2">
      <c r="A99" t="s">
        <v>124</v>
      </c>
      <c r="B99" t="s">
        <v>114</v>
      </c>
      <c r="C99">
        <v>2</v>
      </c>
      <c r="D99" t="s">
        <v>308</v>
      </c>
      <c r="E99" t="s">
        <v>309</v>
      </c>
    </row>
    <row r="100" spans="1:5" x14ac:dyDescent="0.2">
      <c r="A100" t="s">
        <v>124</v>
      </c>
      <c r="B100" t="s">
        <v>104</v>
      </c>
      <c r="C100">
        <v>2</v>
      </c>
      <c r="D100" t="s">
        <v>308</v>
      </c>
      <c r="E100" t="s">
        <v>309</v>
      </c>
    </row>
    <row r="101" spans="1:5" x14ac:dyDescent="0.2">
      <c r="A101" t="s">
        <v>124</v>
      </c>
      <c r="B101" t="s">
        <v>107</v>
      </c>
      <c r="C101">
        <v>2</v>
      </c>
      <c r="D101" t="s">
        <v>308</v>
      </c>
      <c r="E101" t="s">
        <v>309</v>
      </c>
    </row>
    <row r="102" spans="1:5" x14ac:dyDescent="0.2">
      <c r="A102" t="s">
        <v>124</v>
      </c>
      <c r="B102" t="s">
        <v>193</v>
      </c>
      <c r="C102">
        <v>2</v>
      </c>
      <c r="D102" t="s">
        <v>308</v>
      </c>
      <c r="E102" t="s">
        <v>309</v>
      </c>
    </row>
    <row r="103" spans="1:5" x14ac:dyDescent="0.2">
      <c r="A103" t="s">
        <v>124</v>
      </c>
      <c r="B103" t="s">
        <v>102</v>
      </c>
      <c r="C103">
        <v>2</v>
      </c>
      <c r="D103" t="s">
        <v>308</v>
      </c>
      <c r="E103" t="s">
        <v>309</v>
      </c>
    </row>
    <row r="104" spans="1:5" x14ac:dyDescent="0.2">
      <c r="A104" t="s">
        <v>124</v>
      </c>
      <c r="B104" t="s">
        <v>119</v>
      </c>
      <c r="C104">
        <v>2</v>
      </c>
      <c r="D104" t="s">
        <v>308</v>
      </c>
      <c r="E104" t="s">
        <v>309</v>
      </c>
    </row>
    <row r="105" spans="1:5" x14ac:dyDescent="0.2">
      <c r="A105" t="s">
        <v>124</v>
      </c>
      <c r="B105" t="s">
        <v>75</v>
      </c>
      <c r="C105">
        <v>2</v>
      </c>
      <c r="D105" t="s">
        <v>308</v>
      </c>
      <c r="E105" t="s">
        <v>309</v>
      </c>
    </row>
    <row r="106" spans="1:5" x14ac:dyDescent="0.2">
      <c r="A106" t="s">
        <v>124</v>
      </c>
      <c r="B106" t="s">
        <v>55</v>
      </c>
      <c r="C106">
        <v>2</v>
      </c>
      <c r="D106" t="s">
        <v>308</v>
      </c>
      <c r="E106" t="s">
        <v>309</v>
      </c>
    </row>
    <row r="107" spans="1:5" x14ac:dyDescent="0.2">
      <c r="A107" t="s">
        <v>124</v>
      </c>
      <c r="B107" t="s">
        <v>177</v>
      </c>
      <c r="C107">
        <v>2</v>
      </c>
      <c r="D107" t="s">
        <v>308</v>
      </c>
      <c r="E107" t="s">
        <v>309</v>
      </c>
    </row>
    <row r="108" spans="1:5" x14ac:dyDescent="0.2">
      <c r="A108" t="s">
        <v>124</v>
      </c>
      <c r="B108" t="s">
        <v>17</v>
      </c>
      <c r="C108">
        <v>2</v>
      </c>
      <c r="D108" t="s">
        <v>308</v>
      </c>
      <c r="E108" t="s">
        <v>309</v>
      </c>
    </row>
    <row r="109" spans="1:5" x14ac:dyDescent="0.2">
      <c r="A109" t="s">
        <v>58</v>
      </c>
      <c r="B109" t="s">
        <v>96</v>
      </c>
      <c r="C109">
        <v>2</v>
      </c>
      <c r="D109" t="s">
        <v>307</v>
      </c>
      <c r="E109" t="s">
        <v>308</v>
      </c>
    </row>
    <row r="110" spans="1:5" x14ac:dyDescent="0.2">
      <c r="A110" t="s">
        <v>58</v>
      </c>
      <c r="B110" t="s">
        <v>187</v>
      </c>
      <c r="C110">
        <v>2</v>
      </c>
      <c r="D110" t="s">
        <v>307</v>
      </c>
      <c r="E110" t="s">
        <v>308</v>
      </c>
    </row>
    <row r="111" spans="1:5" x14ac:dyDescent="0.2">
      <c r="A111" t="s">
        <v>58</v>
      </c>
      <c r="B111" t="s">
        <v>95</v>
      </c>
      <c r="C111">
        <v>2</v>
      </c>
      <c r="D111" t="s">
        <v>307</v>
      </c>
      <c r="E111" t="s">
        <v>309</v>
      </c>
    </row>
    <row r="112" spans="1:5" x14ac:dyDescent="0.2">
      <c r="A112" t="s">
        <v>58</v>
      </c>
      <c r="B112" t="s">
        <v>93</v>
      </c>
      <c r="C112">
        <v>2</v>
      </c>
      <c r="D112" t="s">
        <v>308</v>
      </c>
      <c r="E112" t="s">
        <v>309</v>
      </c>
    </row>
    <row r="113" spans="1:5" x14ac:dyDescent="0.2">
      <c r="A113" t="s">
        <v>58</v>
      </c>
      <c r="B113" t="s">
        <v>28</v>
      </c>
      <c r="C113">
        <v>2</v>
      </c>
      <c r="D113" t="s">
        <v>307</v>
      </c>
      <c r="E113" t="s">
        <v>309</v>
      </c>
    </row>
    <row r="114" spans="1:5" x14ac:dyDescent="0.2">
      <c r="A114" t="s">
        <v>58</v>
      </c>
      <c r="B114" t="s">
        <v>128</v>
      </c>
      <c r="C114">
        <v>2</v>
      </c>
      <c r="D114" t="s">
        <v>307</v>
      </c>
      <c r="E114" t="s">
        <v>309</v>
      </c>
    </row>
    <row r="115" spans="1:5" x14ac:dyDescent="0.2">
      <c r="A115" t="s">
        <v>58</v>
      </c>
      <c r="B115" t="s">
        <v>87</v>
      </c>
      <c r="C115">
        <v>2</v>
      </c>
      <c r="D115" t="s">
        <v>307</v>
      </c>
      <c r="E115" t="s">
        <v>309</v>
      </c>
    </row>
    <row r="116" spans="1:5" x14ac:dyDescent="0.2">
      <c r="A116" t="s">
        <v>58</v>
      </c>
      <c r="B116" t="s">
        <v>119</v>
      </c>
      <c r="C116">
        <v>2</v>
      </c>
      <c r="D116" t="s">
        <v>307</v>
      </c>
      <c r="E116" t="s">
        <v>309</v>
      </c>
    </row>
    <row r="117" spans="1:5" x14ac:dyDescent="0.2">
      <c r="A117" t="s">
        <v>58</v>
      </c>
      <c r="B117" t="s">
        <v>118</v>
      </c>
      <c r="C117">
        <v>2</v>
      </c>
      <c r="D117" t="s">
        <v>307</v>
      </c>
      <c r="E117" t="s">
        <v>309</v>
      </c>
    </row>
    <row r="118" spans="1:5" x14ac:dyDescent="0.2">
      <c r="A118" t="s">
        <v>58</v>
      </c>
      <c r="B118" t="s">
        <v>127</v>
      </c>
      <c r="C118">
        <v>2</v>
      </c>
      <c r="D118" t="s">
        <v>307</v>
      </c>
      <c r="E118" t="s">
        <v>309</v>
      </c>
    </row>
    <row r="119" spans="1:5" x14ac:dyDescent="0.2">
      <c r="A119" t="s">
        <v>58</v>
      </c>
      <c r="B119" t="s">
        <v>32</v>
      </c>
      <c r="C119">
        <v>2</v>
      </c>
      <c r="D119" t="s">
        <v>307</v>
      </c>
      <c r="E119" t="s">
        <v>308</v>
      </c>
    </row>
    <row r="120" spans="1:5" x14ac:dyDescent="0.2">
      <c r="A120" t="s">
        <v>58</v>
      </c>
      <c r="B120" t="s">
        <v>27</v>
      </c>
      <c r="C120">
        <v>2</v>
      </c>
      <c r="D120" t="s">
        <v>307</v>
      </c>
      <c r="E120" t="s">
        <v>309</v>
      </c>
    </row>
    <row r="121" spans="1:5" x14ac:dyDescent="0.2">
      <c r="A121" t="s">
        <v>58</v>
      </c>
      <c r="B121" t="s">
        <v>73</v>
      </c>
      <c r="C121">
        <v>2</v>
      </c>
      <c r="D121" t="s">
        <v>308</v>
      </c>
      <c r="E121" t="s">
        <v>309</v>
      </c>
    </row>
    <row r="122" spans="1:5" x14ac:dyDescent="0.2">
      <c r="A122" t="s">
        <v>58</v>
      </c>
      <c r="B122" t="s">
        <v>18</v>
      </c>
      <c r="C122">
        <v>2</v>
      </c>
      <c r="D122" t="s">
        <v>307</v>
      </c>
      <c r="E122" t="s">
        <v>309</v>
      </c>
    </row>
    <row r="123" spans="1:5" x14ac:dyDescent="0.2">
      <c r="A123" t="s">
        <v>58</v>
      </c>
      <c r="B123" t="s">
        <v>50</v>
      </c>
      <c r="C123">
        <v>2</v>
      </c>
      <c r="D123" t="s">
        <v>307</v>
      </c>
      <c r="E123" t="s">
        <v>309</v>
      </c>
    </row>
    <row r="124" spans="1:5" x14ac:dyDescent="0.2">
      <c r="A124" t="s">
        <v>58</v>
      </c>
      <c r="B124" t="s">
        <v>94</v>
      </c>
      <c r="C124">
        <v>2</v>
      </c>
      <c r="D124" t="s">
        <v>307</v>
      </c>
      <c r="E124" t="s">
        <v>309</v>
      </c>
    </row>
    <row r="125" spans="1:5" x14ac:dyDescent="0.2">
      <c r="A125" t="s">
        <v>58</v>
      </c>
      <c r="B125" t="s">
        <v>116</v>
      </c>
      <c r="C125">
        <v>2</v>
      </c>
      <c r="D125" t="s">
        <v>307</v>
      </c>
      <c r="E125" t="s">
        <v>309</v>
      </c>
    </row>
    <row r="126" spans="1:5" x14ac:dyDescent="0.2">
      <c r="A126" t="s">
        <v>90</v>
      </c>
      <c r="B126" t="s">
        <v>107</v>
      </c>
      <c r="C126">
        <v>2</v>
      </c>
      <c r="D126" t="s">
        <v>308</v>
      </c>
      <c r="E126" t="s">
        <v>309</v>
      </c>
    </row>
    <row r="127" spans="1:5" x14ac:dyDescent="0.2">
      <c r="A127" t="s">
        <v>90</v>
      </c>
      <c r="B127" t="s">
        <v>18</v>
      </c>
      <c r="C127">
        <v>2</v>
      </c>
      <c r="D127" t="s">
        <v>307</v>
      </c>
      <c r="E127" t="s">
        <v>309</v>
      </c>
    </row>
    <row r="128" spans="1:5" x14ac:dyDescent="0.2">
      <c r="A128" t="s">
        <v>90</v>
      </c>
      <c r="B128" t="s">
        <v>17</v>
      </c>
      <c r="C128">
        <v>2</v>
      </c>
      <c r="D128" t="s">
        <v>308</v>
      </c>
      <c r="E128" t="s">
        <v>309</v>
      </c>
    </row>
    <row r="129" spans="1:5" x14ac:dyDescent="0.2">
      <c r="A129" t="s">
        <v>114</v>
      </c>
      <c r="B129" t="s">
        <v>93</v>
      </c>
      <c r="C129">
        <v>2</v>
      </c>
      <c r="D129" t="s">
        <v>308</v>
      </c>
      <c r="E129" t="s">
        <v>309</v>
      </c>
    </row>
    <row r="130" spans="1:5" x14ac:dyDescent="0.2">
      <c r="A130" t="s">
        <v>114</v>
      </c>
      <c r="B130" t="s">
        <v>125</v>
      </c>
      <c r="C130">
        <v>2</v>
      </c>
      <c r="D130" t="s">
        <v>308</v>
      </c>
      <c r="E130" t="s">
        <v>309</v>
      </c>
    </row>
    <row r="131" spans="1:5" x14ac:dyDescent="0.2">
      <c r="A131" t="s">
        <v>114</v>
      </c>
      <c r="B131" t="s">
        <v>111</v>
      </c>
      <c r="C131">
        <v>2</v>
      </c>
      <c r="D131" t="s">
        <v>308</v>
      </c>
      <c r="E131" t="s">
        <v>309</v>
      </c>
    </row>
    <row r="132" spans="1:5" x14ac:dyDescent="0.2">
      <c r="A132" t="s">
        <v>114</v>
      </c>
      <c r="B132" t="s">
        <v>90</v>
      </c>
      <c r="C132">
        <v>2</v>
      </c>
      <c r="D132" t="s">
        <v>308</v>
      </c>
      <c r="E132" t="s">
        <v>309</v>
      </c>
    </row>
    <row r="133" spans="1:5" x14ac:dyDescent="0.2">
      <c r="A133" t="s">
        <v>114</v>
      </c>
      <c r="B133" t="s">
        <v>104</v>
      </c>
      <c r="C133">
        <v>2</v>
      </c>
      <c r="D133" t="s">
        <v>308</v>
      </c>
      <c r="E133" t="s">
        <v>309</v>
      </c>
    </row>
    <row r="134" spans="1:5" x14ac:dyDescent="0.2">
      <c r="A134" t="s">
        <v>114</v>
      </c>
      <c r="B134" t="s">
        <v>107</v>
      </c>
      <c r="C134">
        <v>2</v>
      </c>
      <c r="D134" t="s">
        <v>308</v>
      </c>
      <c r="E134" t="s">
        <v>309</v>
      </c>
    </row>
    <row r="135" spans="1:5" x14ac:dyDescent="0.2">
      <c r="A135" t="s">
        <v>114</v>
      </c>
      <c r="B135" t="s">
        <v>193</v>
      </c>
      <c r="C135">
        <v>2</v>
      </c>
      <c r="D135" t="s">
        <v>308</v>
      </c>
      <c r="E135" t="s">
        <v>309</v>
      </c>
    </row>
    <row r="136" spans="1:5" x14ac:dyDescent="0.2">
      <c r="A136" t="s">
        <v>114</v>
      </c>
      <c r="B136" t="s">
        <v>27</v>
      </c>
      <c r="C136">
        <v>2</v>
      </c>
      <c r="D136" t="s">
        <v>307</v>
      </c>
      <c r="E136" t="s">
        <v>309</v>
      </c>
    </row>
    <row r="137" spans="1:5" x14ac:dyDescent="0.2">
      <c r="A137" t="s">
        <v>114</v>
      </c>
      <c r="B137" t="s">
        <v>18</v>
      </c>
      <c r="C137">
        <v>2</v>
      </c>
      <c r="D137" t="s">
        <v>307</v>
      </c>
      <c r="E137" t="s">
        <v>309</v>
      </c>
    </row>
    <row r="138" spans="1:5" x14ac:dyDescent="0.2">
      <c r="A138" t="s">
        <v>114</v>
      </c>
      <c r="B138" t="s">
        <v>17</v>
      </c>
      <c r="C138">
        <v>2</v>
      </c>
      <c r="D138" t="s">
        <v>308</v>
      </c>
      <c r="E138" t="s">
        <v>309</v>
      </c>
    </row>
    <row r="139" spans="1:5" x14ac:dyDescent="0.2">
      <c r="A139" t="s">
        <v>28</v>
      </c>
      <c r="B139" t="s">
        <v>95</v>
      </c>
      <c r="C139">
        <v>2</v>
      </c>
      <c r="D139" t="s">
        <v>308</v>
      </c>
      <c r="E139" t="s">
        <v>309</v>
      </c>
    </row>
    <row r="140" spans="1:5" x14ac:dyDescent="0.2">
      <c r="A140" t="s">
        <v>28</v>
      </c>
      <c r="B140" t="s">
        <v>93</v>
      </c>
      <c r="C140">
        <v>2</v>
      </c>
      <c r="D140" t="s">
        <v>307</v>
      </c>
      <c r="E140" t="s">
        <v>309</v>
      </c>
    </row>
    <row r="141" spans="1:5" x14ac:dyDescent="0.2">
      <c r="A141" t="s">
        <v>28</v>
      </c>
      <c r="B141" t="s">
        <v>193</v>
      </c>
      <c r="C141">
        <v>2</v>
      </c>
      <c r="D141" t="s">
        <v>307</v>
      </c>
      <c r="E141" t="s">
        <v>309</v>
      </c>
    </row>
    <row r="142" spans="1:5" x14ac:dyDescent="0.2">
      <c r="A142" t="s">
        <v>28</v>
      </c>
      <c r="B142" t="s">
        <v>18</v>
      </c>
      <c r="C142">
        <v>2</v>
      </c>
      <c r="D142" t="s">
        <v>307</v>
      </c>
      <c r="E142" t="s">
        <v>309</v>
      </c>
    </row>
    <row r="143" spans="1:5" x14ac:dyDescent="0.2">
      <c r="A143" t="s">
        <v>104</v>
      </c>
      <c r="B143" t="s">
        <v>187</v>
      </c>
      <c r="C143">
        <v>2</v>
      </c>
      <c r="D143" t="s">
        <v>307</v>
      </c>
      <c r="E143" t="s">
        <v>308</v>
      </c>
    </row>
    <row r="144" spans="1:5" x14ac:dyDescent="0.2">
      <c r="A144" t="s">
        <v>104</v>
      </c>
      <c r="B144" t="s">
        <v>28</v>
      </c>
      <c r="C144">
        <v>2</v>
      </c>
      <c r="D144" t="s">
        <v>307</v>
      </c>
      <c r="E144" t="s">
        <v>309</v>
      </c>
    </row>
    <row r="145" spans="1:5" x14ac:dyDescent="0.2">
      <c r="A145" t="s">
        <v>104</v>
      </c>
      <c r="B145" t="s">
        <v>107</v>
      </c>
      <c r="C145">
        <v>2</v>
      </c>
      <c r="D145" t="s">
        <v>308</v>
      </c>
      <c r="E145" t="s">
        <v>309</v>
      </c>
    </row>
    <row r="146" spans="1:5" x14ac:dyDescent="0.2">
      <c r="A146" t="s">
        <v>104</v>
      </c>
      <c r="B146" t="s">
        <v>18</v>
      </c>
      <c r="C146">
        <v>2</v>
      </c>
      <c r="D146" t="s">
        <v>307</v>
      </c>
      <c r="E146" t="s">
        <v>309</v>
      </c>
    </row>
    <row r="147" spans="1:5" x14ac:dyDescent="0.2">
      <c r="A147" t="s">
        <v>104</v>
      </c>
      <c r="B147" t="s">
        <v>17</v>
      </c>
      <c r="C147">
        <v>2</v>
      </c>
      <c r="D147" t="s">
        <v>308</v>
      </c>
      <c r="E147" t="s">
        <v>309</v>
      </c>
    </row>
    <row r="148" spans="1:5" x14ac:dyDescent="0.2">
      <c r="A148" t="s">
        <v>107</v>
      </c>
      <c r="B148" t="s">
        <v>38</v>
      </c>
      <c r="C148">
        <v>2</v>
      </c>
      <c r="D148" t="s">
        <v>307</v>
      </c>
      <c r="E148" t="s">
        <v>309</v>
      </c>
    </row>
    <row r="149" spans="1:5" x14ac:dyDescent="0.2">
      <c r="A149" t="s">
        <v>107</v>
      </c>
      <c r="B149" t="s">
        <v>111</v>
      </c>
      <c r="C149">
        <v>2</v>
      </c>
      <c r="D149" t="s">
        <v>307</v>
      </c>
      <c r="E149" t="s">
        <v>309</v>
      </c>
    </row>
    <row r="150" spans="1:5" x14ac:dyDescent="0.2">
      <c r="A150" t="s">
        <v>107</v>
      </c>
      <c r="B150" t="s">
        <v>108</v>
      </c>
      <c r="C150">
        <v>2</v>
      </c>
      <c r="D150" t="s">
        <v>307</v>
      </c>
      <c r="E150" t="s">
        <v>308</v>
      </c>
    </row>
    <row r="151" spans="1:5" x14ac:dyDescent="0.2">
      <c r="A151" t="s">
        <v>106</v>
      </c>
      <c r="B151" t="s">
        <v>58</v>
      </c>
      <c r="C151">
        <v>2</v>
      </c>
      <c r="D151" t="s">
        <v>307</v>
      </c>
      <c r="E151" t="s">
        <v>308</v>
      </c>
    </row>
    <row r="152" spans="1:5" x14ac:dyDescent="0.2">
      <c r="A152" t="s">
        <v>193</v>
      </c>
      <c r="B152" t="s">
        <v>187</v>
      </c>
      <c r="C152">
        <v>2</v>
      </c>
      <c r="D152" t="s">
        <v>308</v>
      </c>
      <c r="E152" t="s">
        <v>309</v>
      </c>
    </row>
    <row r="153" spans="1:5" x14ac:dyDescent="0.2">
      <c r="A153" t="s">
        <v>193</v>
      </c>
      <c r="B153" t="s">
        <v>107</v>
      </c>
      <c r="C153">
        <v>2</v>
      </c>
      <c r="D153" t="s">
        <v>308</v>
      </c>
      <c r="E153" t="s">
        <v>309</v>
      </c>
    </row>
    <row r="154" spans="1:5" x14ac:dyDescent="0.2">
      <c r="A154" t="s">
        <v>193</v>
      </c>
      <c r="B154" t="s">
        <v>17</v>
      </c>
      <c r="C154">
        <v>2</v>
      </c>
      <c r="D154" t="s">
        <v>308</v>
      </c>
      <c r="E154" t="s">
        <v>309</v>
      </c>
    </row>
    <row r="155" spans="1:5" x14ac:dyDescent="0.2">
      <c r="A155" t="s">
        <v>102</v>
      </c>
      <c r="B155" t="s">
        <v>38</v>
      </c>
      <c r="C155">
        <v>2</v>
      </c>
      <c r="D155" t="s">
        <v>307</v>
      </c>
      <c r="E155" t="s">
        <v>309</v>
      </c>
    </row>
    <row r="156" spans="1:5" x14ac:dyDescent="0.2">
      <c r="A156" t="s">
        <v>102</v>
      </c>
      <c r="B156" t="s">
        <v>93</v>
      </c>
      <c r="C156">
        <v>2</v>
      </c>
      <c r="D156" t="s">
        <v>308</v>
      </c>
      <c r="E156" t="s">
        <v>309</v>
      </c>
    </row>
    <row r="157" spans="1:5" x14ac:dyDescent="0.2">
      <c r="A157" t="s">
        <v>102</v>
      </c>
      <c r="B157" t="s">
        <v>125</v>
      </c>
      <c r="C157">
        <v>2</v>
      </c>
      <c r="D157" t="s">
        <v>308</v>
      </c>
      <c r="E157" t="s">
        <v>309</v>
      </c>
    </row>
    <row r="158" spans="1:5" x14ac:dyDescent="0.2">
      <c r="A158" t="s">
        <v>102</v>
      </c>
      <c r="B158" t="s">
        <v>114</v>
      </c>
      <c r="C158">
        <v>2</v>
      </c>
      <c r="D158" t="s">
        <v>308</v>
      </c>
      <c r="E158" t="s">
        <v>309</v>
      </c>
    </row>
    <row r="159" spans="1:5" x14ac:dyDescent="0.2">
      <c r="A159" t="s">
        <v>102</v>
      </c>
      <c r="B159" t="s">
        <v>107</v>
      </c>
      <c r="C159">
        <v>2</v>
      </c>
      <c r="D159" t="s">
        <v>308</v>
      </c>
      <c r="E159" t="s">
        <v>309</v>
      </c>
    </row>
    <row r="160" spans="1:5" x14ac:dyDescent="0.2">
      <c r="A160" t="s">
        <v>102</v>
      </c>
      <c r="B160" t="s">
        <v>177</v>
      </c>
      <c r="C160">
        <v>2</v>
      </c>
      <c r="D160" t="s">
        <v>308</v>
      </c>
      <c r="E160" t="s">
        <v>309</v>
      </c>
    </row>
    <row r="161" spans="1:5" x14ac:dyDescent="0.2">
      <c r="A161" t="s">
        <v>102</v>
      </c>
      <c r="B161" t="s">
        <v>17</v>
      </c>
      <c r="C161">
        <v>2</v>
      </c>
      <c r="D161" t="s">
        <v>308</v>
      </c>
      <c r="E161" t="s">
        <v>309</v>
      </c>
    </row>
    <row r="162" spans="1:5" x14ac:dyDescent="0.2">
      <c r="A162" t="s">
        <v>87</v>
      </c>
      <c r="B162" t="s">
        <v>63</v>
      </c>
      <c r="C162">
        <v>2</v>
      </c>
      <c r="D162" t="s">
        <v>307</v>
      </c>
      <c r="E162" t="s">
        <v>309</v>
      </c>
    </row>
    <row r="163" spans="1:5" x14ac:dyDescent="0.2">
      <c r="A163" t="s">
        <v>99</v>
      </c>
      <c r="B163" t="s">
        <v>121</v>
      </c>
      <c r="C163">
        <v>2</v>
      </c>
      <c r="D163" t="s">
        <v>308</v>
      </c>
      <c r="E163" t="s">
        <v>308</v>
      </c>
    </row>
    <row r="164" spans="1:5" x14ac:dyDescent="0.2">
      <c r="A164" t="s">
        <v>119</v>
      </c>
      <c r="B164" t="s">
        <v>89</v>
      </c>
      <c r="C164">
        <v>2</v>
      </c>
      <c r="D164" t="s">
        <v>307</v>
      </c>
      <c r="E164" t="s">
        <v>309</v>
      </c>
    </row>
    <row r="165" spans="1:5" x14ac:dyDescent="0.2">
      <c r="A165" t="s">
        <v>119</v>
      </c>
      <c r="B165" t="s">
        <v>66</v>
      </c>
      <c r="C165">
        <v>2</v>
      </c>
      <c r="D165" t="s">
        <v>308</v>
      </c>
      <c r="E165" t="s">
        <v>309</v>
      </c>
    </row>
    <row r="166" spans="1:5" x14ac:dyDescent="0.2">
      <c r="A166" t="s">
        <v>119</v>
      </c>
      <c r="B166" t="s">
        <v>75</v>
      </c>
      <c r="C166">
        <v>2</v>
      </c>
      <c r="D166" t="s">
        <v>308</v>
      </c>
      <c r="E166" t="s">
        <v>309</v>
      </c>
    </row>
    <row r="167" spans="1:5" x14ac:dyDescent="0.2">
      <c r="A167" t="s">
        <v>119</v>
      </c>
      <c r="B167" t="s">
        <v>17</v>
      </c>
      <c r="C167">
        <v>2</v>
      </c>
      <c r="D167" t="s">
        <v>308</v>
      </c>
      <c r="E167" t="s">
        <v>309</v>
      </c>
    </row>
    <row r="168" spans="1:5" x14ac:dyDescent="0.2">
      <c r="A168" t="s">
        <v>127</v>
      </c>
      <c r="B168" t="s">
        <v>27</v>
      </c>
      <c r="C168">
        <v>2</v>
      </c>
      <c r="D168" t="s">
        <v>308</v>
      </c>
      <c r="E168" t="s">
        <v>309</v>
      </c>
    </row>
    <row r="169" spans="1:5" x14ac:dyDescent="0.2">
      <c r="A169" t="s">
        <v>127</v>
      </c>
      <c r="B169" t="s">
        <v>94</v>
      </c>
      <c r="C169">
        <v>2</v>
      </c>
      <c r="D169" t="s">
        <v>308</v>
      </c>
      <c r="E169" t="s">
        <v>309</v>
      </c>
    </row>
    <row r="170" spans="1:5" x14ac:dyDescent="0.2">
      <c r="A170" t="s">
        <v>27</v>
      </c>
      <c r="B170" t="s">
        <v>18</v>
      </c>
      <c r="C170">
        <v>2</v>
      </c>
      <c r="D170" t="s">
        <v>307</v>
      </c>
      <c r="E170" t="s">
        <v>309</v>
      </c>
    </row>
    <row r="171" spans="1:5" x14ac:dyDescent="0.2">
      <c r="A171" t="s">
        <v>25</v>
      </c>
      <c r="B171" t="s">
        <v>119</v>
      </c>
      <c r="C171">
        <v>2</v>
      </c>
      <c r="D171" t="s">
        <v>308</v>
      </c>
      <c r="E171" t="s">
        <v>309</v>
      </c>
    </row>
    <row r="172" spans="1:5" x14ac:dyDescent="0.2">
      <c r="A172" t="s">
        <v>98</v>
      </c>
      <c r="B172" t="s">
        <v>74</v>
      </c>
      <c r="C172">
        <v>2</v>
      </c>
      <c r="D172" t="s">
        <v>307</v>
      </c>
      <c r="E172" t="s">
        <v>308</v>
      </c>
    </row>
    <row r="173" spans="1:5" x14ac:dyDescent="0.2">
      <c r="A173" t="s">
        <v>74</v>
      </c>
      <c r="B173" t="s">
        <v>75</v>
      </c>
      <c r="C173">
        <v>2</v>
      </c>
      <c r="D173" t="s">
        <v>307</v>
      </c>
      <c r="E173" t="s">
        <v>308</v>
      </c>
    </row>
    <row r="174" spans="1:5" x14ac:dyDescent="0.2">
      <c r="A174" t="s">
        <v>73</v>
      </c>
      <c r="B174" t="s">
        <v>125</v>
      </c>
      <c r="C174">
        <v>2</v>
      </c>
      <c r="D174" t="s">
        <v>308</v>
      </c>
      <c r="E174" t="s">
        <v>309</v>
      </c>
    </row>
    <row r="175" spans="1:5" x14ac:dyDescent="0.2">
      <c r="A175" t="s">
        <v>73</v>
      </c>
      <c r="B175" t="s">
        <v>107</v>
      </c>
      <c r="C175">
        <v>2</v>
      </c>
      <c r="D175" t="s">
        <v>308</v>
      </c>
      <c r="E175" t="s">
        <v>309</v>
      </c>
    </row>
    <row r="176" spans="1:5" x14ac:dyDescent="0.2">
      <c r="A176" t="s">
        <v>70</v>
      </c>
      <c r="B176" t="s">
        <v>68</v>
      </c>
      <c r="C176">
        <v>2</v>
      </c>
      <c r="D176" t="s">
        <v>308</v>
      </c>
      <c r="E176" t="s">
        <v>308</v>
      </c>
    </row>
    <row r="177" spans="1:5" x14ac:dyDescent="0.2">
      <c r="A177" t="s">
        <v>66</v>
      </c>
      <c r="B177" t="s">
        <v>127</v>
      </c>
      <c r="C177">
        <v>2</v>
      </c>
      <c r="D177" t="s">
        <v>308</v>
      </c>
      <c r="E177" t="s">
        <v>309</v>
      </c>
    </row>
    <row r="178" spans="1:5" x14ac:dyDescent="0.2">
      <c r="A178" t="s">
        <v>66</v>
      </c>
      <c r="B178" t="s">
        <v>75</v>
      </c>
      <c r="C178">
        <v>2</v>
      </c>
      <c r="D178" t="s">
        <v>308</v>
      </c>
      <c r="E178" t="s">
        <v>309</v>
      </c>
    </row>
    <row r="179" spans="1:5" x14ac:dyDescent="0.2">
      <c r="A179" t="s">
        <v>75</v>
      </c>
      <c r="B179" t="s">
        <v>17</v>
      </c>
      <c r="C179">
        <v>2</v>
      </c>
      <c r="D179" t="s">
        <v>308</v>
      </c>
      <c r="E179" t="s">
        <v>309</v>
      </c>
    </row>
    <row r="180" spans="1:5" x14ac:dyDescent="0.2">
      <c r="A180" t="s">
        <v>117</v>
      </c>
      <c r="B180" t="s">
        <v>47</v>
      </c>
      <c r="C180">
        <v>2</v>
      </c>
      <c r="D180" t="s">
        <v>308</v>
      </c>
      <c r="E180" t="s">
        <v>308</v>
      </c>
    </row>
    <row r="181" spans="1:5" x14ac:dyDescent="0.2">
      <c r="A181" t="s">
        <v>117</v>
      </c>
      <c r="B181" t="s">
        <v>65</v>
      </c>
      <c r="C181">
        <v>2</v>
      </c>
      <c r="D181" t="s">
        <v>308</v>
      </c>
      <c r="E181" t="s">
        <v>308</v>
      </c>
    </row>
    <row r="182" spans="1:5" x14ac:dyDescent="0.2">
      <c r="A182" t="s">
        <v>117</v>
      </c>
      <c r="B182" t="s">
        <v>116</v>
      </c>
      <c r="C182">
        <v>2</v>
      </c>
      <c r="D182" t="s">
        <v>308</v>
      </c>
      <c r="E182" t="s">
        <v>308</v>
      </c>
    </row>
    <row r="183" spans="1:5" x14ac:dyDescent="0.2">
      <c r="A183" t="s">
        <v>116</v>
      </c>
      <c r="B183" t="s">
        <v>47</v>
      </c>
      <c r="C183">
        <v>2</v>
      </c>
      <c r="D183" t="s">
        <v>308</v>
      </c>
      <c r="E183" t="s">
        <v>308</v>
      </c>
    </row>
    <row r="184" spans="1:5" x14ac:dyDescent="0.2">
      <c r="A184" t="s">
        <v>116</v>
      </c>
      <c r="B184" t="s">
        <v>65</v>
      </c>
      <c r="C184">
        <v>2</v>
      </c>
      <c r="D184" t="s">
        <v>308</v>
      </c>
      <c r="E184" t="s">
        <v>308</v>
      </c>
    </row>
    <row r="185" spans="1:5" x14ac:dyDescent="0.2">
      <c r="A185" t="s">
        <v>35</v>
      </c>
      <c r="B185" t="s">
        <v>110</v>
      </c>
      <c r="C185">
        <v>2</v>
      </c>
      <c r="D185" t="s">
        <v>308</v>
      </c>
      <c r="E185" t="s">
        <v>308</v>
      </c>
    </row>
    <row r="186" spans="1:5" x14ac:dyDescent="0.2">
      <c r="A186" t="s">
        <v>55</v>
      </c>
      <c r="B186" t="s">
        <v>37</v>
      </c>
      <c r="C186">
        <v>2</v>
      </c>
      <c r="D186" t="s">
        <v>308</v>
      </c>
      <c r="E186" t="s">
        <v>309</v>
      </c>
    </row>
    <row r="187" spans="1:5" x14ac:dyDescent="0.2">
      <c r="A187" t="s">
        <v>55</v>
      </c>
      <c r="B187" t="s">
        <v>114</v>
      </c>
      <c r="C187">
        <v>2</v>
      </c>
      <c r="D187" t="s">
        <v>308</v>
      </c>
      <c r="E187" t="s">
        <v>309</v>
      </c>
    </row>
    <row r="188" spans="1:5" x14ac:dyDescent="0.2">
      <c r="A188" t="s">
        <v>55</v>
      </c>
      <c r="B188" t="s">
        <v>107</v>
      </c>
      <c r="C188">
        <v>2</v>
      </c>
      <c r="D188" t="s">
        <v>308</v>
      </c>
      <c r="E188" t="s">
        <v>309</v>
      </c>
    </row>
    <row r="189" spans="1:5" x14ac:dyDescent="0.2">
      <c r="A189" t="s">
        <v>55</v>
      </c>
      <c r="B189" t="s">
        <v>119</v>
      </c>
      <c r="C189">
        <v>2</v>
      </c>
      <c r="D189" t="s">
        <v>308</v>
      </c>
      <c r="E189" t="s">
        <v>309</v>
      </c>
    </row>
    <row r="190" spans="1:5" x14ac:dyDescent="0.2">
      <c r="A190" t="s">
        <v>55</v>
      </c>
      <c r="B190" t="s">
        <v>73</v>
      </c>
      <c r="C190">
        <v>2</v>
      </c>
      <c r="D190" t="s">
        <v>308</v>
      </c>
      <c r="E190" t="s">
        <v>309</v>
      </c>
    </row>
    <row r="191" spans="1:5" x14ac:dyDescent="0.2">
      <c r="A191" t="s">
        <v>55</v>
      </c>
      <c r="B191" t="s">
        <v>75</v>
      </c>
      <c r="C191">
        <v>2</v>
      </c>
      <c r="D191" t="s">
        <v>308</v>
      </c>
      <c r="E191" t="s">
        <v>309</v>
      </c>
    </row>
    <row r="192" spans="1:5" x14ac:dyDescent="0.2">
      <c r="A192" t="s">
        <v>55</v>
      </c>
      <c r="B192" t="s">
        <v>110</v>
      </c>
      <c r="C192">
        <v>2</v>
      </c>
      <c r="D192" t="s">
        <v>308</v>
      </c>
      <c r="E192" t="s">
        <v>308</v>
      </c>
    </row>
    <row r="193" spans="1:5" x14ac:dyDescent="0.2">
      <c r="A193" t="s">
        <v>55</v>
      </c>
      <c r="B193" t="s">
        <v>35</v>
      </c>
      <c r="C193">
        <v>2</v>
      </c>
      <c r="D193" t="s">
        <v>308</v>
      </c>
      <c r="E193" t="s">
        <v>308</v>
      </c>
    </row>
    <row r="194" spans="1:5" x14ac:dyDescent="0.2">
      <c r="A194" t="s">
        <v>55</v>
      </c>
      <c r="B194" t="s">
        <v>189</v>
      </c>
      <c r="C194">
        <v>2</v>
      </c>
      <c r="D194" t="s">
        <v>308</v>
      </c>
      <c r="E194" t="s">
        <v>308</v>
      </c>
    </row>
    <row r="195" spans="1:5" x14ac:dyDescent="0.2">
      <c r="A195" t="s">
        <v>55</v>
      </c>
      <c r="B195" t="s">
        <v>17</v>
      </c>
      <c r="C195">
        <v>2</v>
      </c>
      <c r="D195" t="s">
        <v>308</v>
      </c>
      <c r="E195" t="s">
        <v>309</v>
      </c>
    </row>
    <row r="196" spans="1:5" x14ac:dyDescent="0.2">
      <c r="A196" t="s">
        <v>53</v>
      </c>
      <c r="B196" t="s">
        <v>66</v>
      </c>
      <c r="C196">
        <v>2</v>
      </c>
      <c r="D196" t="s">
        <v>308</v>
      </c>
      <c r="E196" t="s">
        <v>308</v>
      </c>
    </row>
    <row r="197" spans="1:5" x14ac:dyDescent="0.2">
      <c r="A197" t="s">
        <v>53</v>
      </c>
      <c r="B197" t="s">
        <v>186</v>
      </c>
      <c r="C197">
        <v>2</v>
      </c>
      <c r="D197" t="s">
        <v>308</v>
      </c>
      <c r="E197" t="s">
        <v>308</v>
      </c>
    </row>
    <row r="198" spans="1:5" x14ac:dyDescent="0.2">
      <c r="A198" t="s">
        <v>186</v>
      </c>
      <c r="B198" t="s">
        <v>66</v>
      </c>
      <c r="C198">
        <v>2</v>
      </c>
      <c r="D198" t="s">
        <v>308</v>
      </c>
      <c r="E198" t="s">
        <v>308</v>
      </c>
    </row>
    <row r="199" spans="1:5" x14ac:dyDescent="0.2">
      <c r="A199" t="s">
        <v>189</v>
      </c>
      <c r="B199" t="s">
        <v>187</v>
      </c>
      <c r="C199">
        <v>2</v>
      </c>
      <c r="D199" t="s">
        <v>308</v>
      </c>
      <c r="E199" t="s">
        <v>308</v>
      </c>
    </row>
    <row r="200" spans="1:5" x14ac:dyDescent="0.2">
      <c r="A200" t="s">
        <v>34</v>
      </c>
      <c r="B200" t="s">
        <v>37</v>
      </c>
      <c r="C200">
        <v>2</v>
      </c>
      <c r="D200" t="s">
        <v>307</v>
      </c>
      <c r="E200" t="s">
        <v>309</v>
      </c>
    </row>
    <row r="201" spans="1:5" x14ac:dyDescent="0.2">
      <c r="A201" t="s">
        <v>34</v>
      </c>
      <c r="B201" t="s">
        <v>79</v>
      </c>
      <c r="C201">
        <v>2</v>
      </c>
      <c r="D201" t="s">
        <v>308</v>
      </c>
      <c r="E201" t="s">
        <v>309</v>
      </c>
    </row>
    <row r="202" spans="1:5" x14ac:dyDescent="0.2">
      <c r="A202" t="s">
        <v>177</v>
      </c>
      <c r="B202" t="s">
        <v>93</v>
      </c>
      <c r="C202">
        <v>2</v>
      </c>
      <c r="D202" t="s">
        <v>308</v>
      </c>
      <c r="E202" t="s">
        <v>309</v>
      </c>
    </row>
    <row r="203" spans="1:5" x14ac:dyDescent="0.2">
      <c r="A203" t="s">
        <v>177</v>
      </c>
      <c r="B203" t="s">
        <v>125</v>
      </c>
      <c r="C203">
        <v>2</v>
      </c>
      <c r="D203" t="s">
        <v>308</v>
      </c>
      <c r="E203" t="s">
        <v>309</v>
      </c>
    </row>
    <row r="204" spans="1:5" x14ac:dyDescent="0.2">
      <c r="A204" t="s">
        <v>177</v>
      </c>
      <c r="B204" t="s">
        <v>90</v>
      </c>
      <c r="C204">
        <v>2</v>
      </c>
      <c r="D204" t="s">
        <v>308</v>
      </c>
      <c r="E204" t="s">
        <v>309</v>
      </c>
    </row>
    <row r="205" spans="1:5" x14ac:dyDescent="0.2">
      <c r="A205" t="s">
        <v>177</v>
      </c>
      <c r="B205" t="s">
        <v>114</v>
      </c>
      <c r="C205">
        <v>2</v>
      </c>
      <c r="D205" t="s">
        <v>308</v>
      </c>
      <c r="E205" t="s">
        <v>309</v>
      </c>
    </row>
    <row r="206" spans="1:5" x14ac:dyDescent="0.2">
      <c r="A206" t="s">
        <v>177</v>
      </c>
      <c r="B206" t="s">
        <v>104</v>
      </c>
      <c r="C206">
        <v>2</v>
      </c>
      <c r="D206" t="s">
        <v>308</v>
      </c>
      <c r="E206" t="s">
        <v>309</v>
      </c>
    </row>
    <row r="207" spans="1:5" x14ac:dyDescent="0.2">
      <c r="A207" t="s">
        <v>177</v>
      </c>
      <c r="B207" t="s">
        <v>107</v>
      </c>
      <c r="C207">
        <v>2</v>
      </c>
      <c r="D207" t="s">
        <v>308</v>
      </c>
      <c r="E207" t="s">
        <v>309</v>
      </c>
    </row>
    <row r="208" spans="1:5" x14ac:dyDescent="0.2">
      <c r="A208" t="s">
        <v>177</v>
      </c>
      <c r="B208" t="s">
        <v>193</v>
      </c>
      <c r="C208">
        <v>2</v>
      </c>
      <c r="D208" t="s">
        <v>308</v>
      </c>
      <c r="E208" t="s">
        <v>309</v>
      </c>
    </row>
    <row r="209" spans="1:5" x14ac:dyDescent="0.2">
      <c r="A209" t="s">
        <v>177</v>
      </c>
      <c r="B209" t="s">
        <v>34</v>
      </c>
      <c r="C209">
        <v>2</v>
      </c>
      <c r="D209" t="s">
        <v>308</v>
      </c>
      <c r="E209" t="s">
        <v>309</v>
      </c>
    </row>
    <row r="210" spans="1:5" x14ac:dyDescent="0.2">
      <c r="A210" t="s">
        <v>177</v>
      </c>
      <c r="B210" t="s">
        <v>175</v>
      </c>
      <c r="C210">
        <v>2</v>
      </c>
      <c r="D210" t="s">
        <v>308</v>
      </c>
      <c r="E210" t="s">
        <v>308</v>
      </c>
    </row>
    <row r="211" spans="1:5" x14ac:dyDescent="0.2">
      <c r="A211" t="s">
        <v>175</v>
      </c>
      <c r="B211" t="s">
        <v>17</v>
      </c>
      <c r="C211">
        <v>2</v>
      </c>
      <c r="D211" t="s">
        <v>308</v>
      </c>
      <c r="E211" t="s">
        <v>308</v>
      </c>
    </row>
    <row r="212" spans="1:5" x14ac:dyDescent="0.2">
      <c r="A212" t="s">
        <v>17</v>
      </c>
      <c r="B212" t="s">
        <v>60</v>
      </c>
      <c r="C212">
        <v>2</v>
      </c>
      <c r="D212" t="s">
        <v>307</v>
      </c>
      <c r="E212" t="s">
        <v>308</v>
      </c>
    </row>
    <row r="213" spans="1:5" x14ac:dyDescent="0.2">
      <c r="A213" t="s">
        <v>17</v>
      </c>
      <c r="B213" t="s">
        <v>95</v>
      </c>
      <c r="C213">
        <v>2</v>
      </c>
      <c r="D213" t="s">
        <v>307</v>
      </c>
      <c r="E213" t="s">
        <v>309</v>
      </c>
    </row>
    <row r="214" spans="1:5" x14ac:dyDescent="0.2">
      <c r="A214" t="s">
        <v>17</v>
      </c>
      <c r="B214" t="s">
        <v>28</v>
      </c>
      <c r="C214">
        <v>2</v>
      </c>
      <c r="D214" t="s">
        <v>307</v>
      </c>
      <c r="E214" t="s">
        <v>309</v>
      </c>
    </row>
    <row r="215" spans="1:5" x14ac:dyDescent="0.2">
      <c r="A215" t="s">
        <v>17</v>
      </c>
      <c r="B215" t="s">
        <v>107</v>
      </c>
      <c r="C215">
        <v>2</v>
      </c>
      <c r="D215" t="s">
        <v>308</v>
      </c>
      <c r="E215" t="s">
        <v>309</v>
      </c>
    </row>
    <row r="216" spans="1:5" x14ac:dyDescent="0.2">
      <c r="A216" t="s">
        <v>17</v>
      </c>
      <c r="B216" t="s">
        <v>27</v>
      </c>
      <c r="C216">
        <v>2</v>
      </c>
      <c r="D216" t="s">
        <v>307</v>
      </c>
      <c r="E216" t="s">
        <v>309</v>
      </c>
    </row>
    <row r="217" spans="1:5" x14ac:dyDescent="0.2">
      <c r="A217" t="s">
        <v>17</v>
      </c>
      <c r="B217" t="s">
        <v>18</v>
      </c>
      <c r="C217">
        <v>2</v>
      </c>
      <c r="D217" t="s">
        <v>307</v>
      </c>
      <c r="E217" t="s">
        <v>309</v>
      </c>
    </row>
    <row r="218" spans="1:5" x14ac:dyDescent="0.2">
      <c r="A218" t="s">
        <v>81</v>
      </c>
      <c r="B218" t="s">
        <v>81</v>
      </c>
      <c r="C218">
        <v>1</v>
      </c>
      <c r="D218" t="s">
        <v>307</v>
      </c>
    </row>
    <row r="219" spans="1:5" x14ac:dyDescent="0.2">
      <c r="A219" t="s">
        <v>81</v>
      </c>
      <c r="B219" t="s">
        <v>91</v>
      </c>
      <c r="C219">
        <v>1</v>
      </c>
      <c r="D219" t="s">
        <v>308</v>
      </c>
    </row>
    <row r="220" spans="1:5" x14ac:dyDescent="0.2">
      <c r="A220" t="s">
        <v>81</v>
      </c>
      <c r="B220" t="s">
        <v>85</v>
      </c>
      <c r="C220">
        <v>1</v>
      </c>
      <c r="D220" t="s">
        <v>308</v>
      </c>
    </row>
    <row r="221" spans="1:5" x14ac:dyDescent="0.2">
      <c r="A221" t="s">
        <v>81</v>
      </c>
      <c r="B221" t="s">
        <v>119</v>
      </c>
      <c r="C221">
        <v>1</v>
      </c>
      <c r="D221" t="s">
        <v>308</v>
      </c>
    </row>
    <row r="222" spans="1:5" x14ac:dyDescent="0.2">
      <c r="A222" t="s">
        <v>81</v>
      </c>
      <c r="B222" t="s">
        <v>67</v>
      </c>
      <c r="C222">
        <v>1</v>
      </c>
      <c r="D222" t="s">
        <v>307</v>
      </c>
    </row>
    <row r="223" spans="1:5" x14ac:dyDescent="0.2">
      <c r="A223" t="s">
        <v>81</v>
      </c>
      <c r="B223" t="s">
        <v>44</v>
      </c>
      <c r="C223">
        <v>1</v>
      </c>
      <c r="D223" t="s">
        <v>307</v>
      </c>
    </row>
    <row r="224" spans="1:5" x14ac:dyDescent="0.2">
      <c r="A224" t="s">
        <v>42</v>
      </c>
      <c r="B224" t="s">
        <v>42</v>
      </c>
      <c r="C224">
        <v>1</v>
      </c>
      <c r="D224" t="s">
        <v>307</v>
      </c>
    </row>
    <row r="225" spans="1:4" x14ac:dyDescent="0.2">
      <c r="A225" t="s">
        <v>126</v>
      </c>
      <c r="B225" t="s">
        <v>30</v>
      </c>
      <c r="C225">
        <v>1</v>
      </c>
      <c r="D225" t="s">
        <v>307</v>
      </c>
    </row>
    <row r="226" spans="1:4" x14ac:dyDescent="0.2">
      <c r="A226" t="s">
        <v>126</v>
      </c>
      <c r="B226" t="s">
        <v>93</v>
      </c>
      <c r="C226">
        <v>1</v>
      </c>
      <c r="D226" t="s">
        <v>309</v>
      </c>
    </row>
    <row r="227" spans="1:4" x14ac:dyDescent="0.2">
      <c r="A227" t="s">
        <v>126</v>
      </c>
      <c r="B227" t="s">
        <v>111</v>
      </c>
      <c r="C227">
        <v>1</v>
      </c>
      <c r="D227" t="s">
        <v>309</v>
      </c>
    </row>
    <row r="228" spans="1:4" x14ac:dyDescent="0.2">
      <c r="A228" t="s">
        <v>126</v>
      </c>
      <c r="B228" t="s">
        <v>90</v>
      </c>
      <c r="C228">
        <v>1</v>
      </c>
      <c r="D228" t="s">
        <v>309</v>
      </c>
    </row>
    <row r="229" spans="1:4" x14ac:dyDescent="0.2">
      <c r="A229" t="s">
        <v>126</v>
      </c>
      <c r="B229" t="s">
        <v>54</v>
      </c>
      <c r="C229">
        <v>1</v>
      </c>
      <c r="D229" t="s">
        <v>307</v>
      </c>
    </row>
    <row r="230" spans="1:4" x14ac:dyDescent="0.2">
      <c r="A230" t="s">
        <v>126</v>
      </c>
      <c r="B230" t="s">
        <v>75</v>
      </c>
      <c r="C230">
        <v>1</v>
      </c>
      <c r="D230" t="s">
        <v>309</v>
      </c>
    </row>
    <row r="231" spans="1:4" x14ac:dyDescent="0.2">
      <c r="A231" t="s">
        <v>126</v>
      </c>
      <c r="B231" t="s">
        <v>18</v>
      </c>
      <c r="C231">
        <v>1</v>
      </c>
      <c r="D231" t="s">
        <v>309</v>
      </c>
    </row>
    <row r="232" spans="1:4" x14ac:dyDescent="0.2">
      <c r="A232" t="s">
        <v>96</v>
      </c>
      <c r="B232" t="s">
        <v>187</v>
      </c>
      <c r="C232">
        <v>1</v>
      </c>
      <c r="D232" t="s">
        <v>308</v>
      </c>
    </row>
    <row r="233" spans="1:4" x14ac:dyDescent="0.2">
      <c r="A233" t="s">
        <v>96</v>
      </c>
      <c r="B233" t="s">
        <v>90</v>
      </c>
      <c r="C233">
        <v>1</v>
      </c>
      <c r="D233" t="s">
        <v>308</v>
      </c>
    </row>
    <row r="234" spans="1:4" x14ac:dyDescent="0.2">
      <c r="A234" t="s">
        <v>96</v>
      </c>
      <c r="B234" t="s">
        <v>104</v>
      </c>
      <c r="C234">
        <v>1</v>
      </c>
      <c r="D234" t="s">
        <v>308</v>
      </c>
    </row>
    <row r="235" spans="1:4" x14ac:dyDescent="0.2">
      <c r="A235" t="s">
        <v>96</v>
      </c>
      <c r="B235" t="s">
        <v>107</v>
      </c>
      <c r="C235">
        <v>1</v>
      </c>
      <c r="D235" t="s">
        <v>308</v>
      </c>
    </row>
    <row r="236" spans="1:4" x14ac:dyDescent="0.2">
      <c r="A236" t="s">
        <v>96</v>
      </c>
      <c r="B236" t="s">
        <v>193</v>
      </c>
      <c r="C236">
        <v>1</v>
      </c>
      <c r="D236" t="s">
        <v>308</v>
      </c>
    </row>
    <row r="237" spans="1:4" x14ac:dyDescent="0.2">
      <c r="A237" t="s">
        <v>96</v>
      </c>
      <c r="B237" t="s">
        <v>17</v>
      </c>
      <c r="C237">
        <v>1</v>
      </c>
      <c r="D237" t="s">
        <v>308</v>
      </c>
    </row>
    <row r="238" spans="1:4" x14ac:dyDescent="0.2">
      <c r="A238" t="s">
        <v>178</v>
      </c>
      <c r="B238" t="s">
        <v>42</v>
      </c>
      <c r="C238">
        <v>1</v>
      </c>
      <c r="D238" t="s">
        <v>307</v>
      </c>
    </row>
    <row r="239" spans="1:4" x14ac:dyDescent="0.2">
      <c r="A239" t="s">
        <v>178</v>
      </c>
      <c r="B239" t="s">
        <v>178</v>
      </c>
      <c r="C239">
        <v>1</v>
      </c>
      <c r="D239" t="s">
        <v>307</v>
      </c>
    </row>
    <row r="240" spans="1:4" x14ac:dyDescent="0.2">
      <c r="A240" t="s">
        <v>178</v>
      </c>
      <c r="B240" t="s">
        <v>36</v>
      </c>
      <c r="C240">
        <v>1</v>
      </c>
      <c r="D240" t="s">
        <v>308</v>
      </c>
    </row>
    <row r="241" spans="1:4" x14ac:dyDescent="0.2">
      <c r="A241" t="s">
        <v>178</v>
      </c>
      <c r="B241" t="s">
        <v>85</v>
      </c>
      <c r="C241">
        <v>1</v>
      </c>
      <c r="D241" t="s">
        <v>307</v>
      </c>
    </row>
    <row r="242" spans="1:4" x14ac:dyDescent="0.2">
      <c r="A242" t="s">
        <v>178</v>
      </c>
      <c r="B242" t="s">
        <v>83</v>
      </c>
      <c r="C242">
        <v>1</v>
      </c>
      <c r="D242" t="s">
        <v>308</v>
      </c>
    </row>
    <row r="243" spans="1:4" x14ac:dyDescent="0.2">
      <c r="A243" t="s">
        <v>178</v>
      </c>
      <c r="B243" t="s">
        <v>99</v>
      </c>
      <c r="C243">
        <v>1</v>
      </c>
      <c r="D243" t="s">
        <v>308</v>
      </c>
    </row>
    <row r="244" spans="1:4" x14ac:dyDescent="0.2">
      <c r="A244" t="s">
        <v>178</v>
      </c>
      <c r="B244" t="s">
        <v>118</v>
      </c>
      <c r="C244">
        <v>1</v>
      </c>
      <c r="D244" t="s">
        <v>308</v>
      </c>
    </row>
    <row r="245" spans="1:4" x14ac:dyDescent="0.2">
      <c r="A245" t="s">
        <v>178</v>
      </c>
      <c r="B245" t="s">
        <v>129</v>
      </c>
      <c r="C245">
        <v>1</v>
      </c>
      <c r="D245" t="s">
        <v>308</v>
      </c>
    </row>
    <row r="246" spans="1:4" x14ac:dyDescent="0.2">
      <c r="A246" t="s">
        <v>38</v>
      </c>
      <c r="B246" t="s">
        <v>38</v>
      </c>
      <c r="C246">
        <v>1</v>
      </c>
      <c r="D246" t="s">
        <v>307</v>
      </c>
    </row>
    <row r="247" spans="1:4" x14ac:dyDescent="0.2">
      <c r="A247" t="s">
        <v>38</v>
      </c>
      <c r="B247" t="s">
        <v>91</v>
      </c>
      <c r="C247">
        <v>1</v>
      </c>
      <c r="D247" t="s">
        <v>307</v>
      </c>
    </row>
    <row r="248" spans="1:4" x14ac:dyDescent="0.2">
      <c r="A248" t="s">
        <v>38</v>
      </c>
      <c r="B248" t="s">
        <v>93</v>
      </c>
      <c r="C248">
        <v>1</v>
      </c>
      <c r="D248" t="s">
        <v>309</v>
      </c>
    </row>
    <row r="249" spans="1:4" x14ac:dyDescent="0.2">
      <c r="A249" t="s">
        <v>38</v>
      </c>
      <c r="B249" t="s">
        <v>111</v>
      </c>
      <c r="C249">
        <v>1</v>
      </c>
      <c r="D249" t="s">
        <v>309</v>
      </c>
    </row>
    <row r="250" spans="1:4" x14ac:dyDescent="0.2">
      <c r="A250" t="s">
        <v>38</v>
      </c>
      <c r="B250" t="s">
        <v>90</v>
      </c>
      <c r="C250">
        <v>1</v>
      </c>
      <c r="D250" t="s">
        <v>309</v>
      </c>
    </row>
    <row r="251" spans="1:4" x14ac:dyDescent="0.2">
      <c r="A251" t="s">
        <v>38</v>
      </c>
      <c r="B251" t="s">
        <v>75</v>
      </c>
      <c r="C251">
        <v>1</v>
      </c>
      <c r="D251" t="s">
        <v>309</v>
      </c>
    </row>
    <row r="252" spans="1:4" x14ac:dyDescent="0.2">
      <c r="A252" t="s">
        <v>38</v>
      </c>
      <c r="B252" t="s">
        <v>18</v>
      </c>
      <c r="C252">
        <v>1</v>
      </c>
      <c r="D252" t="s">
        <v>309</v>
      </c>
    </row>
    <row r="253" spans="1:4" x14ac:dyDescent="0.2">
      <c r="A253" t="s">
        <v>38</v>
      </c>
      <c r="B253" t="s">
        <v>55</v>
      </c>
      <c r="C253">
        <v>1</v>
      </c>
      <c r="D253" t="s">
        <v>309</v>
      </c>
    </row>
    <row r="254" spans="1:4" x14ac:dyDescent="0.2">
      <c r="A254" t="s">
        <v>47</v>
      </c>
      <c r="B254" t="s">
        <v>60</v>
      </c>
      <c r="C254">
        <v>1</v>
      </c>
      <c r="D254" t="s">
        <v>308</v>
      </c>
    </row>
    <row r="255" spans="1:4" x14ac:dyDescent="0.2">
      <c r="A255" t="s">
        <v>47</v>
      </c>
      <c r="B255" t="s">
        <v>187</v>
      </c>
      <c r="C255">
        <v>1</v>
      </c>
      <c r="D255" t="s">
        <v>308</v>
      </c>
    </row>
    <row r="256" spans="1:4" x14ac:dyDescent="0.2">
      <c r="A256" t="s">
        <v>47</v>
      </c>
      <c r="B256" t="s">
        <v>95</v>
      </c>
      <c r="C256">
        <v>1</v>
      </c>
      <c r="D256" t="s">
        <v>308</v>
      </c>
    </row>
    <row r="257" spans="1:4" x14ac:dyDescent="0.2">
      <c r="A257" t="s">
        <v>47</v>
      </c>
      <c r="B257" t="s">
        <v>28</v>
      </c>
      <c r="C257">
        <v>1</v>
      </c>
      <c r="D257" t="s">
        <v>308</v>
      </c>
    </row>
    <row r="258" spans="1:4" x14ac:dyDescent="0.2">
      <c r="A258" t="s">
        <v>47</v>
      </c>
      <c r="B258" t="s">
        <v>62</v>
      </c>
      <c r="C258">
        <v>1</v>
      </c>
      <c r="D258" t="s">
        <v>307</v>
      </c>
    </row>
    <row r="259" spans="1:4" x14ac:dyDescent="0.2">
      <c r="A259" t="s">
        <v>47</v>
      </c>
      <c r="B259" t="s">
        <v>119</v>
      </c>
      <c r="C259">
        <v>1</v>
      </c>
      <c r="D259" t="s">
        <v>308</v>
      </c>
    </row>
    <row r="260" spans="1:4" x14ac:dyDescent="0.2">
      <c r="A260" t="s">
        <v>47</v>
      </c>
      <c r="B260" t="s">
        <v>120</v>
      </c>
      <c r="C260">
        <v>1</v>
      </c>
      <c r="D260" t="s">
        <v>308</v>
      </c>
    </row>
    <row r="261" spans="1:4" x14ac:dyDescent="0.2">
      <c r="A261" t="s">
        <v>47</v>
      </c>
      <c r="B261" t="s">
        <v>70</v>
      </c>
      <c r="C261">
        <v>1</v>
      </c>
      <c r="D261" t="s">
        <v>308</v>
      </c>
    </row>
    <row r="262" spans="1:4" x14ac:dyDescent="0.2">
      <c r="A262" t="s">
        <v>47</v>
      </c>
      <c r="B262" t="s">
        <v>66</v>
      </c>
      <c r="C262">
        <v>1</v>
      </c>
      <c r="D262" t="s">
        <v>308</v>
      </c>
    </row>
    <row r="263" spans="1:4" x14ac:dyDescent="0.2">
      <c r="A263" t="s">
        <v>47</v>
      </c>
      <c r="B263" t="s">
        <v>75</v>
      </c>
      <c r="C263">
        <v>1</v>
      </c>
      <c r="D263" t="s">
        <v>308</v>
      </c>
    </row>
    <row r="264" spans="1:4" x14ac:dyDescent="0.2">
      <c r="A264" t="s">
        <v>47</v>
      </c>
      <c r="B264" t="s">
        <v>35</v>
      </c>
      <c r="C264">
        <v>1</v>
      </c>
      <c r="D264" t="s">
        <v>308</v>
      </c>
    </row>
    <row r="265" spans="1:4" x14ac:dyDescent="0.2">
      <c r="A265" t="s">
        <v>47</v>
      </c>
      <c r="B265" t="s">
        <v>53</v>
      </c>
      <c r="C265">
        <v>1</v>
      </c>
      <c r="D265" t="s">
        <v>308</v>
      </c>
    </row>
    <row r="266" spans="1:4" x14ac:dyDescent="0.2">
      <c r="A266" t="s">
        <v>47</v>
      </c>
      <c r="B266" t="s">
        <v>186</v>
      </c>
      <c r="C266">
        <v>1</v>
      </c>
      <c r="D266" t="s">
        <v>308</v>
      </c>
    </row>
    <row r="267" spans="1:4" x14ac:dyDescent="0.2">
      <c r="A267" t="s">
        <v>47</v>
      </c>
      <c r="B267" t="s">
        <v>177</v>
      </c>
      <c r="C267">
        <v>1</v>
      </c>
      <c r="D267" t="s">
        <v>308</v>
      </c>
    </row>
    <row r="268" spans="1:4" x14ac:dyDescent="0.2">
      <c r="A268" t="s">
        <v>47</v>
      </c>
      <c r="B268" t="s">
        <v>175</v>
      </c>
      <c r="C268">
        <v>1</v>
      </c>
      <c r="D268" t="s">
        <v>308</v>
      </c>
    </row>
    <row r="269" spans="1:4" x14ac:dyDescent="0.2">
      <c r="A269" t="s">
        <v>47</v>
      </c>
      <c r="B269" t="s">
        <v>17</v>
      </c>
      <c r="C269">
        <v>1</v>
      </c>
      <c r="D269" t="s">
        <v>308</v>
      </c>
    </row>
    <row r="270" spans="1:4" x14ac:dyDescent="0.2">
      <c r="A270" t="s">
        <v>60</v>
      </c>
      <c r="B270" t="s">
        <v>38</v>
      </c>
      <c r="C270">
        <v>1</v>
      </c>
      <c r="D270" t="s">
        <v>308</v>
      </c>
    </row>
    <row r="271" spans="1:4" x14ac:dyDescent="0.2">
      <c r="A271" t="s">
        <v>60</v>
      </c>
      <c r="B271" t="s">
        <v>61</v>
      </c>
      <c r="C271">
        <v>1</v>
      </c>
      <c r="D271" t="s">
        <v>307</v>
      </c>
    </row>
    <row r="272" spans="1:4" x14ac:dyDescent="0.2">
      <c r="A272" t="s">
        <v>60</v>
      </c>
      <c r="B272" t="s">
        <v>95</v>
      </c>
      <c r="C272">
        <v>1</v>
      </c>
      <c r="D272" t="s">
        <v>308</v>
      </c>
    </row>
    <row r="273" spans="1:4" x14ac:dyDescent="0.2">
      <c r="A273" t="s">
        <v>60</v>
      </c>
      <c r="B273" t="s">
        <v>120</v>
      </c>
      <c r="C273">
        <v>1</v>
      </c>
      <c r="D273" t="s">
        <v>308</v>
      </c>
    </row>
    <row r="274" spans="1:4" x14ac:dyDescent="0.2">
      <c r="A274" t="s">
        <v>60</v>
      </c>
      <c r="B274" t="s">
        <v>32</v>
      </c>
      <c r="C274">
        <v>1</v>
      </c>
      <c r="D274" t="s">
        <v>307</v>
      </c>
    </row>
    <row r="275" spans="1:4" x14ac:dyDescent="0.2">
      <c r="A275" t="s">
        <v>60</v>
      </c>
      <c r="B275" t="s">
        <v>59</v>
      </c>
      <c r="C275">
        <v>1</v>
      </c>
      <c r="D275" t="s">
        <v>308</v>
      </c>
    </row>
    <row r="276" spans="1:4" x14ac:dyDescent="0.2">
      <c r="A276" t="s">
        <v>60</v>
      </c>
      <c r="B276" t="s">
        <v>65</v>
      </c>
      <c r="C276">
        <v>1</v>
      </c>
      <c r="D276" t="s">
        <v>308</v>
      </c>
    </row>
    <row r="277" spans="1:4" x14ac:dyDescent="0.2">
      <c r="A277" t="s">
        <v>60</v>
      </c>
      <c r="B277" t="s">
        <v>116</v>
      </c>
      <c r="C277">
        <v>1</v>
      </c>
      <c r="D277" t="s">
        <v>308</v>
      </c>
    </row>
    <row r="278" spans="1:4" x14ac:dyDescent="0.2">
      <c r="A278" t="s">
        <v>37</v>
      </c>
      <c r="B278" t="s">
        <v>126</v>
      </c>
      <c r="C278">
        <v>1</v>
      </c>
      <c r="D278" t="s">
        <v>309</v>
      </c>
    </row>
    <row r="279" spans="1:4" x14ac:dyDescent="0.2">
      <c r="A279" t="s">
        <v>37</v>
      </c>
      <c r="B279" t="s">
        <v>38</v>
      </c>
      <c r="C279">
        <v>1</v>
      </c>
      <c r="D279" t="s">
        <v>309</v>
      </c>
    </row>
    <row r="280" spans="1:4" x14ac:dyDescent="0.2">
      <c r="A280" t="s">
        <v>37</v>
      </c>
      <c r="B280" t="s">
        <v>37</v>
      </c>
      <c r="C280">
        <v>1</v>
      </c>
      <c r="D280" t="s">
        <v>307</v>
      </c>
    </row>
    <row r="281" spans="1:4" x14ac:dyDescent="0.2">
      <c r="A281" t="s">
        <v>37</v>
      </c>
      <c r="B281" t="s">
        <v>95</v>
      </c>
      <c r="C281">
        <v>1</v>
      </c>
      <c r="D281" t="s">
        <v>309</v>
      </c>
    </row>
    <row r="282" spans="1:4" x14ac:dyDescent="0.2">
      <c r="A282" t="s">
        <v>37</v>
      </c>
      <c r="B282" t="s">
        <v>93</v>
      </c>
      <c r="C282">
        <v>1</v>
      </c>
      <c r="D282" t="s">
        <v>309</v>
      </c>
    </row>
    <row r="283" spans="1:4" x14ac:dyDescent="0.2">
      <c r="A283" t="s">
        <v>37</v>
      </c>
      <c r="B283" t="s">
        <v>79</v>
      </c>
      <c r="C283">
        <v>1</v>
      </c>
      <c r="D283" t="s">
        <v>309</v>
      </c>
    </row>
    <row r="284" spans="1:4" x14ac:dyDescent="0.2">
      <c r="A284" t="s">
        <v>37</v>
      </c>
      <c r="B284" t="s">
        <v>163</v>
      </c>
      <c r="C284">
        <v>1</v>
      </c>
      <c r="D284" t="s">
        <v>309</v>
      </c>
    </row>
    <row r="285" spans="1:4" x14ac:dyDescent="0.2">
      <c r="A285" t="s">
        <v>37</v>
      </c>
      <c r="B285" t="s">
        <v>125</v>
      </c>
      <c r="C285">
        <v>1</v>
      </c>
      <c r="D285" t="s">
        <v>309</v>
      </c>
    </row>
    <row r="286" spans="1:4" x14ac:dyDescent="0.2">
      <c r="A286" t="s">
        <v>37</v>
      </c>
      <c r="B286" t="s">
        <v>111</v>
      </c>
      <c r="C286">
        <v>1</v>
      </c>
      <c r="D286" t="s">
        <v>309</v>
      </c>
    </row>
    <row r="287" spans="1:4" x14ac:dyDescent="0.2">
      <c r="A287" t="s">
        <v>37</v>
      </c>
      <c r="B287" t="s">
        <v>124</v>
      </c>
      <c r="C287">
        <v>1</v>
      </c>
      <c r="D287" t="s">
        <v>309</v>
      </c>
    </row>
    <row r="288" spans="1:4" x14ac:dyDescent="0.2">
      <c r="A288" t="s">
        <v>37</v>
      </c>
      <c r="B288" t="s">
        <v>58</v>
      </c>
      <c r="C288">
        <v>1</v>
      </c>
      <c r="D288" t="s">
        <v>309</v>
      </c>
    </row>
    <row r="289" spans="1:4" x14ac:dyDescent="0.2">
      <c r="A289" t="s">
        <v>37</v>
      </c>
      <c r="B289" t="s">
        <v>90</v>
      </c>
      <c r="C289">
        <v>1</v>
      </c>
      <c r="D289" t="s">
        <v>309</v>
      </c>
    </row>
    <row r="290" spans="1:4" x14ac:dyDescent="0.2">
      <c r="A290" t="s">
        <v>37</v>
      </c>
      <c r="B290" t="s">
        <v>114</v>
      </c>
      <c r="C290">
        <v>1</v>
      </c>
      <c r="D290" t="s">
        <v>309</v>
      </c>
    </row>
    <row r="291" spans="1:4" x14ac:dyDescent="0.2">
      <c r="A291" t="s">
        <v>37</v>
      </c>
      <c r="B291" t="s">
        <v>28</v>
      </c>
      <c r="C291">
        <v>1</v>
      </c>
      <c r="D291" t="s">
        <v>309</v>
      </c>
    </row>
    <row r="292" spans="1:4" x14ac:dyDescent="0.2">
      <c r="A292" t="s">
        <v>37</v>
      </c>
      <c r="B292" t="s">
        <v>104</v>
      </c>
      <c r="C292">
        <v>1</v>
      </c>
      <c r="D292" t="s">
        <v>309</v>
      </c>
    </row>
    <row r="293" spans="1:4" x14ac:dyDescent="0.2">
      <c r="A293" t="s">
        <v>37</v>
      </c>
      <c r="B293" t="s">
        <v>107</v>
      </c>
      <c r="C293">
        <v>1</v>
      </c>
      <c r="D293" t="s">
        <v>309</v>
      </c>
    </row>
    <row r="294" spans="1:4" x14ac:dyDescent="0.2">
      <c r="A294" t="s">
        <v>37</v>
      </c>
      <c r="B294" t="s">
        <v>193</v>
      </c>
      <c r="C294">
        <v>1</v>
      </c>
      <c r="D294" t="s">
        <v>309</v>
      </c>
    </row>
    <row r="295" spans="1:4" x14ac:dyDescent="0.2">
      <c r="A295" t="s">
        <v>37</v>
      </c>
      <c r="B295" t="s">
        <v>102</v>
      </c>
      <c r="C295">
        <v>1</v>
      </c>
      <c r="D295" t="s">
        <v>309</v>
      </c>
    </row>
    <row r="296" spans="1:4" x14ac:dyDescent="0.2">
      <c r="A296" t="s">
        <v>37</v>
      </c>
      <c r="B296" t="s">
        <v>89</v>
      </c>
      <c r="C296">
        <v>1</v>
      </c>
      <c r="D296" t="s">
        <v>309</v>
      </c>
    </row>
    <row r="297" spans="1:4" x14ac:dyDescent="0.2">
      <c r="A297" t="s">
        <v>37</v>
      </c>
      <c r="B297" t="s">
        <v>128</v>
      </c>
      <c r="C297">
        <v>1</v>
      </c>
      <c r="D297" t="s">
        <v>309</v>
      </c>
    </row>
    <row r="298" spans="1:4" x14ac:dyDescent="0.2">
      <c r="A298" t="s">
        <v>37</v>
      </c>
      <c r="B298" t="s">
        <v>87</v>
      </c>
      <c r="C298">
        <v>1</v>
      </c>
      <c r="D298" t="s">
        <v>309</v>
      </c>
    </row>
    <row r="299" spans="1:4" x14ac:dyDescent="0.2">
      <c r="A299" t="s">
        <v>37</v>
      </c>
      <c r="B299" t="s">
        <v>119</v>
      </c>
      <c r="C299">
        <v>1</v>
      </c>
      <c r="D299" t="s">
        <v>309</v>
      </c>
    </row>
    <row r="300" spans="1:4" x14ac:dyDescent="0.2">
      <c r="A300" t="s">
        <v>37</v>
      </c>
      <c r="B300" t="s">
        <v>118</v>
      </c>
      <c r="C300">
        <v>1</v>
      </c>
      <c r="D300" t="s">
        <v>309</v>
      </c>
    </row>
    <row r="301" spans="1:4" x14ac:dyDescent="0.2">
      <c r="A301" t="s">
        <v>37</v>
      </c>
      <c r="B301" t="s">
        <v>127</v>
      </c>
      <c r="C301">
        <v>1</v>
      </c>
      <c r="D301" t="s">
        <v>309</v>
      </c>
    </row>
    <row r="302" spans="1:4" x14ac:dyDescent="0.2">
      <c r="A302" t="s">
        <v>37</v>
      </c>
      <c r="B302" t="s">
        <v>27</v>
      </c>
      <c r="C302">
        <v>1</v>
      </c>
      <c r="D302" t="s">
        <v>309</v>
      </c>
    </row>
    <row r="303" spans="1:4" x14ac:dyDescent="0.2">
      <c r="A303" t="s">
        <v>37</v>
      </c>
      <c r="B303" t="s">
        <v>73</v>
      </c>
      <c r="C303">
        <v>1</v>
      </c>
      <c r="D303" t="s">
        <v>309</v>
      </c>
    </row>
    <row r="304" spans="1:4" x14ac:dyDescent="0.2">
      <c r="A304" t="s">
        <v>37</v>
      </c>
      <c r="B304" t="s">
        <v>59</v>
      </c>
      <c r="C304">
        <v>1</v>
      </c>
      <c r="D304" t="s">
        <v>307</v>
      </c>
    </row>
    <row r="305" spans="1:4" x14ac:dyDescent="0.2">
      <c r="A305" t="s">
        <v>37</v>
      </c>
      <c r="B305" t="s">
        <v>66</v>
      </c>
      <c r="C305">
        <v>1</v>
      </c>
      <c r="D305" t="s">
        <v>309</v>
      </c>
    </row>
    <row r="306" spans="1:4" x14ac:dyDescent="0.2">
      <c r="A306" t="s">
        <v>37</v>
      </c>
      <c r="B306" t="s">
        <v>75</v>
      </c>
      <c r="C306">
        <v>1</v>
      </c>
      <c r="D306" t="s">
        <v>309</v>
      </c>
    </row>
    <row r="307" spans="1:4" x14ac:dyDescent="0.2">
      <c r="A307" t="s">
        <v>37</v>
      </c>
      <c r="B307" t="s">
        <v>18</v>
      </c>
      <c r="C307">
        <v>1</v>
      </c>
      <c r="D307" t="s">
        <v>309</v>
      </c>
    </row>
    <row r="308" spans="1:4" x14ac:dyDescent="0.2">
      <c r="A308" t="s">
        <v>37</v>
      </c>
      <c r="B308" t="s">
        <v>94</v>
      </c>
      <c r="C308">
        <v>1</v>
      </c>
      <c r="D308" t="s">
        <v>309</v>
      </c>
    </row>
    <row r="309" spans="1:4" x14ac:dyDescent="0.2">
      <c r="A309" t="s">
        <v>37</v>
      </c>
      <c r="B309" t="s">
        <v>63</v>
      </c>
      <c r="C309">
        <v>1</v>
      </c>
      <c r="D309" t="s">
        <v>309</v>
      </c>
    </row>
    <row r="310" spans="1:4" x14ac:dyDescent="0.2">
      <c r="A310" t="s">
        <v>37</v>
      </c>
      <c r="B310" t="s">
        <v>177</v>
      </c>
      <c r="C310">
        <v>1</v>
      </c>
      <c r="D310" t="s">
        <v>309</v>
      </c>
    </row>
    <row r="311" spans="1:4" x14ac:dyDescent="0.2">
      <c r="A311" t="s">
        <v>64</v>
      </c>
      <c r="B311" t="s">
        <v>64</v>
      </c>
      <c r="C311">
        <v>1</v>
      </c>
      <c r="D311" t="s">
        <v>307</v>
      </c>
    </row>
    <row r="312" spans="1:4" x14ac:dyDescent="0.2">
      <c r="A312" t="s">
        <v>187</v>
      </c>
      <c r="B312" t="s">
        <v>81</v>
      </c>
      <c r="C312">
        <v>1</v>
      </c>
      <c r="D312" t="s">
        <v>307</v>
      </c>
    </row>
    <row r="313" spans="1:4" x14ac:dyDescent="0.2">
      <c r="A313" t="s">
        <v>187</v>
      </c>
      <c r="B313" t="s">
        <v>187</v>
      </c>
      <c r="C313">
        <v>1</v>
      </c>
      <c r="D313" t="s">
        <v>307</v>
      </c>
    </row>
    <row r="314" spans="1:4" x14ac:dyDescent="0.2">
      <c r="A314" t="s">
        <v>187</v>
      </c>
      <c r="B314" t="s">
        <v>30</v>
      </c>
      <c r="C314">
        <v>1</v>
      </c>
      <c r="D314" t="s">
        <v>307</v>
      </c>
    </row>
    <row r="315" spans="1:4" x14ac:dyDescent="0.2">
      <c r="A315" t="s">
        <v>187</v>
      </c>
      <c r="B315" t="s">
        <v>97</v>
      </c>
      <c r="C315">
        <v>1</v>
      </c>
      <c r="D315" t="s">
        <v>307</v>
      </c>
    </row>
    <row r="316" spans="1:4" x14ac:dyDescent="0.2">
      <c r="A316" t="s">
        <v>187</v>
      </c>
      <c r="B316" t="s">
        <v>91</v>
      </c>
      <c r="C316">
        <v>1</v>
      </c>
      <c r="D316" t="s">
        <v>307</v>
      </c>
    </row>
    <row r="317" spans="1:4" x14ac:dyDescent="0.2">
      <c r="A317" t="s">
        <v>187</v>
      </c>
      <c r="B317" t="s">
        <v>95</v>
      </c>
      <c r="C317">
        <v>1</v>
      </c>
      <c r="D317" t="s">
        <v>309</v>
      </c>
    </row>
    <row r="318" spans="1:4" x14ac:dyDescent="0.2">
      <c r="A318" t="s">
        <v>187</v>
      </c>
      <c r="B318" t="s">
        <v>107</v>
      </c>
      <c r="C318">
        <v>1</v>
      </c>
      <c r="D318" t="s">
        <v>308</v>
      </c>
    </row>
    <row r="319" spans="1:4" x14ac:dyDescent="0.2">
      <c r="A319" t="s">
        <v>187</v>
      </c>
      <c r="B319" t="s">
        <v>85</v>
      </c>
      <c r="C319">
        <v>1</v>
      </c>
      <c r="D319" t="s">
        <v>307</v>
      </c>
    </row>
    <row r="320" spans="1:4" x14ac:dyDescent="0.2">
      <c r="A320" t="s">
        <v>187</v>
      </c>
      <c r="B320" t="s">
        <v>33</v>
      </c>
      <c r="C320">
        <v>1</v>
      </c>
      <c r="D320" t="s">
        <v>307</v>
      </c>
    </row>
    <row r="321" spans="1:4" x14ac:dyDescent="0.2">
      <c r="A321" t="s">
        <v>187</v>
      </c>
      <c r="B321" t="s">
        <v>74</v>
      </c>
      <c r="C321">
        <v>1</v>
      </c>
      <c r="D321" t="s">
        <v>307</v>
      </c>
    </row>
    <row r="322" spans="1:4" x14ac:dyDescent="0.2">
      <c r="A322" t="s">
        <v>187</v>
      </c>
      <c r="B322" t="s">
        <v>59</v>
      </c>
      <c r="C322">
        <v>1</v>
      </c>
      <c r="D322" t="s">
        <v>307</v>
      </c>
    </row>
    <row r="323" spans="1:4" x14ac:dyDescent="0.2">
      <c r="A323" t="s">
        <v>187</v>
      </c>
      <c r="B323" t="s">
        <v>68</v>
      </c>
      <c r="C323">
        <v>1</v>
      </c>
      <c r="D323" t="s">
        <v>308</v>
      </c>
    </row>
    <row r="324" spans="1:4" x14ac:dyDescent="0.2">
      <c r="A324" t="s">
        <v>187</v>
      </c>
      <c r="B324" t="s">
        <v>66</v>
      </c>
      <c r="C324">
        <v>1</v>
      </c>
      <c r="D324" t="s">
        <v>308</v>
      </c>
    </row>
    <row r="325" spans="1:4" x14ac:dyDescent="0.2">
      <c r="A325" t="s">
        <v>187</v>
      </c>
      <c r="B325" t="s">
        <v>110</v>
      </c>
      <c r="C325">
        <v>1</v>
      </c>
      <c r="D325" t="s">
        <v>308</v>
      </c>
    </row>
    <row r="326" spans="1:4" x14ac:dyDescent="0.2">
      <c r="A326" t="s">
        <v>187</v>
      </c>
      <c r="B326" t="s">
        <v>53</v>
      </c>
      <c r="C326">
        <v>1</v>
      </c>
      <c r="D326" t="s">
        <v>308</v>
      </c>
    </row>
    <row r="327" spans="1:4" x14ac:dyDescent="0.2">
      <c r="A327" t="s">
        <v>187</v>
      </c>
      <c r="B327" t="s">
        <v>69</v>
      </c>
      <c r="C327">
        <v>1</v>
      </c>
      <c r="D327" t="s">
        <v>307</v>
      </c>
    </row>
    <row r="328" spans="1:4" x14ac:dyDescent="0.2">
      <c r="A328" t="s">
        <v>187</v>
      </c>
      <c r="B328" t="s">
        <v>48</v>
      </c>
      <c r="C328">
        <v>1</v>
      </c>
      <c r="D328" t="s">
        <v>307</v>
      </c>
    </row>
    <row r="329" spans="1:4" x14ac:dyDescent="0.2">
      <c r="A329" t="s">
        <v>187</v>
      </c>
      <c r="B329" t="s">
        <v>17</v>
      </c>
      <c r="C329">
        <v>1</v>
      </c>
      <c r="D329" t="s">
        <v>308</v>
      </c>
    </row>
    <row r="330" spans="1:4" x14ac:dyDescent="0.2">
      <c r="A330" t="s">
        <v>92</v>
      </c>
      <c r="B330" t="s">
        <v>187</v>
      </c>
      <c r="C330">
        <v>1</v>
      </c>
      <c r="D330" t="s">
        <v>307</v>
      </c>
    </row>
    <row r="331" spans="1:4" x14ac:dyDescent="0.2">
      <c r="A331" t="s">
        <v>92</v>
      </c>
      <c r="B331" t="s">
        <v>90</v>
      </c>
      <c r="C331">
        <v>1</v>
      </c>
      <c r="D331" t="s">
        <v>307</v>
      </c>
    </row>
    <row r="332" spans="1:4" x14ac:dyDescent="0.2">
      <c r="A332" t="s">
        <v>61</v>
      </c>
      <c r="B332" t="s">
        <v>61</v>
      </c>
      <c r="C332">
        <v>1</v>
      </c>
      <c r="D332" t="s">
        <v>307</v>
      </c>
    </row>
    <row r="333" spans="1:4" x14ac:dyDescent="0.2">
      <c r="A333" t="s">
        <v>61</v>
      </c>
      <c r="B333" t="s">
        <v>132</v>
      </c>
      <c r="C333">
        <v>1</v>
      </c>
      <c r="D333" t="s">
        <v>307</v>
      </c>
    </row>
    <row r="334" spans="1:4" x14ac:dyDescent="0.2">
      <c r="A334" t="s">
        <v>97</v>
      </c>
      <c r="B334" t="s">
        <v>42</v>
      </c>
      <c r="C334">
        <v>1</v>
      </c>
      <c r="D334" t="s">
        <v>307</v>
      </c>
    </row>
    <row r="335" spans="1:4" x14ac:dyDescent="0.2">
      <c r="A335" t="s">
        <v>97</v>
      </c>
      <c r="B335" t="s">
        <v>125</v>
      </c>
      <c r="C335">
        <v>1</v>
      </c>
      <c r="D335" t="s">
        <v>308</v>
      </c>
    </row>
    <row r="336" spans="1:4" x14ac:dyDescent="0.2">
      <c r="A336" t="s">
        <v>97</v>
      </c>
      <c r="B336" t="s">
        <v>45</v>
      </c>
      <c r="C336">
        <v>1</v>
      </c>
      <c r="D336" t="s">
        <v>308</v>
      </c>
    </row>
    <row r="337" spans="1:4" x14ac:dyDescent="0.2">
      <c r="A337" t="s">
        <v>36</v>
      </c>
      <c r="B337" t="s">
        <v>81</v>
      </c>
      <c r="C337">
        <v>1</v>
      </c>
      <c r="D337" t="s">
        <v>308</v>
      </c>
    </row>
    <row r="338" spans="1:4" x14ac:dyDescent="0.2">
      <c r="A338" t="s">
        <v>36</v>
      </c>
      <c r="B338" t="s">
        <v>126</v>
      </c>
      <c r="C338">
        <v>1</v>
      </c>
      <c r="D338" t="s">
        <v>307</v>
      </c>
    </row>
    <row r="339" spans="1:4" x14ac:dyDescent="0.2">
      <c r="A339" t="s">
        <v>36</v>
      </c>
      <c r="B339" t="s">
        <v>38</v>
      </c>
      <c r="C339">
        <v>1</v>
      </c>
      <c r="D339" t="s">
        <v>308</v>
      </c>
    </row>
    <row r="340" spans="1:4" x14ac:dyDescent="0.2">
      <c r="A340" t="s">
        <v>36</v>
      </c>
      <c r="B340" t="s">
        <v>97</v>
      </c>
      <c r="C340">
        <v>1</v>
      </c>
      <c r="D340" t="s">
        <v>308</v>
      </c>
    </row>
    <row r="341" spans="1:4" x14ac:dyDescent="0.2">
      <c r="A341" t="s">
        <v>36</v>
      </c>
      <c r="B341" t="s">
        <v>36</v>
      </c>
      <c r="C341">
        <v>1</v>
      </c>
      <c r="D341" t="s">
        <v>307</v>
      </c>
    </row>
    <row r="342" spans="1:4" x14ac:dyDescent="0.2">
      <c r="A342" t="s">
        <v>36</v>
      </c>
      <c r="B342" t="s">
        <v>91</v>
      </c>
      <c r="C342">
        <v>1</v>
      </c>
      <c r="D342" t="s">
        <v>308</v>
      </c>
    </row>
    <row r="343" spans="1:4" x14ac:dyDescent="0.2">
      <c r="A343" t="s">
        <v>36</v>
      </c>
      <c r="B343" t="s">
        <v>95</v>
      </c>
      <c r="C343">
        <v>1</v>
      </c>
      <c r="D343" t="s">
        <v>307</v>
      </c>
    </row>
    <row r="344" spans="1:4" x14ac:dyDescent="0.2">
      <c r="A344" t="s">
        <v>36</v>
      </c>
      <c r="B344" t="s">
        <v>85</v>
      </c>
      <c r="C344">
        <v>1</v>
      </c>
      <c r="D344" t="s">
        <v>308</v>
      </c>
    </row>
    <row r="345" spans="1:4" x14ac:dyDescent="0.2">
      <c r="A345" t="s">
        <v>36</v>
      </c>
      <c r="B345" t="s">
        <v>119</v>
      </c>
      <c r="C345">
        <v>1</v>
      </c>
      <c r="D345" t="s">
        <v>308</v>
      </c>
    </row>
    <row r="346" spans="1:4" x14ac:dyDescent="0.2">
      <c r="A346" t="s">
        <v>36</v>
      </c>
      <c r="B346" t="s">
        <v>212</v>
      </c>
      <c r="C346">
        <v>1</v>
      </c>
      <c r="D346" t="s">
        <v>307</v>
      </c>
    </row>
    <row r="347" spans="1:4" x14ac:dyDescent="0.2">
      <c r="A347" t="s">
        <v>36</v>
      </c>
      <c r="B347" t="s">
        <v>76</v>
      </c>
      <c r="C347">
        <v>1</v>
      </c>
      <c r="D347" t="s">
        <v>307</v>
      </c>
    </row>
    <row r="348" spans="1:4" x14ac:dyDescent="0.2">
      <c r="A348" t="s">
        <v>36</v>
      </c>
      <c r="B348" t="s">
        <v>45</v>
      </c>
      <c r="C348">
        <v>1</v>
      </c>
      <c r="D348" t="s">
        <v>307</v>
      </c>
    </row>
    <row r="349" spans="1:4" x14ac:dyDescent="0.2">
      <c r="A349" t="s">
        <v>36</v>
      </c>
      <c r="B349" t="s">
        <v>132</v>
      </c>
      <c r="C349">
        <v>1</v>
      </c>
      <c r="D349" t="s">
        <v>307</v>
      </c>
    </row>
    <row r="350" spans="1:4" x14ac:dyDescent="0.2">
      <c r="A350" t="s">
        <v>36</v>
      </c>
      <c r="B350" t="s">
        <v>50</v>
      </c>
      <c r="C350">
        <v>1</v>
      </c>
      <c r="D350" t="s">
        <v>307</v>
      </c>
    </row>
    <row r="351" spans="1:4" x14ac:dyDescent="0.2">
      <c r="A351" t="s">
        <v>41</v>
      </c>
      <c r="B351" t="s">
        <v>89</v>
      </c>
      <c r="C351">
        <v>1</v>
      </c>
      <c r="D351" t="s">
        <v>308</v>
      </c>
    </row>
    <row r="352" spans="1:4" x14ac:dyDescent="0.2">
      <c r="A352" t="s">
        <v>91</v>
      </c>
      <c r="B352" t="s">
        <v>85</v>
      </c>
      <c r="C352">
        <v>1</v>
      </c>
      <c r="D352" t="s">
        <v>308</v>
      </c>
    </row>
    <row r="353" spans="1:4" x14ac:dyDescent="0.2">
      <c r="A353" t="s">
        <v>91</v>
      </c>
      <c r="B353" t="s">
        <v>83</v>
      </c>
      <c r="C353">
        <v>1</v>
      </c>
      <c r="D353" t="s">
        <v>307</v>
      </c>
    </row>
    <row r="354" spans="1:4" x14ac:dyDescent="0.2">
      <c r="A354" t="s">
        <v>91</v>
      </c>
      <c r="B354" t="s">
        <v>119</v>
      </c>
      <c r="C354">
        <v>1</v>
      </c>
      <c r="D354" t="s">
        <v>308</v>
      </c>
    </row>
    <row r="355" spans="1:4" x14ac:dyDescent="0.2">
      <c r="A355" t="s">
        <v>91</v>
      </c>
      <c r="B355" t="s">
        <v>33</v>
      </c>
      <c r="C355">
        <v>1</v>
      </c>
      <c r="D355" t="s">
        <v>307</v>
      </c>
    </row>
    <row r="356" spans="1:4" x14ac:dyDescent="0.2">
      <c r="A356" t="s">
        <v>91</v>
      </c>
      <c r="B356" t="s">
        <v>32</v>
      </c>
      <c r="C356">
        <v>1</v>
      </c>
      <c r="D356" t="s">
        <v>307</v>
      </c>
    </row>
    <row r="357" spans="1:4" x14ac:dyDescent="0.2">
      <c r="A357" t="s">
        <v>91</v>
      </c>
      <c r="B357" t="s">
        <v>189</v>
      </c>
      <c r="C357">
        <v>1</v>
      </c>
      <c r="D357" t="s">
        <v>307</v>
      </c>
    </row>
    <row r="358" spans="1:4" x14ac:dyDescent="0.2">
      <c r="A358" t="s">
        <v>95</v>
      </c>
      <c r="B358" t="s">
        <v>126</v>
      </c>
      <c r="C358">
        <v>1</v>
      </c>
      <c r="D358" t="s">
        <v>309</v>
      </c>
    </row>
    <row r="359" spans="1:4" x14ac:dyDescent="0.2">
      <c r="A359" t="s">
        <v>95</v>
      </c>
      <c r="B359" t="s">
        <v>96</v>
      </c>
      <c r="C359">
        <v>1</v>
      </c>
      <c r="D359" t="s">
        <v>307</v>
      </c>
    </row>
    <row r="360" spans="1:4" x14ac:dyDescent="0.2">
      <c r="A360" t="s">
        <v>95</v>
      </c>
      <c r="B360" t="s">
        <v>38</v>
      </c>
      <c r="C360">
        <v>1</v>
      </c>
      <c r="D360" t="s">
        <v>309</v>
      </c>
    </row>
    <row r="361" spans="1:4" x14ac:dyDescent="0.2">
      <c r="A361" t="s">
        <v>95</v>
      </c>
      <c r="B361" t="s">
        <v>111</v>
      </c>
      <c r="C361">
        <v>1</v>
      </c>
      <c r="D361" t="s">
        <v>309</v>
      </c>
    </row>
    <row r="362" spans="1:4" x14ac:dyDescent="0.2">
      <c r="A362" t="s">
        <v>95</v>
      </c>
      <c r="B362" t="s">
        <v>124</v>
      </c>
      <c r="C362">
        <v>1</v>
      </c>
      <c r="D362" t="s">
        <v>309</v>
      </c>
    </row>
    <row r="363" spans="1:4" x14ac:dyDescent="0.2">
      <c r="A363" t="s">
        <v>95</v>
      </c>
      <c r="B363" t="s">
        <v>90</v>
      </c>
      <c r="C363">
        <v>1</v>
      </c>
      <c r="D363" t="s">
        <v>309</v>
      </c>
    </row>
    <row r="364" spans="1:4" x14ac:dyDescent="0.2">
      <c r="A364" t="s">
        <v>95</v>
      </c>
      <c r="B364" t="s">
        <v>104</v>
      </c>
      <c r="C364">
        <v>1</v>
      </c>
      <c r="D364" t="s">
        <v>309</v>
      </c>
    </row>
    <row r="365" spans="1:4" x14ac:dyDescent="0.2">
      <c r="A365" t="s">
        <v>95</v>
      </c>
      <c r="B365" t="s">
        <v>89</v>
      </c>
      <c r="C365">
        <v>1</v>
      </c>
      <c r="D365" t="s">
        <v>309</v>
      </c>
    </row>
    <row r="366" spans="1:4" x14ac:dyDescent="0.2">
      <c r="A366" t="s">
        <v>95</v>
      </c>
      <c r="B366" t="s">
        <v>128</v>
      </c>
      <c r="C366">
        <v>1</v>
      </c>
      <c r="D366" t="s">
        <v>309</v>
      </c>
    </row>
    <row r="367" spans="1:4" x14ac:dyDescent="0.2">
      <c r="A367" t="s">
        <v>95</v>
      </c>
      <c r="B367" t="s">
        <v>121</v>
      </c>
      <c r="C367">
        <v>1</v>
      </c>
      <c r="D367" t="s">
        <v>307</v>
      </c>
    </row>
    <row r="368" spans="1:4" x14ac:dyDescent="0.2">
      <c r="A368" t="s">
        <v>95</v>
      </c>
      <c r="B368" t="s">
        <v>119</v>
      </c>
      <c r="C368">
        <v>1</v>
      </c>
      <c r="D368" t="s">
        <v>309</v>
      </c>
    </row>
    <row r="369" spans="1:4" x14ac:dyDescent="0.2">
      <c r="A369" t="s">
        <v>95</v>
      </c>
      <c r="B369" t="s">
        <v>67</v>
      </c>
      <c r="C369">
        <v>1</v>
      </c>
      <c r="D369" t="s">
        <v>308</v>
      </c>
    </row>
    <row r="370" spans="1:4" x14ac:dyDescent="0.2">
      <c r="A370" t="s">
        <v>95</v>
      </c>
      <c r="B370" t="s">
        <v>45</v>
      </c>
      <c r="C370">
        <v>1</v>
      </c>
      <c r="D370" t="s">
        <v>308</v>
      </c>
    </row>
    <row r="371" spans="1:4" x14ac:dyDescent="0.2">
      <c r="A371" t="s">
        <v>95</v>
      </c>
      <c r="B371" t="s">
        <v>75</v>
      </c>
      <c r="C371">
        <v>1</v>
      </c>
      <c r="D371" t="s">
        <v>309</v>
      </c>
    </row>
    <row r="372" spans="1:4" x14ac:dyDescent="0.2">
      <c r="A372" t="s">
        <v>95</v>
      </c>
      <c r="B372" t="s">
        <v>18</v>
      </c>
      <c r="C372">
        <v>1</v>
      </c>
      <c r="D372" t="s">
        <v>309</v>
      </c>
    </row>
    <row r="373" spans="1:4" x14ac:dyDescent="0.2">
      <c r="A373" t="s">
        <v>95</v>
      </c>
      <c r="B373" t="s">
        <v>116</v>
      </c>
      <c r="C373">
        <v>1</v>
      </c>
      <c r="D373" t="s">
        <v>309</v>
      </c>
    </row>
    <row r="374" spans="1:4" x14ac:dyDescent="0.2">
      <c r="A374" t="s">
        <v>95</v>
      </c>
      <c r="B374" t="s">
        <v>55</v>
      </c>
      <c r="C374">
        <v>1</v>
      </c>
      <c r="D374" t="s">
        <v>309</v>
      </c>
    </row>
    <row r="375" spans="1:4" x14ac:dyDescent="0.2">
      <c r="A375" t="s">
        <v>95</v>
      </c>
      <c r="B375" t="s">
        <v>34</v>
      </c>
      <c r="C375">
        <v>1</v>
      </c>
      <c r="D375" t="s">
        <v>309</v>
      </c>
    </row>
    <row r="376" spans="1:4" x14ac:dyDescent="0.2">
      <c r="A376" t="s">
        <v>95</v>
      </c>
      <c r="B376" t="s">
        <v>177</v>
      </c>
      <c r="C376">
        <v>1</v>
      </c>
      <c r="D376" t="s">
        <v>309</v>
      </c>
    </row>
    <row r="377" spans="1:4" x14ac:dyDescent="0.2">
      <c r="A377" t="s">
        <v>93</v>
      </c>
      <c r="B377" t="s">
        <v>96</v>
      </c>
      <c r="C377">
        <v>1</v>
      </c>
      <c r="D377" t="s">
        <v>308</v>
      </c>
    </row>
    <row r="378" spans="1:4" x14ac:dyDescent="0.2">
      <c r="A378" t="s">
        <v>93</v>
      </c>
      <c r="B378" t="s">
        <v>106</v>
      </c>
      <c r="C378">
        <v>1</v>
      </c>
      <c r="D378" t="s">
        <v>308</v>
      </c>
    </row>
    <row r="379" spans="1:4" x14ac:dyDescent="0.2">
      <c r="A379" t="s">
        <v>93</v>
      </c>
      <c r="B379" t="s">
        <v>18</v>
      </c>
      <c r="C379">
        <v>1</v>
      </c>
      <c r="D379" t="s">
        <v>309</v>
      </c>
    </row>
    <row r="380" spans="1:4" x14ac:dyDescent="0.2">
      <c r="A380" t="s">
        <v>93</v>
      </c>
      <c r="B380" t="s">
        <v>35</v>
      </c>
      <c r="C380">
        <v>1</v>
      </c>
      <c r="D380" t="s">
        <v>307</v>
      </c>
    </row>
    <row r="381" spans="1:4" x14ac:dyDescent="0.2">
      <c r="A381" t="s">
        <v>93</v>
      </c>
      <c r="B381" t="s">
        <v>189</v>
      </c>
      <c r="C381">
        <v>1</v>
      </c>
      <c r="D381" t="s">
        <v>307</v>
      </c>
    </row>
    <row r="382" spans="1:4" x14ac:dyDescent="0.2">
      <c r="A382" t="s">
        <v>79</v>
      </c>
      <c r="B382" t="s">
        <v>42</v>
      </c>
      <c r="C382">
        <v>1</v>
      </c>
      <c r="D382" t="s">
        <v>307</v>
      </c>
    </row>
    <row r="383" spans="1:4" x14ac:dyDescent="0.2">
      <c r="A383" t="s">
        <v>79</v>
      </c>
      <c r="B383" t="s">
        <v>126</v>
      </c>
      <c r="C383">
        <v>1</v>
      </c>
      <c r="D383" t="s">
        <v>309</v>
      </c>
    </row>
    <row r="384" spans="1:4" x14ac:dyDescent="0.2">
      <c r="A384" t="s">
        <v>79</v>
      </c>
      <c r="B384" t="s">
        <v>96</v>
      </c>
      <c r="C384">
        <v>1</v>
      </c>
      <c r="D384" t="s">
        <v>308</v>
      </c>
    </row>
    <row r="385" spans="1:4" x14ac:dyDescent="0.2">
      <c r="A385" t="s">
        <v>79</v>
      </c>
      <c r="B385" t="s">
        <v>38</v>
      </c>
      <c r="C385">
        <v>1</v>
      </c>
      <c r="D385" t="s">
        <v>309</v>
      </c>
    </row>
    <row r="386" spans="1:4" x14ac:dyDescent="0.2">
      <c r="A386" t="s">
        <v>79</v>
      </c>
      <c r="B386" t="s">
        <v>187</v>
      </c>
      <c r="C386">
        <v>1</v>
      </c>
      <c r="D386" t="s">
        <v>308</v>
      </c>
    </row>
    <row r="387" spans="1:4" x14ac:dyDescent="0.2">
      <c r="A387" t="s">
        <v>79</v>
      </c>
      <c r="B387" t="s">
        <v>95</v>
      </c>
      <c r="C387">
        <v>1</v>
      </c>
      <c r="D387" t="s">
        <v>309</v>
      </c>
    </row>
    <row r="388" spans="1:4" x14ac:dyDescent="0.2">
      <c r="A388" t="s">
        <v>79</v>
      </c>
      <c r="B388" t="s">
        <v>28</v>
      </c>
      <c r="C388">
        <v>1</v>
      </c>
      <c r="D388" t="s">
        <v>309</v>
      </c>
    </row>
    <row r="389" spans="1:4" x14ac:dyDescent="0.2">
      <c r="A389" t="s">
        <v>79</v>
      </c>
      <c r="B389" t="s">
        <v>106</v>
      </c>
      <c r="C389">
        <v>1</v>
      </c>
      <c r="D389" t="s">
        <v>308</v>
      </c>
    </row>
    <row r="390" spans="1:4" x14ac:dyDescent="0.2">
      <c r="A390" t="s">
        <v>79</v>
      </c>
      <c r="B390" t="s">
        <v>89</v>
      </c>
      <c r="C390">
        <v>1</v>
      </c>
      <c r="D390" t="s">
        <v>309</v>
      </c>
    </row>
    <row r="391" spans="1:4" x14ac:dyDescent="0.2">
      <c r="A391" t="s">
        <v>79</v>
      </c>
      <c r="B391" t="s">
        <v>128</v>
      </c>
      <c r="C391">
        <v>1</v>
      </c>
      <c r="D391" t="s">
        <v>309</v>
      </c>
    </row>
    <row r="392" spans="1:4" x14ac:dyDescent="0.2">
      <c r="A392" t="s">
        <v>79</v>
      </c>
      <c r="B392" t="s">
        <v>87</v>
      </c>
      <c r="C392">
        <v>1</v>
      </c>
      <c r="D392" t="s">
        <v>309</v>
      </c>
    </row>
    <row r="393" spans="1:4" x14ac:dyDescent="0.2">
      <c r="A393" t="s">
        <v>79</v>
      </c>
      <c r="B393" t="s">
        <v>62</v>
      </c>
      <c r="C393">
        <v>1</v>
      </c>
      <c r="D393" t="s">
        <v>308</v>
      </c>
    </row>
    <row r="394" spans="1:4" x14ac:dyDescent="0.2">
      <c r="A394" t="s">
        <v>79</v>
      </c>
      <c r="B394" t="s">
        <v>119</v>
      </c>
      <c r="C394">
        <v>1</v>
      </c>
      <c r="D394" t="s">
        <v>309</v>
      </c>
    </row>
    <row r="395" spans="1:4" x14ac:dyDescent="0.2">
      <c r="A395" t="s">
        <v>79</v>
      </c>
      <c r="B395" t="s">
        <v>118</v>
      </c>
      <c r="C395">
        <v>1</v>
      </c>
      <c r="D395" t="s">
        <v>309</v>
      </c>
    </row>
    <row r="396" spans="1:4" x14ac:dyDescent="0.2">
      <c r="A396" t="s">
        <v>79</v>
      </c>
      <c r="B396" t="s">
        <v>127</v>
      </c>
      <c r="C396">
        <v>1</v>
      </c>
      <c r="D396" t="s">
        <v>309</v>
      </c>
    </row>
    <row r="397" spans="1:4" x14ac:dyDescent="0.2">
      <c r="A397" t="s">
        <v>79</v>
      </c>
      <c r="B397" t="s">
        <v>73</v>
      </c>
      <c r="C397">
        <v>1</v>
      </c>
      <c r="D397" t="s">
        <v>309</v>
      </c>
    </row>
    <row r="398" spans="1:4" x14ac:dyDescent="0.2">
      <c r="A398" t="s">
        <v>79</v>
      </c>
      <c r="B398" t="s">
        <v>75</v>
      </c>
      <c r="C398">
        <v>1</v>
      </c>
      <c r="D398" t="s">
        <v>309</v>
      </c>
    </row>
    <row r="399" spans="1:4" x14ac:dyDescent="0.2">
      <c r="A399" t="s">
        <v>79</v>
      </c>
      <c r="B399" t="s">
        <v>18</v>
      </c>
      <c r="C399">
        <v>1</v>
      </c>
      <c r="D399" t="s">
        <v>309</v>
      </c>
    </row>
    <row r="400" spans="1:4" x14ac:dyDescent="0.2">
      <c r="A400" t="s">
        <v>79</v>
      </c>
      <c r="B400" t="s">
        <v>94</v>
      </c>
      <c r="C400">
        <v>1</v>
      </c>
      <c r="D400" t="s">
        <v>309</v>
      </c>
    </row>
    <row r="401" spans="1:4" x14ac:dyDescent="0.2">
      <c r="A401" t="s">
        <v>79</v>
      </c>
      <c r="B401" t="s">
        <v>116</v>
      </c>
      <c r="C401">
        <v>1</v>
      </c>
      <c r="D401" t="s">
        <v>309</v>
      </c>
    </row>
    <row r="402" spans="1:4" x14ac:dyDescent="0.2">
      <c r="A402" t="s">
        <v>79</v>
      </c>
      <c r="B402" t="s">
        <v>110</v>
      </c>
      <c r="C402">
        <v>1</v>
      </c>
      <c r="D402" t="s">
        <v>307</v>
      </c>
    </row>
    <row r="403" spans="1:4" x14ac:dyDescent="0.2">
      <c r="A403" t="s">
        <v>79</v>
      </c>
      <c r="B403" t="s">
        <v>55</v>
      </c>
      <c r="C403">
        <v>1</v>
      </c>
      <c r="D403" t="s">
        <v>309</v>
      </c>
    </row>
    <row r="404" spans="1:4" x14ac:dyDescent="0.2">
      <c r="A404" t="s">
        <v>163</v>
      </c>
      <c r="B404" t="s">
        <v>81</v>
      </c>
      <c r="C404">
        <v>1</v>
      </c>
      <c r="D404" t="s">
        <v>307</v>
      </c>
    </row>
    <row r="405" spans="1:4" x14ac:dyDescent="0.2">
      <c r="A405" t="s">
        <v>163</v>
      </c>
      <c r="B405" t="s">
        <v>126</v>
      </c>
      <c r="C405">
        <v>1</v>
      </c>
      <c r="D405" t="s">
        <v>309</v>
      </c>
    </row>
    <row r="406" spans="1:4" x14ac:dyDescent="0.2">
      <c r="A406" t="s">
        <v>163</v>
      </c>
      <c r="B406" t="s">
        <v>178</v>
      </c>
      <c r="C406">
        <v>1</v>
      </c>
      <c r="D406" t="s">
        <v>307</v>
      </c>
    </row>
    <row r="407" spans="1:4" x14ac:dyDescent="0.2">
      <c r="A407" t="s">
        <v>163</v>
      </c>
      <c r="B407" t="s">
        <v>38</v>
      </c>
      <c r="C407">
        <v>1</v>
      </c>
      <c r="D407" t="s">
        <v>309</v>
      </c>
    </row>
    <row r="408" spans="1:4" x14ac:dyDescent="0.2">
      <c r="A408" t="s">
        <v>163</v>
      </c>
      <c r="B408" t="s">
        <v>47</v>
      </c>
      <c r="C408">
        <v>1</v>
      </c>
      <c r="D408" t="s">
        <v>307</v>
      </c>
    </row>
    <row r="409" spans="1:4" x14ac:dyDescent="0.2">
      <c r="A409" t="s">
        <v>163</v>
      </c>
      <c r="B409" t="s">
        <v>60</v>
      </c>
      <c r="C409">
        <v>1</v>
      </c>
      <c r="D409" t="s">
        <v>307</v>
      </c>
    </row>
    <row r="410" spans="1:4" x14ac:dyDescent="0.2">
      <c r="A410" t="s">
        <v>163</v>
      </c>
      <c r="B410" t="s">
        <v>92</v>
      </c>
      <c r="C410">
        <v>1</v>
      </c>
      <c r="D410" t="s">
        <v>307</v>
      </c>
    </row>
    <row r="411" spans="1:4" x14ac:dyDescent="0.2">
      <c r="A411" t="s">
        <v>163</v>
      </c>
      <c r="B411" t="s">
        <v>61</v>
      </c>
      <c r="C411">
        <v>1</v>
      </c>
      <c r="D411" t="s">
        <v>307</v>
      </c>
    </row>
    <row r="412" spans="1:4" x14ac:dyDescent="0.2">
      <c r="A412" t="s">
        <v>163</v>
      </c>
      <c r="B412" t="s">
        <v>36</v>
      </c>
      <c r="C412">
        <v>1</v>
      </c>
      <c r="D412" t="s">
        <v>307</v>
      </c>
    </row>
    <row r="413" spans="1:4" x14ac:dyDescent="0.2">
      <c r="A413" t="s">
        <v>163</v>
      </c>
      <c r="B413" t="s">
        <v>91</v>
      </c>
      <c r="C413">
        <v>1</v>
      </c>
      <c r="D413" t="s">
        <v>307</v>
      </c>
    </row>
    <row r="414" spans="1:4" x14ac:dyDescent="0.2">
      <c r="A414" t="s">
        <v>163</v>
      </c>
      <c r="B414" t="s">
        <v>163</v>
      </c>
      <c r="C414">
        <v>1</v>
      </c>
      <c r="D414" t="s">
        <v>307</v>
      </c>
    </row>
    <row r="415" spans="1:4" x14ac:dyDescent="0.2">
      <c r="A415" t="s">
        <v>163</v>
      </c>
      <c r="B415" t="s">
        <v>85</v>
      </c>
      <c r="C415">
        <v>1</v>
      </c>
      <c r="D415" t="s">
        <v>307</v>
      </c>
    </row>
    <row r="416" spans="1:4" x14ac:dyDescent="0.2">
      <c r="A416" t="s">
        <v>163</v>
      </c>
      <c r="B416" t="s">
        <v>88</v>
      </c>
      <c r="C416">
        <v>1</v>
      </c>
      <c r="D416" t="s">
        <v>307</v>
      </c>
    </row>
    <row r="417" spans="1:4" x14ac:dyDescent="0.2">
      <c r="A417" t="s">
        <v>163</v>
      </c>
      <c r="B417" t="s">
        <v>128</v>
      </c>
      <c r="C417">
        <v>1</v>
      </c>
      <c r="D417" t="s">
        <v>309</v>
      </c>
    </row>
    <row r="418" spans="1:4" x14ac:dyDescent="0.2">
      <c r="A418" t="s">
        <v>163</v>
      </c>
      <c r="B418" t="s">
        <v>84</v>
      </c>
      <c r="C418">
        <v>1</v>
      </c>
      <c r="D418" t="s">
        <v>307</v>
      </c>
    </row>
    <row r="419" spans="1:4" x14ac:dyDescent="0.2">
      <c r="A419" t="s">
        <v>163</v>
      </c>
      <c r="B419" t="s">
        <v>121</v>
      </c>
      <c r="C419">
        <v>1</v>
      </c>
      <c r="D419" t="s">
        <v>307</v>
      </c>
    </row>
    <row r="420" spans="1:4" x14ac:dyDescent="0.2">
      <c r="A420" t="s">
        <v>163</v>
      </c>
      <c r="B420" t="s">
        <v>57</v>
      </c>
      <c r="C420">
        <v>1</v>
      </c>
      <c r="D420" t="s">
        <v>307</v>
      </c>
    </row>
    <row r="421" spans="1:4" x14ac:dyDescent="0.2">
      <c r="A421" t="s">
        <v>163</v>
      </c>
      <c r="B421" t="s">
        <v>118</v>
      </c>
      <c r="C421">
        <v>1</v>
      </c>
      <c r="D421" t="s">
        <v>309</v>
      </c>
    </row>
    <row r="422" spans="1:4" x14ac:dyDescent="0.2">
      <c r="A422" t="s">
        <v>163</v>
      </c>
      <c r="B422" t="s">
        <v>120</v>
      </c>
      <c r="C422">
        <v>1</v>
      </c>
      <c r="D422" t="s">
        <v>307</v>
      </c>
    </row>
    <row r="423" spans="1:4" x14ac:dyDescent="0.2">
      <c r="A423" t="s">
        <v>163</v>
      </c>
      <c r="B423" t="s">
        <v>212</v>
      </c>
      <c r="C423">
        <v>1</v>
      </c>
      <c r="D423" t="s">
        <v>307</v>
      </c>
    </row>
    <row r="424" spans="1:4" x14ac:dyDescent="0.2">
      <c r="A424" t="s">
        <v>163</v>
      </c>
      <c r="B424" t="s">
        <v>127</v>
      </c>
      <c r="C424">
        <v>1</v>
      </c>
      <c r="D424" t="s">
        <v>309</v>
      </c>
    </row>
    <row r="425" spans="1:4" x14ac:dyDescent="0.2">
      <c r="A425" t="s">
        <v>163</v>
      </c>
      <c r="B425" t="s">
        <v>33</v>
      </c>
      <c r="C425">
        <v>1</v>
      </c>
      <c r="D425" t="s">
        <v>307</v>
      </c>
    </row>
    <row r="426" spans="1:4" x14ac:dyDescent="0.2">
      <c r="A426" t="s">
        <v>163</v>
      </c>
      <c r="B426" t="s">
        <v>32</v>
      </c>
      <c r="C426">
        <v>1</v>
      </c>
      <c r="D426" t="s">
        <v>307</v>
      </c>
    </row>
    <row r="427" spans="1:4" x14ac:dyDescent="0.2">
      <c r="A427" t="s">
        <v>163</v>
      </c>
      <c r="B427" t="s">
        <v>112</v>
      </c>
      <c r="C427">
        <v>1</v>
      </c>
      <c r="D427" t="s">
        <v>307</v>
      </c>
    </row>
    <row r="428" spans="1:4" x14ac:dyDescent="0.2">
      <c r="A428" t="s">
        <v>163</v>
      </c>
      <c r="B428" t="s">
        <v>98</v>
      </c>
      <c r="C428">
        <v>1</v>
      </c>
      <c r="D428" t="s">
        <v>307</v>
      </c>
    </row>
    <row r="429" spans="1:4" x14ac:dyDescent="0.2">
      <c r="A429" t="s">
        <v>163</v>
      </c>
      <c r="B429" t="s">
        <v>74</v>
      </c>
      <c r="C429">
        <v>1</v>
      </c>
      <c r="D429" t="s">
        <v>307</v>
      </c>
    </row>
    <row r="430" spans="1:4" x14ac:dyDescent="0.2">
      <c r="A430" t="s">
        <v>163</v>
      </c>
      <c r="B430" t="s">
        <v>73</v>
      </c>
      <c r="C430">
        <v>1</v>
      </c>
      <c r="D430" t="s">
        <v>309</v>
      </c>
    </row>
    <row r="431" spans="1:4" x14ac:dyDescent="0.2">
      <c r="A431" t="s">
        <v>163</v>
      </c>
      <c r="B431" t="s">
        <v>72</v>
      </c>
      <c r="C431">
        <v>1</v>
      </c>
      <c r="D431" t="s">
        <v>307</v>
      </c>
    </row>
    <row r="432" spans="1:4" x14ac:dyDescent="0.2">
      <c r="A432" t="s">
        <v>163</v>
      </c>
      <c r="B432" t="s">
        <v>45</v>
      </c>
      <c r="C432">
        <v>1</v>
      </c>
      <c r="D432" t="s">
        <v>307</v>
      </c>
    </row>
    <row r="433" spans="1:4" x14ac:dyDescent="0.2">
      <c r="A433" t="s">
        <v>163</v>
      </c>
      <c r="B433" t="s">
        <v>70</v>
      </c>
      <c r="C433">
        <v>1</v>
      </c>
      <c r="D433" t="s">
        <v>307</v>
      </c>
    </row>
    <row r="434" spans="1:4" x14ac:dyDescent="0.2">
      <c r="A434" t="s">
        <v>163</v>
      </c>
      <c r="B434" t="s">
        <v>68</v>
      </c>
      <c r="C434">
        <v>1</v>
      </c>
      <c r="D434" t="s">
        <v>307</v>
      </c>
    </row>
    <row r="435" spans="1:4" x14ac:dyDescent="0.2">
      <c r="A435" t="s">
        <v>163</v>
      </c>
      <c r="B435" t="s">
        <v>132</v>
      </c>
      <c r="C435">
        <v>1</v>
      </c>
      <c r="D435" t="s">
        <v>307</v>
      </c>
    </row>
    <row r="436" spans="1:4" x14ac:dyDescent="0.2">
      <c r="A436" t="s">
        <v>163</v>
      </c>
      <c r="B436" t="s">
        <v>75</v>
      </c>
      <c r="C436">
        <v>1</v>
      </c>
      <c r="D436" t="s">
        <v>309</v>
      </c>
    </row>
    <row r="437" spans="1:4" x14ac:dyDescent="0.2">
      <c r="A437" t="s">
        <v>163</v>
      </c>
      <c r="B437" t="s">
        <v>65</v>
      </c>
      <c r="C437">
        <v>1</v>
      </c>
      <c r="D437" t="s">
        <v>307</v>
      </c>
    </row>
    <row r="438" spans="1:4" x14ac:dyDescent="0.2">
      <c r="A438" t="s">
        <v>163</v>
      </c>
      <c r="B438" t="s">
        <v>116</v>
      </c>
      <c r="C438">
        <v>1</v>
      </c>
      <c r="D438" t="s">
        <v>309</v>
      </c>
    </row>
    <row r="439" spans="1:4" x14ac:dyDescent="0.2">
      <c r="A439" t="s">
        <v>163</v>
      </c>
      <c r="B439" t="s">
        <v>110</v>
      </c>
      <c r="C439">
        <v>1</v>
      </c>
      <c r="D439" t="s">
        <v>307</v>
      </c>
    </row>
    <row r="440" spans="1:4" x14ac:dyDescent="0.2">
      <c r="A440" t="s">
        <v>163</v>
      </c>
      <c r="B440" t="s">
        <v>35</v>
      </c>
      <c r="C440">
        <v>1</v>
      </c>
      <c r="D440" t="s">
        <v>307</v>
      </c>
    </row>
    <row r="441" spans="1:4" x14ac:dyDescent="0.2">
      <c r="A441" t="s">
        <v>163</v>
      </c>
      <c r="B441" t="s">
        <v>53</v>
      </c>
      <c r="C441">
        <v>1</v>
      </c>
      <c r="D441" t="s">
        <v>307</v>
      </c>
    </row>
    <row r="442" spans="1:4" x14ac:dyDescent="0.2">
      <c r="A442" t="s">
        <v>163</v>
      </c>
      <c r="B442" t="s">
        <v>69</v>
      </c>
      <c r="C442">
        <v>1</v>
      </c>
      <c r="D442" t="s">
        <v>307</v>
      </c>
    </row>
    <row r="443" spans="1:4" x14ac:dyDescent="0.2">
      <c r="A443" t="s">
        <v>163</v>
      </c>
      <c r="B443" t="s">
        <v>186</v>
      </c>
      <c r="C443">
        <v>1</v>
      </c>
      <c r="D443" t="s">
        <v>308</v>
      </c>
    </row>
    <row r="444" spans="1:4" x14ac:dyDescent="0.2">
      <c r="A444" t="s">
        <v>163</v>
      </c>
      <c r="B444" t="s">
        <v>122</v>
      </c>
      <c r="C444">
        <v>1</v>
      </c>
      <c r="D444" t="s">
        <v>307</v>
      </c>
    </row>
    <row r="445" spans="1:4" x14ac:dyDescent="0.2">
      <c r="A445" t="s">
        <v>163</v>
      </c>
      <c r="B445" t="s">
        <v>48</v>
      </c>
      <c r="C445">
        <v>1</v>
      </c>
      <c r="D445" t="s">
        <v>307</v>
      </c>
    </row>
    <row r="446" spans="1:4" x14ac:dyDescent="0.2">
      <c r="A446" t="s">
        <v>163</v>
      </c>
      <c r="B446" t="s">
        <v>34</v>
      </c>
      <c r="C446">
        <v>1</v>
      </c>
      <c r="D446" t="s">
        <v>309</v>
      </c>
    </row>
    <row r="447" spans="1:4" x14ac:dyDescent="0.2">
      <c r="A447" t="s">
        <v>163</v>
      </c>
      <c r="B447" t="s">
        <v>115</v>
      </c>
      <c r="C447">
        <v>1</v>
      </c>
      <c r="D447" t="s">
        <v>307</v>
      </c>
    </row>
    <row r="448" spans="1:4" x14ac:dyDescent="0.2">
      <c r="A448" t="s">
        <v>163</v>
      </c>
      <c r="B448" t="s">
        <v>175</v>
      </c>
      <c r="C448">
        <v>1</v>
      </c>
      <c r="D448" t="s">
        <v>308</v>
      </c>
    </row>
    <row r="449" spans="1:4" x14ac:dyDescent="0.2">
      <c r="A449" t="s">
        <v>125</v>
      </c>
      <c r="B449" t="s">
        <v>126</v>
      </c>
      <c r="C449">
        <v>1</v>
      </c>
      <c r="D449" t="s">
        <v>309</v>
      </c>
    </row>
    <row r="450" spans="1:4" x14ac:dyDescent="0.2">
      <c r="A450" t="s">
        <v>125</v>
      </c>
      <c r="B450" t="s">
        <v>96</v>
      </c>
      <c r="C450">
        <v>1</v>
      </c>
      <c r="D450" t="s">
        <v>308</v>
      </c>
    </row>
    <row r="451" spans="1:4" x14ac:dyDescent="0.2">
      <c r="A451" t="s">
        <v>125</v>
      </c>
      <c r="B451" t="s">
        <v>38</v>
      </c>
      <c r="C451">
        <v>1</v>
      </c>
      <c r="D451" t="s">
        <v>309</v>
      </c>
    </row>
    <row r="452" spans="1:4" x14ac:dyDescent="0.2">
      <c r="A452" t="s">
        <v>125</v>
      </c>
      <c r="B452" t="s">
        <v>187</v>
      </c>
      <c r="C452">
        <v>1</v>
      </c>
      <c r="D452" t="s">
        <v>308</v>
      </c>
    </row>
    <row r="453" spans="1:4" x14ac:dyDescent="0.2">
      <c r="A453" t="s">
        <v>125</v>
      </c>
      <c r="B453" t="s">
        <v>61</v>
      </c>
      <c r="C453">
        <v>1</v>
      </c>
      <c r="D453" t="s">
        <v>307</v>
      </c>
    </row>
    <row r="454" spans="1:4" x14ac:dyDescent="0.2">
      <c r="A454" t="s">
        <v>125</v>
      </c>
      <c r="B454" t="s">
        <v>95</v>
      </c>
      <c r="C454">
        <v>1</v>
      </c>
      <c r="D454" t="s">
        <v>309</v>
      </c>
    </row>
    <row r="455" spans="1:4" x14ac:dyDescent="0.2">
      <c r="A455" t="s">
        <v>125</v>
      </c>
      <c r="B455" t="s">
        <v>28</v>
      </c>
      <c r="C455">
        <v>1</v>
      </c>
      <c r="D455" t="s">
        <v>309</v>
      </c>
    </row>
    <row r="456" spans="1:4" x14ac:dyDescent="0.2">
      <c r="A456" t="s">
        <v>125</v>
      </c>
      <c r="B456" t="s">
        <v>89</v>
      </c>
      <c r="C456">
        <v>1</v>
      </c>
      <c r="D456" t="s">
        <v>309</v>
      </c>
    </row>
    <row r="457" spans="1:4" x14ac:dyDescent="0.2">
      <c r="A457" t="s">
        <v>125</v>
      </c>
      <c r="B457" t="s">
        <v>128</v>
      </c>
      <c r="C457">
        <v>1</v>
      </c>
      <c r="D457" t="s">
        <v>309</v>
      </c>
    </row>
    <row r="458" spans="1:4" x14ac:dyDescent="0.2">
      <c r="A458" t="s">
        <v>125</v>
      </c>
      <c r="B458" t="s">
        <v>119</v>
      </c>
      <c r="C458">
        <v>1</v>
      </c>
      <c r="D458" t="s">
        <v>309</v>
      </c>
    </row>
    <row r="459" spans="1:4" x14ac:dyDescent="0.2">
      <c r="A459" t="s">
        <v>125</v>
      </c>
      <c r="B459" t="s">
        <v>127</v>
      </c>
      <c r="C459">
        <v>1</v>
      </c>
      <c r="D459" t="s">
        <v>309</v>
      </c>
    </row>
    <row r="460" spans="1:4" x14ac:dyDescent="0.2">
      <c r="A460" t="s">
        <v>125</v>
      </c>
      <c r="B460" t="s">
        <v>68</v>
      </c>
      <c r="C460">
        <v>1</v>
      </c>
      <c r="D460" t="s">
        <v>307</v>
      </c>
    </row>
    <row r="461" spans="1:4" x14ac:dyDescent="0.2">
      <c r="A461" t="s">
        <v>125</v>
      </c>
      <c r="B461" t="s">
        <v>75</v>
      </c>
      <c r="C461">
        <v>1</v>
      </c>
      <c r="D461" t="s">
        <v>309</v>
      </c>
    </row>
    <row r="462" spans="1:4" x14ac:dyDescent="0.2">
      <c r="A462" t="s">
        <v>125</v>
      </c>
      <c r="B462" t="s">
        <v>18</v>
      </c>
      <c r="C462">
        <v>1</v>
      </c>
      <c r="D462" t="s">
        <v>309</v>
      </c>
    </row>
    <row r="463" spans="1:4" x14ac:dyDescent="0.2">
      <c r="A463" t="s">
        <v>125</v>
      </c>
      <c r="B463" t="s">
        <v>94</v>
      </c>
      <c r="C463">
        <v>1</v>
      </c>
      <c r="D463" t="s">
        <v>309</v>
      </c>
    </row>
    <row r="464" spans="1:4" x14ac:dyDescent="0.2">
      <c r="A464" t="s">
        <v>125</v>
      </c>
      <c r="B464" t="s">
        <v>116</v>
      </c>
      <c r="C464">
        <v>1</v>
      </c>
      <c r="D464" t="s">
        <v>309</v>
      </c>
    </row>
    <row r="465" spans="1:4" x14ac:dyDescent="0.2">
      <c r="A465" t="s">
        <v>125</v>
      </c>
      <c r="B465" t="s">
        <v>55</v>
      </c>
      <c r="C465">
        <v>1</v>
      </c>
      <c r="D465" t="s">
        <v>309</v>
      </c>
    </row>
    <row r="466" spans="1:4" x14ac:dyDescent="0.2">
      <c r="A466" t="s">
        <v>125</v>
      </c>
      <c r="B466" t="s">
        <v>34</v>
      </c>
      <c r="C466">
        <v>1</v>
      </c>
      <c r="D466" t="s">
        <v>309</v>
      </c>
    </row>
    <row r="467" spans="1:4" x14ac:dyDescent="0.2">
      <c r="A467" t="s">
        <v>111</v>
      </c>
      <c r="B467" t="s">
        <v>61</v>
      </c>
      <c r="C467">
        <v>1</v>
      </c>
      <c r="D467" t="s">
        <v>307</v>
      </c>
    </row>
    <row r="468" spans="1:4" x14ac:dyDescent="0.2">
      <c r="A468" t="s">
        <v>111</v>
      </c>
      <c r="B468" t="s">
        <v>111</v>
      </c>
      <c r="C468">
        <v>1</v>
      </c>
      <c r="D468" t="s">
        <v>307</v>
      </c>
    </row>
    <row r="469" spans="1:4" x14ac:dyDescent="0.2">
      <c r="A469" t="s">
        <v>111</v>
      </c>
      <c r="B469" t="s">
        <v>74</v>
      </c>
      <c r="C469">
        <v>1</v>
      </c>
      <c r="D469" t="s">
        <v>307</v>
      </c>
    </row>
    <row r="470" spans="1:4" x14ac:dyDescent="0.2">
      <c r="A470" t="s">
        <v>111</v>
      </c>
      <c r="B470" t="s">
        <v>59</v>
      </c>
      <c r="C470">
        <v>1</v>
      </c>
      <c r="D470" t="s">
        <v>308</v>
      </c>
    </row>
    <row r="471" spans="1:4" x14ac:dyDescent="0.2">
      <c r="A471" t="s">
        <v>111</v>
      </c>
      <c r="B471" t="s">
        <v>52</v>
      </c>
      <c r="C471">
        <v>1</v>
      </c>
      <c r="D471" t="s">
        <v>307</v>
      </c>
    </row>
    <row r="472" spans="1:4" x14ac:dyDescent="0.2">
      <c r="A472" t="s">
        <v>111</v>
      </c>
      <c r="B472" t="s">
        <v>186</v>
      </c>
      <c r="C472">
        <v>1</v>
      </c>
      <c r="D472" t="s">
        <v>307</v>
      </c>
    </row>
    <row r="473" spans="1:4" x14ac:dyDescent="0.2">
      <c r="A473" t="s">
        <v>111</v>
      </c>
      <c r="B473" t="s">
        <v>122</v>
      </c>
      <c r="C473">
        <v>1</v>
      </c>
      <c r="D473" t="s">
        <v>307</v>
      </c>
    </row>
    <row r="474" spans="1:4" x14ac:dyDescent="0.2">
      <c r="A474" t="s">
        <v>124</v>
      </c>
      <c r="B474" t="s">
        <v>81</v>
      </c>
      <c r="C474">
        <v>1</v>
      </c>
      <c r="D474" t="s">
        <v>307</v>
      </c>
    </row>
    <row r="475" spans="1:4" x14ac:dyDescent="0.2">
      <c r="A475" t="s">
        <v>124</v>
      </c>
      <c r="B475" t="s">
        <v>126</v>
      </c>
      <c r="C475">
        <v>1</v>
      </c>
      <c r="D475" t="s">
        <v>309</v>
      </c>
    </row>
    <row r="476" spans="1:4" x14ac:dyDescent="0.2">
      <c r="A476" t="s">
        <v>124</v>
      </c>
      <c r="B476" t="s">
        <v>96</v>
      </c>
      <c r="C476">
        <v>1</v>
      </c>
      <c r="D476" t="s">
        <v>308</v>
      </c>
    </row>
    <row r="477" spans="1:4" x14ac:dyDescent="0.2">
      <c r="A477" t="s">
        <v>124</v>
      </c>
      <c r="B477" t="s">
        <v>38</v>
      </c>
      <c r="C477">
        <v>1</v>
      </c>
      <c r="D477" t="s">
        <v>309</v>
      </c>
    </row>
    <row r="478" spans="1:4" x14ac:dyDescent="0.2">
      <c r="A478" t="s">
        <v>124</v>
      </c>
      <c r="B478" t="s">
        <v>47</v>
      </c>
      <c r="C478">
        <v>1</v>
      </c>
      <c r="D478" t="s">
        <v>308</v>
      </c>
    </row>
    <row r="479" spans="1:4" x14ac:dyDescent="0.2">
      <c r="A479" t="s">
        <v>124</v>
      </c>
      <c r="B479" t="s">
        <v>187</v>
      </c>
      <c r="C479">
        <v>1</v>
      </c>
      <c r="D479" t="s">
        <v>308</v>
      </c>
    </row>
    <row r="480" spans="1:4" x14ac:dyDescent="0.2">
      <c r="A480" t="s">
        <v>124</v>
      </c>
      <c r="B480" t="s">
        <v>28</v>
      </c>
      <c r="C480">
        <v>1</v>
      </c>
      <c r="D480" t="s">
        <v>309</v>
      </c>
    </row>
    <row r="481" spans="1:4" x14ac:dyDescent="0.2">
      <c r="A481" t="s">
        <v>124</v>
      </c>
      <c r="B481" t="s">
        <v>106</v>
      </c>
      <c r="C481">
        <v>1</v>
      </c>
      <c r="D481" t="s">
        <v>308</v>
      </c>
    </row>
    <row r="482" spans="1:4" x14ac:dyDescent="0.2">
      <c r="A482" t="s">
        <v>124</v>
      </c>
      <c r="B482" t="s">
        <v>89</v>
      </c>
      <c r="C482">
        <v>1</v>
      </c>
      <c r="D482" t="s">
        <v>309</v>
      </c>
    </row>
    <row r="483" spans="1:4" x14ac:dyDescent="0.2">
      <c r="A483" t="s">
        <v>124</v>
      </c>
      <c r="B483" t="s">
        <v>128</v>
      </c>
      <c r="C483">
        <v>1</v>
      </c>
      <c r="D483" t="s">
        <v>309</v>
      </c>
    </row>
    <row r="484" spans="1:4" x14ac:dyDescent="0.2">
      <c r="A484" t="s">
        <v>124</v>
      </c>
      <c r="B484" t="s">
        <v>66</v>
      </c>
      <c r="C484">
        <v>1</v>
      </c>
      <c r="D484" t="s">
        <v>308</v>
      </c>
    </row>
    <row r="485" spans="1:4" x14ac:dyDescent="0.2">
      <c r="A485" t="s">
        <v>124</v>
      </c>
      <c r="B485" t="s">
        <v>18</v>
      </c>
      <c r="C485">
        <v>1</v>
      </c>
      <c r="D485" t="s">
        <v>309</v>
      </c>
    </row>
    <row r="486" spans="1:4" x14ac:dyDescent="0.2">
      <c r="A486" t="s">
        <v>124</v>
      </c>
      <c r="B486" t="s">
        <v>116</v>
      </c>
      <c r="C486">
        <v>1</v>
      </c>
      <c r="D486" t="s">
        <v>309</v>
      </c>
    </row>
    <row r="487" spans="1:4" x14ac:dyDescent="0.2">
      <c r="A487" t="s">
        <v>124</v>
      </c>
      <c r="B487" t="s">
        <v>35</v>
      </c>
      <c r="C487">
        <v>1</v>
      </c>
      <c r="D487" t="s">
        <v>308</v>
      </c>
    </row>
    <row r="488" spans="1:4" x14ac:dyDescent="0.2">
      <c r="A488" t="s">
        <v>124</v>
      </c>
      <c r="B488" t="s">
        <v>53</v>
      </c>
      <c r="C488">
        <v>1</v>
      </c>
      <c r="D488" t="s">
        <v>308</v>
      </c>
    </row>
    <row r="489" spans="1:4" x14ac:dyDescent="0.2">
      <c r="A489" t="s">
        <v>124</v>
      </c>
      <c r="B489" t="s">
        <v>186</v>
      </c>
      <c r="C489">
        <v>1</v>
      </c>
      <c r="D489" t="s">
        <v>308</v>
      </c>
    </row>
    <row r="490" spans="1:4" x14ac:dyDescent="0.2">
      <c r="A490" t="s">
        <v>124</v>
      </c>
      <c r="B490" t="s">
        <v>189</v>
      </c>
      <c r="C490">
        <v>1</v>
      </c>
      <c r="D490" t="s">
        <v>308</v>
      </c>
    </row>
    <row r="491" spans="1:4" x14ac:dyDescent="0.2">
      <c r="A491" t="s">
        <v>124</v>
      </c>
      <c r="B491" t="s">
        <v>34</v>
      </c>
      <c r="C491">
        <v>1</v>
      </c>
      <c r="D491" t="s">
        <v>309</v>
      </c>
    </row>
    <row r="492" spans="1:4" x14ac:dyDescent="0.2">
      <c r="A492" t="s">
        <v>124</v>
      </c>
      <c r="B492" t="s">
        <v>175</v>
      </c>
      <c r="C492">
        <v>1</v>
      </c>
      <c r="D492" t="s">
        <v>308</v>
      </c>
    </row>
    <row r="493" spans="1:4" x14ac:dyDescent="0.2">
      <c r="A493" t="s">
        <v>58</v>
      </c>
      <c r="B493" t="s">
        <v>81</v>
      </c>
      <c r="C493">
        <v>1</v>
      </c>
      <c r="D493" t="s">
        <v>307</v>
      </c>
    </row>
    <row r="494" spans="1:4" x14ac:dyDescent="0.2">
      <c r="A494" t="s">
        <v>58</v>
      </c>
      <c r="B494" t="s">
        <v>126</v>
      </c>
      <c r="C494">
        <v>1</v>
      </c>
      <c r="D494" t="s">
        <v>309</v>
      </c>
    </row>
    <row r="495" spans="1:4" x14ac:dyDescent="0.2">
      <c r="A495" t="s">
        <v>58</v>
      </c>
      <c r="B495" t="s">
        <v>178</v>
      </c>
      <c r="C495">
        <v>1</v>
      </c>
      <c r="D495" t="s">
        <v>307</v>
      </c>
    </row>
    <row r="496" spans="1:4" x14ac:dyDescent="0.2">
      <c r="A496" t="s">
        <v>58</v>
      </c>
      <c r="B496" t="s">
        <v>38</v>
      </c>
      <c r="C496">
        <v>1</v>
      </c>
      <c r="D496" t="s">
        <v>309</v>
      </c>
    </row>
    <row r="497" spans="1:4" x14ac:dyDescent="0.2">
      <c r="A497" t="s">
        <v>58</v>
      </c>
      <c r="B497" t="s">
        <v>47</v>
      </c>
      <c r="C497">
        <v>1</v>
      </c>
      <c r="D497" t="s">
        <v>307</v>
      </c>
    </row>
    <row r="498" spans="1:4" x14ac:dyDescent="0.2">
      <c r="A498" t="s">
        <v>58</v>
      </c>
      <c r="B498" t="s">
        <v>60</v>
      </c>
      <c r="C498">
        <v>1</v>
      </c>
      <c r="D498" t="s">
        <v>307</v>
      </c>
    </row>
    <row r="499" spans="1:4" x14ac:dyDescent="0.2">
      <c r="A499" t="s">
        <v>58</v>
      </c>
      <c r="B499" t="s">
        <v>123</v>
      </c>
      <c r="C499">
        <v>1</v>
      </c>
      <c r="D499" t="s">
        <v>307</v>
      </c>
    </row>
    <row r="500" spans="1:4" x14ac:dyDescent="0.2">
      <c r="A500" t="s">
        <v>58</v>
      </c>
      <c r="B500" t="s">
        <v>92</v>
      </c>
      <c r="C500">
        <v>1</v>
      </c>
      <c r="D500" t="s">
        <v>307</v>
      </c>
    </row>
    <row r="501" spans="1:4" x14ac:dyDescent="0.2">
      <c r="A501" t="s">
        <v>58</v>
      </c>
      <c r="B501" t="s">
        <v>61</v>
      </c>
      <c r="C501">
        <v>1</v>
      </c>
      <c r="D501" t="s">
        <v>307</v>
      </c>
    </row>
    <row r="502" spans="1:4" x14ac:dyDescent="0.2">
      <c r="A502" t="s">
        <v>58</v>
      </c>
      <c r="B502" t="s">
        <v>36</v>
      </c>
      <c r="C502">
        <v>1</v>
      </c>
      <c r="D502" t="s">
        <v>307</v>
      </c>
    </row>
    <row r="503" spans="1:4" x14ac:dyDescent="0.2">
      <c r="A503" t="s">
        <v>58</v>
      </c>
      <c r="B503" t="s">
        <v>41</v>
      </c>
      <c r="C503">
        <v>1</v>
      </c>
      <c r="D503" t="s">
        <v>307</v>
      </c>
    </row>
    <row r="504" spans="1:4" x14ac:dyDescent="0.2">
      <c r="A504" t="s">
        <v>58</v>
      </c>
      <c r="B504" t="s">
        <v>91</v>
      </c>
      <c r="C504">
        <v>1</v>
      </c>
      <c r="D504" t="s">
        <v>307</v>
      </c>
    </row>
    <row r="505" spans="1:4" x14ac:dyDescent="0.2">
      <c r="A505" t="s">
        <v>58</v>
      </c>
      <c r="B505" t="s">
        <v>58</v>
      </c>
      <c r="C505">
        <v>1</v>
      </c>
      <c r="D505" t="s">
        <v>307</v>
      </c>
    </row>
    <row r="506" spans="1:4" x14ac:dyDescent="0.2">
      <c r="A506" t="s">
        <v>58</v>
      </c>
      <c r="B506" t="s">
        <v>108</v>
      </c>
      <c r="C506">
        <v>1</v>
      </c>
      <c r="D506" t="s">
        <v>308</v>
      </c>
    </row>
    <row r="507" spans="1:4" x14ac:dyDescent="0.2">
      <c r="A507" t="s">
        <v>58</v>
      </c>
      <c r="B507" t="s">
        <v>85</v>
      </c>
      <c r="C507">
        <v>1</v>
      </c>
      <c r="D507" t="s">
        <v>307</v>
      </c>
    </row>
    <row r="508" spans="1:4" x14ac:dyDescent="0.2">
      <c r="A508" t="s">
        <v>58</v>
      </c>
      <c r="B508" t="s">
        <v>89</v>
      </c>
      <c r="C508">
        <v>1</v>
      </c>
      <c r="D508" t="s">
        <v>309</v>
      </c>
    </row>
    <row r="509" spans="1:4" x14ac:dyDescent="0.2">
      <c r="A509" t="s">
        <v>58</v>
      </c>
      <c r="B509" t="s">
        <v>88</v>
      </c>
      <c r="C509">
        <v>1</v>
      </c>
      <c r="D509" t="s">
        <v>307</v>
      </c>
    </row>
    <row r="510" spans="1:4" x14ac:dyDescent="0.2">
      <c r="A510" t="s">
        <v>58</v>
      </c>
      <c r="B510" t="s">
        <v>84</v>
      </c>
      <c r="C510">
        <v>1</v>
      </c>
      <c r="D510" t="s">
        <v>307</v>
      </c>
    </row>
    <row r="511" spans="1:4" x14ac:dyDescent="0.2">
      <c r="A511" t="s">
        <v>58</v>
      </c>
      <c r="B511" t="s">
        <v>57</v>
      </c>
      <c r="C511">
        <v>1</v>
      </c>
      <c r="D511" t="s">
        <v>307</v>
      </c>
    </row>
    <row r="512" spans="1:4" x14ac:dyDescent="0.2">
      <c r="A512" t="s">
        <v>58</v>
      </c>
      <c r="B512" t="s">
        <v>62</v>
      </c>
      <c r="C512">
        <v>1</v>
      </c>
      <c r="D512" t="s">
        <v>307</v>
      </c>
    </row>
    <row r="513" spans="1:4" x14ac:dyDescent="0.2">
      <c r="A513" t="s">
        <v>58</v>
      </c>
      <c r="B513" t="s">
        <v>33</v>
      </c>
      <c r="C513">
        <v>1</v>
      </c>
      <c r="D513" t="s">
        <v>307</v>
      </c>
    </row>
    <row r="514" spans="1:4" x14ac:dyDescent="0.2">
      <c r="A514" t="s">
        <v>58</v>
      </c>
      <c r="B514" t="s">
        <v>112</v>
      </c>
      <c r="C514">
        <v>1</v>
      </c>
      <c r="D514" t="s">
        <v>307</v>
      </c>
    </row>
    <row r="515" spans="1:4" x14ac:dyDescent="0.2">
      <c r="A515" t="s">
        <v>58</v>
      </c>
      <c r="B515" t="s">
        <v>74</v>
      </c>
      <c r="C515">
        <v>1</v>
      </c>
      <c r="D515" t="s">
        <v>307</v>
      </c>
    </row>
    <row r="516" spans="1:4" x14ac:dyDescent="0.2">
      <c r="A516" t="s">
        <v>58</v>
      </c>
      <c r="B516" t="s">
        <v>59</v>
      </c>
      <c r="C516">
        <v>1</v>
      </c>
      <c r="D516" t="s">
        <v>308</v>
      </c>
    </row>
    <row r="517" spans="1:4" x14ac:dyDescent="0.2">
      <c r="A517" t="s">
        <v>58</v>
      </c>
      <c r="B517" t="s">
        <v>52</v>
      </c>
      <c r="C517">
        <v>1</v>
      </c>
      <c r="D517" t="s">
        <v>307</v>
      </c>
    </row>
    <row r="518" spans="1:4" x14ac:dyDescent="0.2">
      <c r="A518" t="s">
        <v>58</v>
      </c>
      <c r="B518" t="s">
        <v>72</v>
      </c>
      <c r="C518">
        <v>1</v>
      </c>
      <c r="D518" t="s">
        <v>307</v>
      </c>
    </row>
    <row r="519" spans="1:4" x14ac:dyDescent="0.2">
      <c r="A519" t="s">
        <v>58</v>
      </c>
      <c r="B519" t="s">
        <v>132</v>
      </c>
      <c r="C519">
        <v>1</v>
      </c>
      <c r="D519" t="s">
        <v>307</v>
      </c>
    </row>
    <row r="520" spans="1:4" x14ac:dyDescent="0.2">
      <c r="A520" t="s">
        <v>58</v>
      </c>
      <c r="B520" t="s">
        <v>75</v>
      </c>
      <c r="C520">
        <v>1</v>
      </c>
      <c r="D520" t="s">
        <v>309</v>
      </c>
    </row>
    <row r="521" spans="1:4" x14ac:dyDescent="0.2">
      <c r="A521" t="s">
        <v>58</v>
      </c>
      <c r="B521" t="s">
        <v>117</v>
      </c>
      <c r="C521">
        <v>1</v>
      </c>
      <c r="D521" t="s">
        <v>307</v>
      </c>
    </row>
    <row r="522" spans="1:4" x14ac:dyDescent="0.2">
      <c r="A522" t="s">
        <v>58</v>
      </c>
      <c r="B522" t="s">
        <v>110</v>
      </c>
      <c r="C522">
        <v>1</v>
      </c>
      <c r="D522" t="s">
        <v>307</v>
      </c>
    </row>
    <row r="523" spans="1:4" x14ac:dyDescent="0.2">
      <c r="A523" t="s">
        <v>58</v>
      </c>
      <c r="B523" t="s">
        <v>35</v>
      </c>
      <c r="C523">
        <v>1</v>
      </c>
      <c r="D523" t="s">
        <v>307</v>
      </c>
    </row>
    <row r="524" spans="1:4" x14ac:dyDescent="0.2">
      <c r="A524" t="s">
        <v>58</v>
      </c>
      <c r="B524" t="s">
        <v>53</v>
      </c>
      <c r="C524">
        <v>1</v>
      </c>
      <c r="D524" t="s">
        <v>308</v>
      </c>
    </row>
    <row r="525" spans="1:4" x14ac:dyDescent="0.2">
      <c r="A525" t="s">
        <v>58</v>
      </c>
      <c r="B525" t="s">
        <v>69</v>
      </c>
      <c r="C525">
        <v>1</v>
      </c>
      <c r="D525" t="s">
        <v>307</v>
      </c>
    </row>
    <row r="526" spans="1:4" x14ac:dyDescent="0.2">
      <c r="A526" t="s">
        <v>58</v>
      </c>
      <c r="B526" t="s">
        <v>186</v>
      </c>
      <c r="C526">
        <v>1</v>
      </c>
      <c r="D526" t="s">
        <v>307</v>
      </c>
    </row>
    <row r="527" spans="1:4" x14ac:dyDescent="0.2">
      <c r="A527" t="s">
        <v>58</v>
      </c>
      <c r="B527" t="s">
        <v>122</v>
      </c>
      <c r="C527">
        <v>1</v>
      </c>
      <c r="D527" t="s">
        <v>307</v>
      </c>
    </row>
    <row r="528" spans="1:4" x14ac:dyDescent="0.2">
      <c r="A528" t="s">
        <v>58</v>
      </c>
      <c r="B528" t="s">
        <v>48</v>
      </c>
      <c r="C528">
        <v>1</v>
      </c>
      <c r="D528" t="s">
        <v>307</v>
      </c>
    </row>
    <row r="529" spans="1:4" x14ac:dyDescent="0.2">
      <c r="A529" t="s">
        <v>58</v>
      </c>
      <c r="B529" t="s">
        <v>189</v>
      </c>
      <c r="C529">
        <v>1</v>
      </c>
      <c r="D529" t="s">
        <v>307</v>
      </c>
    </row>
    <row r="530" spans="1:4" x14ac:dyDescent="0.2">
      <c r="A530" t="s">
        <v>58</v>
      </c>
      <c r="B530" t="s">
        <v>34</v>
      </c>
      <c r="C530">
        <v>1</v>
      </c>
      <c r="D530" t="s">
        <v>309</v>
      </c>
    </row>
    <row r="531" spans="1:4" x14ac:dyDescent="0.2">
      <c r="A531" t="s">
        <v>58</v>
      </c>
      <c r="B531" t="s">
        <v>115</v>
      </c>
      <c r="C531">
        <v>1</v>
      </c>
      <c r="D531" t="s">
        <v>307</v>
      </c>
    </row>
    <row r="532" spans="1:4" x14ac:dyDescent="0.2">
      <c r="A532" t="s">
        <v>90</v>
      </c>
      <c r="B532" t="s">
        <v>187</v>
      </c>
      <c r="C532">
        <v>1</v>
      </c>
      <c r="D532" t="s">
        <v>308</v>
      </c>
    </row>
    <row r="533" spans="1:4" x14ac:dyDescent="0.2">
      <c r="A533" t="s">
        <v>90</v>
      </c>
      <c r="B533" t="s">
        <v>61</v>
      </c>
      <c r="C533">
        <v>1</v>
      </c>
      <c r="D533" t="s">
        <v>307</v>
      </c>
    </row>
    <row r="534" spans="1:4" x14ac:dyDescent="0.2">
      <c r="A534" t="s">
        <v>90</v>
      </c>
      <c r="B534" t="s">
        <v>90</v>
      </c>
      <c r="C534">
        <v>1</v>
      </c>
      <c r="D534" t="s">
        <v>307</v>
      </c>
    </row>
    <row r="535" spans="1:4" x14ac:dyDescent="0.2">
      <c r="A535" t="s">
        <v>90</v>
      </c>
      <c r="B535" t="s">
        <v>32</v>
      </c>
      <c r="C535">
        <v>1</v>
      </c>
      <c r="D535" t="s">
        <v>307</v>
      </c>
    </row>
    <row r="536" spans="1:4" x14ac:dyDescent="0.2">
      <c r="A536" t="s">
        <v>114</v>
      </c>
      <c r="B536" t="s">
        <v>126</v>
      </c>
      <c r="C536">
        <v>1</v>
      </c>
      <c r="D536" t="s">
        <v>309</v>
      </c>
    </row>
    <row r="537" spans="1:4" x14ac:dyDescent="0.2">
      <c r="A537" t="s">
        <v>114</v>
      </c>
      <c r="B537" t="s">
        <v>96</v>
      </c>
      <c r="C537">
        <v>1</v>
      </c>
      <c r="D537" t="s">
        <v>308</v>
      </c>
    </row>
    <row r="538" spans="1:4" x14ac:dyDescent="0.2">
      <c r="A538" t="s">
        <v>114</v>
      </c>
      <c r="B538" t="s">
        <v>38</v>
      </c>
      <c r="C538">
        <v>1</v>
      </c>
      <c r="D538" t="s">
        <v>309</v>
      </c>
    </row>
    <row r="539" spans="1:4" x14ac:dyDescent="0.2">
      <c r="A539" t="s">
        <v>114</v>
      </c>
      <c r="B539" t="s">
        <v>187</v>
      </c>
      <c r="C539">
        <v>1</v>
      </c>
      <c r="D539" t="s">
        <v>308</v>
      </c>
    </row>
    <row r="540" spans="1:4" x14ac:dyDescent="0.2">
      <c r="A540" t="s">
        <v>114</v>
      </c>
      <c r="B540" t="s">
        <v>95</v>
      </c>
      <c r="C540">
        <v>1</v>
      </c>
      <c r="D540" t="s">
        <v>309</v>
      </c>
    </row>
    <row r="541" spans="1:4" x14ac:dyDescent="0.2">
      <c r="A541" t="s">
        <v>114</v>
      </c>
      <c r="B541" t="s">
        <v>114</v>
      </c>
      <c r="C541">
        <v>1</v>
      </c>
      <c r="D541" t="s">
        <v>307</v>
      </c>
    </row>
    <row r="542" spans="1:4" x14ac:dyDescent="0.2">
      <c r="A542" t="s">
        <v>114</v>
      </c>
      <c r="B542" t="s">
        <v>106</v>
      </c>
      <c r="C542">
        <v>1</v>
      </c>
      <c r="D542" t="s">
        <v>308</v>
      </c>
    </row>
    <row r="543" spans="1:4" x14ac:dyDescent="0.2">
      <c r="A543" t="s">
        <v>114</v>
      </c>
      <c r="B543" t="s">
        <v>89</v>
      </c>
      <c r="C543">
        <v>1</v>
      </c>
      <c r="D543" t="s">
        <v>309</v>
      </c>
    </row>
    <row r="544" spans="1:4" x14ac:dyDescent="0.2">
      <c r="A544" t="s">
        <v>114</v>
      </c>
      <c r="B544" t="s">
        <v>128</v>
      </c>
      <c r="C544">
        <v>1</v>
      </c>
      <c r="D544" t="s">
        <v>309</v>
      </c>
    </row>
    <row r="545" spans="1:4" x14ac:dyDescent="0.2">
      <c r="A545" t="s">
        <v>114</v>
      </c>
      <c r="B545" t="s">
        <v>119</v>
      </c>
      <c r="C545">
        <v>1</v>
      </c>
      <c r="D545" t="s">
        <v>309</v>
      </c>
    </row>
    <row r="546" spans="1:4" x14ac:dyDescent="0.2">
      <c r="A546" t="s">
        <v>114</v>
      </c>
      <c r="B546" t="s">
        <v>127</v>
      </c>
      <c r="C546">
        <v>1</v>
      </c>
      <c r="D546" t="s">
        <v>309</v>
      </c>
    </row>
    <row r="547" spans="1:4" x14ac:dyDescent="0.2">
      <c r="A547" t="s">
        <v>114</v>
      </c>
      <c r="B547" t="s">
        <v>32</v>
      </c>
      <c r="C547">
        <v>1</v>
      </c>
      <c r="D547" t="s">
        <v>307</v>
      </c>
    </row>
    <row r="548" spans="1:4" x14ac:dyDescent="0.2">
      <c r="A548" t="s">
        <v>114</v>
      </c>
      <c r="B548" t="s">
        <v>75</v>
      </c>
      <c r="C548">
        <v>1</v>
      </c>
      <c r="D548" t="s">
        <v>309</v>
      </c>
    </row>
    <row r="549" spans="1:4" x14ac:dyDescent="0.2">
      <c r="A549" t="s">
        <v>114</v>
      </c>
      <c r="B549" t="s">
        <v>94</v>
      </c>
      <c r="C549">
        <v>1</v>
      </c>
      <c r="D549" t="s">
        <v>309</v>
      </c>
    </row>
    <row r="550" spans="1:4" x14ac:dyDescent="0.2">
      <c r="A550" t="s">
        <v>114</v>
      </c>
      <c r="B550" t="s">
        <v>116</v>
      </c>
      <c r="C550">
        <v>1</v>
      </c>
      <c r="D550" t="s">
        <v>309</v>
      </c>
    </row>
    <row r="551" spans="1:4" x14ac:dyDescent="0.2">
      <c r="A551" t="s">
        <v>114</v>
      </c>
      <c r="B551" t="s">
        <v>189</v>
      </c>
      <c r="C551">
        <v>1</v>
      </c>
      <c r="D551" t="s">
        <v>307</v>
      </c>
    </row>
    <row r="552" spans="1:4" x14ac:dyDescent="0.2">
      <c r="A552" t="s">
        <v>114</v>
      </c>
      <c r="B552" t="s">
        <v>34</v>
      </c>
      <c r="C552">
        <v>1</v>
      </c>
      <c r="D552" t="s">
        <v>309</v>
      </c>
    </row>
    <row r="553" spans="1:4" x14ac:dyDescent="0.2">
      <c r="A553" t="s">
        <v>28</v>
      </c>
      <c r="B553" t="s">
        <v>126</v>
      </c>
      <c r="C553">
        <v>1</v>
      </c>
      <c r="D553" t="s">
        <v>309</v>
      </c>
    </row>
    <row r="554" spans="1:4" x14ac:dyDescent="0.2">
      <c r="A554" t="s">
        <v>28</v>
      </c>
      <c r="B554" t="s">
        <v>38</v>
      </c>
      <c r="C554">
        <v>1</v>
      </c>
      <c r="D554" t="s">
        <v>309</v>
      </c>
    </row>
    <row r="555" spans="1:4" x14ac:dyDescent="0.2">
      <c r="A555" t="s">
        <v>28</v>
      </c>
      <c r="B555" t="s">
        <v>60</v>
      </c>
      <c r="C555">
        <v>1</v>
      </c>
      <c r="D555" t="s">
        <v>308</v>
      </c>
    </row>
    <row r="556" spans="1:4" x14ac:dyDescent="0.2">
      <c r="A556" t="s">
        <v>28</v>
      </c>
      <c r="B556" t="s">
        <v>91</v>
      </c>
      <c r="C556">
        <v>1</v>
      </c>
      <c r="D556" t="s">
        <v>307</v>
      </c>
    </row>
    <row r="557" spans="1:4" x14ac:dyDescent="0.2">
      <c r="A557" t="s">
        <v>28</v>
      </c>
      <c r="B557" t="s">
        <v>90</v>
      </c>
      <c r="C557">
        <v>1</v>
      </c>
      <c r="D557" t="s">
        <v>309</v>
      </c>
    </row>
    <row r="558" spans="1:4" x14ac:dyDescent="0.2">
      <c r="A558" t="s">
        <v>28</v>
      </c>
      <c r="B558" t="s">
        <v>28</v>
      </c>
      <c r="C558">
        <v>1</v>
      </c>
      <c r="D558" t="s">
        <v>307</v>
      </c>
    </row>
    <row r="559" spans="1:4" x14ac:dyDescent="0.2">
      <c r="A559" t="s">
        <v>28</v>
      </c>
      <c r="B559" t="s">
        <v>89</v>
      </c>
      <c r="C559">
        <v>1</v>
      </c>
      <c r="D559" t="s">
        <v>309</v>
      </c>
    </row>
    <row r="560" spans="1:4" x14ac:dyDescent="0.2">
      <c r="A560" t="s">
        <v>28</v>
      </c>
      <c r="B560" t="s">
        <v>128</v>
      </c>
      <c r="C560">
        <v>1</v>
      </c>
      <c r="D560" t="s">
        <v>309</v>
      </c>
    </row>
    <row r="561" spans="1:4" x14ac:dyDescent="0.2">
      <c r="A561" t="s">
        <v>28</v>
      </c>
      <c r="B561" t="s">
        <v>119</v>
      </c>
      <c r="C561">
        <v>1</v>
      </c>
      <c r="D561" t="s">
        <v>309</v>
      </c>
    </row>
    <row r="562" spans="1:4" x14ac:dyDescent="0.2">
      <c r="A562" t="s">
        <v>28</v>
      </c>
      <c r="B562" t="s">
        <v>120</v>
      </c>
      <c r="C562">
        <v>1</v>
      </c>
      <c r="D562" t="s">
        <v>308</v>
      </c>
    </row>
    <row r="563" spans="1:4" x14ac:dyDescent="0.2">
      <c r="A563" t="s">
        <v>28</v>
      </c>
      <c r="B563" t="s">
        <v>66</v>
      </c>
      <c r="C563">
        <v>1</v>
      </c>
      <c r="D563" t="s">
        <v>309</v>
      </c>
    </row>
    <row r="564" spans="1:4" x14ac:dyDescent="0.2">
      <c r="A564" t="s">
        <v>28</v>
      </c>
      <c r="B564" t="s">
        <v>75</v>
      </c>
      <c r="C564">
        <v>1</v>
      </c>
      <c r="D564" t="s">
        <v>309</v>
      </c>
    </row>
    <row r="565" spans="1:4" x14ac:dyDescent="0.2">
      <c r="A565" t="s">
        <v>28</v>
      </c>
      <c r="B565" t="s">
        <v>116</v>
      </c>
      <c r="C565">
        <v>1</v>
      </c>
      <c r="D565" t="s">
        <v>309</v>
      </c>
    </row>
    <row r="566" spans="1:4" x14ac:dyDescent="0.2">
      <c r="A566" t="s">
        <v>28</v>
      </c>
      <c r="B566" t="s">
        <v>55</v>
      </c>
      <c r="C566">
        <v>1</v>
      </c>
      <c r="D566" t="s">
        <v>309</v>
      </c>
    </row>
    <row r="567" spans="1:4" x14ac:dyDescent="0.2">
      <c r="A567" t="s">
        <v>28</v>
      </c>
      <c r="B567" t="s">
        <v>189</v>
      </c>
      <c r="C567">
        <v>1</v>
      </c>
      <c r="D567" t="s">
        <v>307</v>
      </c>
    </row>
    <row r="568" spans="1:4" x14ac:dyDescent="0.2">
      <c r="A568" t="s">
        <v>104</v>
      </c>
      <c r="B568" t="s">
        <v>126</v>
      </c>
      <c r="C568">
        <v>1</v>
      </c>
      <c r="D568" t="s">
        <v>309</v>
      </c>
    </row>
    <row r="569" spans="1:4" x14ac:dyDescent="0.2">
      <c r="A569" t="s">
        <v>104</v>
      </c>
      <c r="B569" t="s">
        <v>38</v>
      </c>
      <c r="C569">
        <v>1</v>
      </c>
      <c r="D569" t="s">
        <v>309</v>
      </c>
    </row>
    <row r="570" spans="1:4" x14ac:dyDescent="0.2">
      <c r="A570" t="s">
        <v>104</v>
      </c>
      <c r="B570" t="s">
        <v>92</v>
      </c>
      <c r="C570">
        <v>1</v>
      </c>
      <c r="D570" t="s">
        <v>307</v>
      </c>
    </row>
    <row r="571" spans="1:4" x14ac:dyDescent="0.2">
      <c r="A571" t="s">
        <v>104</v>
      </c>
      <c r="B571" t="s">
        <v>61</v>
      </c>
      <c r="C571">
        <v>1</v>
      </c>
      <c r="D571" t="s">
        <v>307</v>
      </c>
    </row>
    <row r="572" spans="1:4" x14ac:dyDescent="0.2">
      <c r="A572" t="s">
        <v>104</v>
      </c>
      <c r="B572" t="s">
        <v>104</v>
      </c>
      <c r="C572">
        <v>1</v>
      </c>
      <c r="D572" t="s">
        <v>307</v>
      </c>
    </row>
    <row r="573" spans="1:4" x14ac:dyDescent="0.2">
      <c r="A573" t="s">
        <v>104</v>
      </c>
      <c r="B573" t="s">
        <v>89</v>
      </c>
      <c r="C573">
        <v>1</v>
      </c>
      <c r="D573" t="s">
        <v>309</v>
      </c>
    </row>
    <row r="574" spans="1:4" x14ac:dyDescent="0.2">
      <c r="A574" t="s">
        <v>104</v>
      </c>
      <c r="B574" t="s">
        <v>128</v>
      </c>
      <c r="C574">
        <v>1</v>
      </c>
      <c r="D574" t="s">
        <v>309</v>
      </c>
    </row>
    <row r="575" spans="1:4" x14ac:dyDescent="0.2">
      <c r="A575" t="s">
        <v>104</v>
      </c>
      <c r="B575" t="s">
        <v>119</v>
      </c>
      <c r="C575">
        <v>1</v>
      </c>
      <c r="D575" t="s">
        <v>309</v>
      </c>
    </row>
    <row r="576" spans="1:4" x14ac:dyDescent="0.2">
      <c r="A576" t="s">
        <v>104</v>
      </c>
      <c r="B576" t="s">
        <v>45</v>
      </c>
      <c r="C576">
        <v>1</v>
      </c>
      <c r="D576" t="s">
        <v>307</v>
      </c>
    </row>
    <row r="577" spans="1:4" x14ac:dyDescent="0.2">
      <c r="A577" t="s">
        <v>104</v>
      </c>
      <c r="B577" t="s">
        <v>66</v>
      </c>
      <c r="C577">
        <v>1</v>
      </c>
      <c r="D577" t="s">
        <v>309</v>
      </c>
    </row>
    <row r="578" spans="1:4" x14ac:dyDescent="0.2">
      <c r="A578" t="s">
        <v>104</v>
      </c>
      <c r="B578" t="s">
        <v>75</v>
      </c>
      <c r="C578">
        <v>1</v>
      </c>
      <c r="D578" t="s">
        <v>309</v>
      </c>
    </row>
    <row r="579" spans="1:4" x14ac:dyDescent="0.2">
      <c r="A579" t="s">
        <v>104</v>
      </c>
      <c r="B579" t="s">
        <v>116</v>
      </c>
      <c r="C579">
        <v>1</v>
      </c>
      <c r="D579" t="s">
        <v>309</v>
      </c>
    </row>
    <row r="580" spans="1:4" x14ac:dyDescent="0.2">
      <c r="A580" t="s">
        <v>104</v>
      </c>
      <c r="B580" t="s">
        <v>55</v>
      </c>
      <c r="C580">
        <v>1</v>
      </c>
      <c r="D580" t="s">
        <v>309</v>
      </c>
    </row>
    <row r="581" spans="1:4" x14ac:dyDescent="0.2">
      <c r="A581" t="s">
        <v>104</v>
      </c>
      <c r="B581" t="s">
        <v>122</v>
      </c>
      <c r="C581">
        <v>1</v>
      </c>
      <c r="D581" t="s">
        <v>307</v>
      </c>
    </row>
    <row r="582" spans="1:4" x14ac:dyDescent="0.2">
      <c r="A582" t="s">
        <v>104</v>
      </c>
      <c r="B582" t="s">
        <v>34</v>
      </c>
      <c r="C582">
        <v>1</v>
      </c>
      <c r="D582" t="s">
        <v>309</v>
      </c>
    </row>
    <row r="583" spans="1:4" x14ac:dyDescent="0.2">
      <c r="A583" t="s">
        <v>108</v>
      </c>
      <c r="B583" t="s">
        <v>113</v>
      </c>
      <c r="C583">
        <v>1</v>
      </c>
      <c r="D583" t="s">
        <v>307</v>
      </c>
    </row>
    <row r="584" spans="1:4" x14ac:dyDescent="0.2">
      <c r="A584" t="s">
        <v>108</v>
      </c>
      <c r="B584" t="s">
        <v>310</v>
      </c>
      <c r="C584">
        <v>1</v>
      </c>
      <c r="D584" t="s">
        <v>307</v>
      </c>
    </row>
    <row r="585" spans="1:4" x14ac:dyDescent="0.2">
      <c r="A585" t="s">
        <v>108</v>
      </c>
      <c r="B585" t="s">
        <v>92</v>
      </c>
      <c r="C585">
        <v>1</v>
      </c>
      <c r="D585" t="s">
        <v>307</v>
      </c>
    </row>
    <row r="586" spans="1:4" x14ac:dyDescent="0.2">
      <c r="A586" t="s">
        <v>108</v>
      </c>
      <c r="B586" t="s">
        <v>108</v>
      </c>
      <c r="C586">
        <v>1</v>
      </c>
      <c r="D586" t="s">
        <v>307</v>
      </c>
    </row>
    <row r="587" spans="1:4" x14ac:dyDescent="0.2">
      <c r="A587" t="s">
        <v>108</v>
      </c>
      <c r="B587" t="s">
        <v>112</v>
      </c>
      <c r="C587">
        <v>1</v>
      </c>
      <c r="D587" t="s">
        <v>307</v>
      </c>
    </row>
    <row r="588" spans="1:4" x14ac:dyDescent="0.2">
      <c r="A588" t="s">
        <v>108</v>
      </c>
      <c r="B588" t="s">
        <v>74</v>
      </c>
      <c r="C588">
        <v>1</v>
      </c>
      <c r="D588" t="s">
        <v>307</v>
      </c>
    </row>
    <row r="589" spans="1:4" x14ac:dyDescent="0.2">
      <c r="A589" t="s">
        <v>108</v>
      </c>
      <c r="B589" t="s">
        <v>18</v>
      </c>
      <c r="C589">
        <v>1</v>
      </c>
      <c r="D589" t="s">
        <v>307</v>
      </c>
    </row>
    <row r="590" spans="1:4" x14ac:dyDescent="0.2">
      <c r="A590" t="s">
        <v>108</v>
      </c>
      <c r="B590" t="s">
        <v>69</v>
      </c>
      <c r="C590">
        <v>1</v>
      </c>
      <c r="D590" t="s">
        <v>307</v>
      </c>
    </row>
    <row r="591" spans="1:4" x14ac:dyDescent="0.2">
      <c r="A591" t="s">
        <v>108</v>
      </c>
      <c r="B591" t="s">
        <v>186</v>
      </c>
      <c r="C591">
        <v>1</v>
      </c>
      <c r="D591" t="s">
        <v>307</v>
      </c>
    </row>
    <row r="592" spans="1:4" x14ac:dyDescent="0.2">
      <c r="A592" t="s">
        <v>108</v>
      </c>
      <c r="B592" t="s">
        <v>189</v>
      </c>
      <c r="C592">
        <v>1</v>
      </c>
      <c r="D592" t="s">
        <v>307</v>
      </c>
    </row>
    <row r="593" spans="1:4" x14ac:dyDescent="0.2">
      <c r="A593" t="s">
        <v>107</v>
      </c>
      <c r="B593" t="s">
        <v>126</v>
      </c>
      <c r="C593">
        <v>1</v>
      </c>
      <c r="D593" t="s">
        <v>309</v>
      </c>
    </row>
    <row r="594" spans="1:4" x14ac:dyDescent="0.2">
      <c r="A594" t="s">
        <v>107</v>
      </c>
      <c r="B594" t="s">
        <v>178</v>
      </c>
      <c r="C594">
        <v>1</v>
      </c>
      <c r="D594" t="s">
        <v>307</v>
      </c>
    </row>
    <row r="595" spans="1:4" x14ac:dyDescent="0.2">
      <c r="A595" t="s">
        <v>107</v>
      </c>
      <c r="B595" t="s">
        <v>36</v>
      </c>
      <c r="C595">
        <v>1</v>
      </c>
      <c r="D595" t="s">
        <v>307</v>
      </c>
    </row>
    <row r="596" spans="1:4" x14ac:dyDescent="0.2">
      <c r="A596" t="s">
        <v>107</v>
      </c>
      <c r="B596" t="s">
        <v>95</v>
      </c>
      <c r="C596">
        <v>1</v>
      </c>
      <c r="D596" t="s">
        <v>309</v>
      </c>
    </row>
    <row r="597" spans="1:4" x14ac:dyDescent="0.2">
      <c r="A597" t="s">
        <v>107</v>
      </c>
      <c r="B597" t="s">
        <v>28</v>
      </c>
      <c r="C597">
        <v>1</v>
      </c>
      <c r="D597" t="s">
        <v>309</v>
      </c>
    </row>
    <row r="598" spans="1:4" x14ac:dyDescent="0.2">
      <c r="A598" t="s">
        <v>107</v>
      </c>
      <c r="B598" t="s">
        <v>107</v>
      </c>
      <c r="C598">
        <v>1</v>
      </c>
      <c r="D598" t="s">
        <v>307</v>
      </c>
    </row>
    <row r="599" spans="1:4" x14ac:dyDescent="0.2">
      <c r="A599" t="s">
        <v>107</v>
      </c>
      <c r="B599" t="s">
        <v>89</v>
      </c>
      <c r="C599">
        <v>1</v>
      </c>
      <c r="D599" t="s">
        <v>309</v>
      </c>
    </row>
    <row r="600" spans="1:4" x14ac:dyDescent="0.2">
      <c r="A600" t="s">
        <v>107</v>
      </c>
      <c r="B600" t="s">
        <v>128</v>
      </c>
      <c r="C600">
        <v>1</v>
      </c>
      <c r="D600" t="s">
        <v>309</v>
      </c>
    </row>
    <row r="601" spans="1:4" x14ac:dyDescent="0.2">
      <c r="A601" t="s">
        <v>107</v>
      </c>
      <c r="B601" t="s">
        <v>87</v>
      </c>
      <c r="C601">
        <v>1</v>
      </c>
      <c r="D601" t="s">
        <v>309</v>
      </c>
    </row>
    <row r="602" spans="1:4" x14ac:dyDescent="0.2">
      <c r="A602" t="s">
        <v>107</v>
      </c>
      <c r="B602" t="s">
        <v>119</v>
      </c>
      <c r="C602">
        <v>1</v>
      </c>
      <c r="D602" t="s">
        <v>309</v>
      </c>
    </row>
    <row r="603" spans="1:4" x14ac:dyDescent="0.2">
      <c r="A603" t="s">
        <v>107</v>
      </c>
      <c r="B603" t="s">
        <v>118</v>
      </c>
      <c r="C603">
        <v>1</v>
      </c>
      <c r="D603" t="s">
        <v>309</v>
      </c>
    </row>
    <row r="604" spans="1:4" x14ac:dyDescent="0.2">
      <c r="A604" t="s">
        <v>107</v>
      </c>
      <c r="B604" t="s">
        <v>127</v>
      </c>
      <c r="C604">
        <v>1</v>
      </c>
      <c r="D604" t="s">
        <v>309</v>
      </c>
    </row>
    <row r="605" spans="1:4" x14ac:dyDescent="0.2">
      <c r="A605" t="s">
        <v>107</v>
      </c>
      <c r="B605" t="s">
        <v>75</v>
      </c>
      <c r="C605">
        <v>1</v>
      </c>
      <c r="D605" t="s">
        <v>309</v>
      </c>
    </row>
    <row r="606" spans="1:4" x14ac:dyDescent="0.2">
      <c r="A606" t="s">
        <v>107</v>
      </c>
      <c r="B606" t="s">
        <v>18</v>
      </c>
      <c r="C606">
        <v>1</v>
      </c>
      <c r="D606" t="s">
        <v>309</v>
      </c>
    </row>
    <row r="607" spans="1:4" x14ac:dyDescent="0.2">
      <c r="A607" t="s">
        <v>107</v>
      </c>
      <c r="B607" t="s">
        <v>94</v>
      </c>
      <c r="C607">
        <v>1</v>
      </c>
      <c r="D607" t="s">
        <v>309</v>
      </c>
    </row>
    <row r="608" spans="1:4" x14ac:dyDescent="0.2">
      <c r="A608" t="s">
        <v>107</v>
      </c>
      <c r="B608" t="s">
        <v>116</v>
      </c>
      <c r="C608">
        <v>1</v>
      </c>
      <c r="D608" t="s">
        <v>309</v>
      </c>
    </row>
    <row r="609" spans="1:4" x14ac:dyDescent="0.2">
      <c r="A609" t="s">
        <v>107</v>
      </c>
      <c r="B609" t="s">
        <v>122</v>
      </c>
      <c r="C609">
        <v>1</v>
      </c>
      <c r="D609" t="s">
        <v>307</v>
      </c>
    </row>
    <row r="610" spans="1:4" x14ac:dyDescent="0.2">
      <c r="A610" t="s">
        <v>107</v>
      </c>
      <c r="B610" t="s">
        <v>34</v>
      </c>
      <c r="C610">
        <v>1</v>
      </c>
      <c r="D610" t="s">
        <v>309</v>
      </c>
    </row>
    <row r="611" spans="1:4" x14ac:dyDescent="0.2">
      <c r="A611" t="s">
        <v>106</v>
      </c>
      <c r="B611" t="s">
        <v>96</v>
      </c>
      <c r="C611">
        <v>1</v>
      </c>
      <c r="D611" t="s">
        <v>308</v>
      </c>
    </row>
    <row r="612" spans="1:4" x14ac:dyDescent="0.2">
      <c r="A612" t="s">
        <v>106</v>
      </c>
      <c r="B612" t="s">
        <v>187</v>
      </c>
      <c r="C612">
        <v>1</v>
      </c>
      <c r="D612" t="s">
        <v>308</v>
      </c>
    </row>
    <row r="613" spans="1:4" x14ac:dyDescent="0.2">
      <c r="A613" t="s">
        <v>106</v>
      </c>
      <c r="B613" t="s">
        <v>163</v>
      </c>
      <c r="C613">
        <v>1</v>
      </c>
      <c r="D613" t="s">
        <v>308</v>
      </c>
    </row>
    <row r="614" spans="1:4" x14ac:dyDescent="0.2">
      <c r="A614" t="s">
        <v>106</v>
      </c>
      <c r="B614" t="s">
        <v>125</v>
      </c>
      <c r="C614">
        <v>1</v>
      </c>
      <c r="D614" t="s">
        <v>308</v>
      </c>
    </row>
    <row r="615" spans="1:4" x14ac:dyDescent="0.2">
      <c r="A615" t="s">
        <v>106</v>
      </c>
      <c r="B615" t="s">
        <v>90</v>
      </c>
      <c r="C615">
        <v>1</v>
      </c>
      <c r="D615" t="s">
        <v>308</v>
      </c>
    </row>
    <row r="616" spans="1:4" x14ac:dyDescent="0.2">
      <c r="A616" t="s">
        <v>106</v>
      </c>
      <c r="B616" t="s">
        <v>104</v>
      </c>
      <c r="C616">
        <v>1</v>
      </c>
      <c r="D616" t="s">
        <v>308</v>
      </c>
    </row>
    <row r="617" spans="1:4" x14ac:dyDescent="0.2">
      <c r="A617" t="s">
        <v>106</v>
      </c>
      <c r="B617" t="s">
        <v>108</v>
      </c>
      <c r="C617">
        <v>1</v>
      </c>
      <c r="D617" t="s">
        <v>308</v>
      </c>
    </row>
    <row r="618" spans="1:4" x14ac:dyDescent="0.2">
      <c r="A618" t="s">
        <v>106</v>
      </c>
      <c r="B618" t="s">
        <v>107</v>
      </c>
      <c r="C618">
        <v>1</v>
      </c>
      <c r="D618" t="s">
        <v>308</v>
      </c>
    </row>
    <row r="619" spans="1:4" x14ac:dyDescent="0.2">
      <c r="A619" t="s">
        <v>106</v>
      </c>
      <c r="B619" t="s">
        <v>193</v>
      </c>
      <c r="C619">
        <v>1</v>
      </c>
      <c r="D619" t="s">
        <v>308</v>
      </c>
    </row>
    <row r="620" spans="1:4" x14ac:dyDescent="0.2">
      <c r="A620" t="s">
        <v>106</v>
      </c>
      <c r="B620" t="s">
        <v>120</v>
      </c>
      <c r="C620">
        <v>1</v>
      </c>
      <c r="D620" t="s">
        <v>307</v>
      </c>
    </row>
    <row r="621" spans="1:4" x14ac:dyDescent="0.2">
      <c r="A621" t="s">
        <v>106</v>
      </c>
      <c r="B621" t="s">
        <v>32</v>
      </c>
      <c r="C621">
        <v>1</v>
      </c>
      <c r="D621" t="s">
        <v>308</v>
      </c>
    </row>
    <row r="622" spans="1:4" x14ac:dyDescent="0.2">
      <c r="A622" t="s">
        <v>106</v>
      </c>
      <c r="B622" t="s">
        <v>73</v>
      </c>
      <c r="C622">
        <v>1</v>
      </c>
      <c r="D622" t="s">
        <v>308</v>
      </c>
    </row>
    <row r="623" spans="1:4" x14ac:dyDescent="0.2">
      <c r="A623" t="s">
        <v>106</v>
      </c>
      <c r="B623" t="s">
        <v>55</v>
      </c>
      <c r="C623">
        <v>1</v>
      </c>
      <c r="D623" t="s">
        <v>308</v>
      </c>
    </row>
    <row r="624" spans="1:4" x14ac:dyDescent="0.2">
      <c r="A624" t="s">
        <v>106</v>
      </c>
      <c r="B624" t="s">
        <v>53</v>
      </c>
      <c r="C624">
        <v>1</v>
      </c>
      <c r="D624" t="s">
        <v>308</v>
      </c>
    </row>
    <row r="625" spans="1:4" x14ac:dyDescent="0.2">
      <c r="A625" t="s">
        <v>106</v>
      </c>
      <c r="B625" t="s">
        <v>17</v>
      </c>
      <c r="C625">
        <v>1</v>
      </c>
      <c r="D625" t="s">
        <v>308</v>
      </c>
    </row>
    <row r="626" spans="1:4" x14ac:dyDescent="0.2">
      <c r="A626" t="s">
        <v>193</v>
      </c>
      <c r="B626" t="s">
        <v>42</v>
      </c>
      <c r="C626">
        <v>1</v>
      </c>
      <c r="D626" t="s">
        <v>307</v>
      </c>
    </row>
    <row r="627" spans="1:4" x14ac:dyDescent="0.2">
      <c r="A627" t="s">
        <v>193</v>
      </c>
      <c r="B627" t="s">
        <v>126</v>
      </c>
      <c r="C627">
        <v>1</v>
      </c>
      <c r="D627" t="s">
        <v>309</v>
      </c>
    </row>
    <row r="628" spans="1:4" x14ac:dyDescent="0.2">
      <c r="A628" t="s">
        <v>193</v>
      </c>
      <c r="B628" t="s">
        <v>38</v>
      </c>
      <c r="C628">
        <v>1</v>
      </c>
      <c r="D628" t="s">
        <v>309</v>
      </c>
    </row>
    <row r="629" spans="1:4" x14ac:dyDescent="0.2">
      <c r="A629" t="s">
        <v>193</v>
      </c>
      <c r="B629" t="s">
        <v>95</v>
      </c>
      <c r="C629">
        <v>1</v>
      </c>
      <c r="D629" t="s">
        <v>309</v>
      </c>
    </row>
    <row r="630" spans="1:4" x14ac:dyDescent="0.2">
      <c r="A630" t="s">
        <v>193</v>
      </c>
      <c r="B630" t="s">
        <v>193</v>
      </c>
      <c r="C630">
        <v>1</v>
      </c>
      <c r="D630" t="s">
        <v>307</v>
      </c>
    </row>
    <row r="631" spans="1:4" x14ac:dyDescent="0.2">
      <c r="A631" t="s">
        <v>193</v>
      </c>
      <c r="B631" t="s">
        <v>89</v>
      </c>
      <c r="C631">
        <v>1</v>
      </c>
      <c r="D631" t="s">
        <v>309</v>
      </c>
    </row>
    <row r="632" spans="1:4" x14ac:dyDescent="0.2">
      <c r="A632" t="s">
        <v>193</v>
      </c>
      <c r="B632" t="s">
        <v>128</v>
      </c>
      <c r="C632">
        <v>1</v>
      </c>
      <c r="D632" t="s">
        <v>309</v>
      </c>
    </row>
    <row r="633" spans="1:4" x14ac:dyDescent="0.2">
      <c r="A633" t="s">
        <v>193</v>
      </c>
      <c r="B633" t="s">
        <v>87</v>
      </c>
      <c r="C633">
        <v>1</v>
      </c>
      <c r="D633" t="s">
        <v>309</v>
      </c>
    </row>
    <row r="634" spans="1:4" x14ac:dyDescent="0.2">
      <c r="A634" t="s">
        <v>193</v>
      </c>
      <c r="B634" t="s">
        <v>119</v>
      </c>
      <c r="C634">
        <v>1</v>
      </c>
      <c r="D634" t="s">
        <v>309</v>
      </c>
    </row>
    <row r="635" spans="1:4" x14ac:dyDescent="0.2">
      <c r="A635" t="s">
        <v>193</v>
      </c>
      <c r="B635" t="s">
        <v>118</v>
      </c>
      <c r="C635">
        <v>1</v>
      </c>
      <c r="D635" t="s">
        <v>309</v>
      </c>
    </row>
    <row r="636" spans="1:4" x14ac:dyDescent="0.2">
      <c r="A636" t="s">
        <v>193</v>
      </c>
      <c r="B636" t="s">
        <v>127</v>
      </c>
      <c r="C636">
        <v>1</v>
      </c>
      <c r="D636" t="s">
        <v>309</v>
      </c>
    </row>
    <row r="637" spans="1:4" x14ac:dyDescent="0.2">
      <c r="A637" t="s">
        <v>193</v>
      </c>
      <c r="B637" t="s">
        <v>32</v>
      </c>
      <c r="C637">
        <v>1</v>
      </c>
      <c r="D637" t="s">
        <v>307</v>
      </c>
    </row>
    <row r="638" spans="1:4" x14ac:dyDescent="0.2">
      <c r="A638" t="s">
        <v>193</v>
      </c>
      <c r="B638" t="s">
        <v>73</v>
      </c>
      <c r="C638">
        <v>1</v>
      </c>
      <c r="D638" t="s">
        <v>309</v>
      </c>
    </row>
    <row r="639" spans="1:4" x14ac:dyDescent="0.2">
      <c r="A639" t="s">
        <v>193</v>
      </c>
      <c r="B639" t="s">
        <v>75</v>
      </c>
      <c r="C639">
        <v>1</v>
      </c>
      <c r="D639" t="s">
        <v>309</v>
      </c>
    </row>
    <row r="640" spans="1:4" x14ac:dyDescent="0.2">
      <c r="A640" t="s">
        <v>193</v>
      </c>
      <c r="B640" t="s">
        <v>18</v>
      </c>
      <c r="C640">
        <v>1</v>
      </c>
      <c r="D640" t="s">
        <v>309</v>
      </c>
    </row>
    <row r="641" spans="1:4" x14ac:dyDescent="0.2">
      <c r="A641" t="s">
        <v>193</v>
      </c>
      <c r="B641" t="s">
        <v>94</v>
      </c>
      <c r="C641">
        <v>1</v>
      </c>
      <c r="D641" t="s">
        <v>309</v>
      </c>
    </row>
    <row r="642" spans="1:4" x14ac:dyDescent="0.2">
      <c r="A642" t="s">
        <v>193</v>
      </c>
      <c r="B642" t="s">
        <v>116</v>
      </c>
      <c r="C642">
        <v>1</v>
      </c>
      <c r="D642" t="s">
        <v>309</v>
      </c>
    </row>
    <row r="643" spans="1:4" x14ac:dyDescent="0.2">
      <c r="A643" t="s">
        <v>193</v>
      </c>
      <c r="B643" t="s">
        <v>55</v>
      </c>
      <c r="C643">
        <v>1</v>
      </c>
      <c r="D643" t="s">
        <v>309</v>
      </c>
    </row>
    <row r="644" spans="1:4" x14ac:dyDescent="0.2">
      <c r="A644" t="s">
        <v>193</v>
      </c>
      <c r="B644" t="s">
        <v>34</v>
      </c>
      <c r="C644">
        <v>1</v>
      </c>
      <c r="D644" t="s">
        <v>309</v>
      </c>
    </row>
    <row r="645" spans="1:4" x14ac:dyDescent="0.2">
      <c r="A645" t="s">
        <v>102</v>
      </c>
      <c r="B645" t="s">
        <v>126</v>
      </c>
      <c r="C645">
        <v>1</v>
      </c>
      <c r="D645" t="s">
        <v>309</v>
      </c>
    </row>
    <row r="646" spans="1:4" x14ac:dyDescent="0.2">
      <c r="A646" t="s">
        <v>102</v>
      </c>
      <c r="B646" t="s">
        <v>96</v>
      </c>
      <c r="C646">
        <v>1</v>
      </c>
      <c r="D646" t="s">
        <v>308</v>
      </c>
    </row>
    <row r="647" spans="1:4" x14ac:dyDescent="0.2">
      <c r="A647" t="s">
        <v>102</v>
      </c>
      <c r="B647" t="s">
        <v>187</v>
      </c>
      <c r="C647">
        <v>1</v>
      </c>
      <c r="D647" t="s">
        <v>308</v>
      </c>
    </row>
    <row r="648" spans="1:4" x14ac:dyDescent="0.2">
      <c r="A648" t="s">
        <v>102</v>
      </c>
      <c r="B648" t="s">
        <v>95</v>
      </c>
      <c r="C648">
        <v>1</v>
      </c>
      <c r="D648" t="s">
        <v>309</v>
      </c>
    </row>
    <row r="649" spans="1:4" x14ac:dyDescent="0.2">
      <c r="A649" t="s">
        <v>102</v>
      </c>
      <c r="B649" t="s">
        <v>106</v>
      </c>
      <c r="C649">
        <v>1</v>
      </c>
      <c r="D649" t="s">
        <v>308</v>
      </c>
    </row>
    <row r="650" spans="1:4" x14ac:dyDescent="0.2">
      <c r="A650" t="s">
        <v>102</v>
      </c>
      <c r="B650" t="s">
        <v>89</v>
      </c>
      <c r="C650">
        <v>1</v>
      </c>
      <c r="D650" t="s">
        <v>309</v>
      </c>
    </row>
    <row r="651" spans="1:4" x14ac:dyDescent="0.2">
      <c r="A651" t="s">
        <v>102</v>
      </c>
      <c r="B651" t="s">
        <v>128</v>
      </c>
      <c r="C651">
        <v>1</v>
      </c>
      <c r="D651" t="s">
        <v>309</v>
      </c>
    </row>
    <row r="652" spans="1:4" x14ac:dyDescent="0.2">
      <c r="A652" t="s">
        <v>102</v>
      </c>
      <c r="B652" t="s">
        <v>87</v>
      </c>
      <c r="C652">
        <v>1</v>
      </c>
      <c r="D652" t="s">
        <v>309</v>
      </c>
    </row>
    <row r="653" spans="1:4" x14ac:dyDescent="0.2">
      <c r="A653" t="s">
        <v>102</v>
      </c>
      <c r="B653" t="s">
        <v>119</v>
      </c>
      <c r="C653">
        <v>1</v>
      </c>
      <c r="D653" t="s">
        <v>309</v>
      </c>
    </row>
    <row r="654" spans="1:4" x14ac:dyDescent="0.2">
      <c r="A654" t="s">
        <v>102</v>
      </c>
      <c r="B654" t="s">
        <v>118</v>
      </c>
      <c r="C654">
        <v>1</v>
      </c>
      <c r="D654" t="s">
        <v>309</v>
      </c>
    </row>
    <row r="655" spans="1:4" x14ac:dyDescent="0.2">
      <c r="A655" t="s">
        <v>102</v>
      </c>
      <c r="B655" t="s">
        <v>127</v>
      </c>
      <c r="C655">
        <v>1</v>
      </c>
      <c r="D655" t="s">
        <v>309</v>
      </c>
    </row>
    <row r="656" spans="1:4" x14ac:dyDescent="0.2">
      <c r="A656" t="s">
        <v>102</v>
      </c>
      <c r="B656" t="s">
        <v>27</v>
      </c>
      <c r="C656">
        <v>1</v>
      </c>
      <c r="D656" t="s">
        <v>309</v>
      </c>
    </row>
    <row r="657" spans="1:4" x14ac:dyDescent="0.2">
      <c r="A657" t="s">
        <v>102</v>
      </c>
      <c r="B657" t="s">
        <v>25</v>
      </c>
      <c r="C657">
        <v>1</v>
      </c>
      <c r="D657" t="s">
        <v>309</v>
      </c>
    </row>
    <row r="658" spans="1:4" x14ac:dyDescent="0.2">
      <c r="A658" t="s">
        <v>102</v>
      </c>
      <c r="B658" t="s">
        <v>73</v>
      </c>
      <c r="C658">
        <v>1</v>
      </c>
      <c r="D658" t="s">
        <v>309</v>
      </c>
    </row>
    <row r="659" spans="1:4" x14ac:dyDescent="0.2">
      <c r="A659" t="s">
        <v>102</v>
      </c>
      <c r="B659" t="s">
        <v>66</v>
      </c>
      <c r="C659">
        <v>1</v>
      </c>
      <c r="D659" t="s">
        <v>309</v>
      </c>
    </row>
    <row r="660" spans="1:4" x14ac:dyDescent="0.2">
      <c r="A660" t="s">
        <v>102</v>
      </c>
      <c r="B660" t="s">
        <v>75</v>
      </c>
      <c r="C660">
        <v>1</v>
      </c>
      <c r="D660" t="s">
        <v>309</v>
      </c>
    </row>
    <row r="661" spans="1:4" x14ac:dyDescent="0.2">
      <c r="A661" t="s">
        <v>102</v>
      </c>
      <c r="B661" t="s">
        <v>18</v>
      </c>
      <c r="C661">
        <v>1</v>
      </c>
      <c r="D661" t="s">
        <v>309</v>
      </c>
    </row>
    <row r="662" spans="1:4" x14ac:dyDescent="0.2">
      <c r="A662" t="s">
        <v>102</v>
      </c>
      <c r="B662" t="s">
        <v>94</v>
      </c>
      <c r="C662">
        <v>1</v>
      </c>
      <c r="D662" t="s">
        <v>309</v>
      </c>
    </row>
    <row r="663" spans="1:4" x14ac:dyDescent="0.2">
      <c r="A663" t="s">
        <v>102</v>
      </c>
      <c r="B663" t="s">
        <v>116</v>
      </c>
      <c r="C663">
        <v>1</v>
      </c>
      <c r="D663" t="s">
        <v>309</v>
      </c>
    </row>
    <row r="664" spans="1:4" x14ac:dyDescent="0.2">
      <c r="A664" t="s">
        <v>102</v>
      </c>
      <c r="B664" t="s">
        <v>55</v>
      </c>
      <c r="C664">
        <v>1</v>
      </c>
      <c r="D664" t="s">
        <v>309</v>
      </c>
    </row>
    <row r="665" spans="1:4" x14ac:dyDescent="0.2">
      <c r="A665" t="s">
        <v>102</v>
      </c>
      <c r="B665" t="s">
        <v>34</v>
      </c>
      <c r="C665">
        <v>1</v>
      </c>
      <c r="D665" t="s">
        <v>309</v>
      </c>
    </row>
    <row r="666" spans="1:4" x14ac:dyDescent="0.2">
      <c r="A666" t="s">
        <v>85</v>
      </c>
      <c r="B666" t="s">
        <v>42</v>
      </c>
      <c r="C666">
        <v>1</v>
      </c>
      <c r="D666" t="s">
        <v>307</v>
      </c>
    </row>
    <row r="667" spans="1:4" x14ac:dyDescent="0.2">
      <c r="A667" t="s">
        <v>85</v>
      </c>
      <c r="B667" t="s">
        <v>85</v>
      </c>
      <c r="C667">
        <v>1</v>
      </c>
      <c r="D667" t="s">
        <v>307</v>
      </c>
    </row>
    <row r="668" spans="1:4" x14ac:dyDescent="0.2">
      <c r="A668" t="s">
        <v>85</v>
      </c>
      <c r="B668" t="s">
        <v>101</v>
      </c>
      <c r="C668">
        <v>1</v>
      </c>
      <c r="D668" t="s">
        <v>307</v>
      </c>
    </row>
    <row r="669" spans="1:4" x14ac:dyDescent="0.2">
      <c r="A669" t="s">
        <v>85</v>
      </c>
      <c r="B669" t="s">
        <v>119</v>
      </c>
      <c r="C669">
        <v>1</v>
      </c>
      <c r="D669" t="s">
        <v>308</v>
      </c>
    </row>
    <row r="670" spans="1:4" x14ac:dyDescent="0.2">
      <c r="A670" t="s">
        <v>85</v>
      </c>
      <c r="B670" t="s">
        <v>18</v>
      </c>
      <c r="C670">
        <v>1</v>
      </c>
      <c r="D670" t="s">
        <v>308</v>
      </c>
    </row>
    <row r="671" spans="1:4" x14ac:dyDescent="0.2">
      <c r="A671" t="s">
        <v>100</v>
      </c>
      <c r="B671" t="s">
        <v>100</v>
      </c>
      <c r="C671">
        <v>1</v>
      </c>
      <c r="D671" t="s">
        <v>307</v>
      </c>
    </row>
    <row r="672" spans="1:4" x14ac:dyDescent="0.2">
      <c r="A672" t="s">
        <v>100</v>
      </c>
      <c r="B672" t="s">
        <v>121</v>
      </c>
      <c r="C672">
        <v>1</v>
      </c>
      <c r="D672" t="s">
        <v>308</v>
      </c>
    </row>
    <row r="673" spans="1:4" x14ac:dyDescent="0.2">
      <c r="A673" t="s">
        <v>100</v>
      </c>
      <c r="B673" t="s">
        <v>99</v>
      </c>
      <c r="C673">
        <v>1</v>
      </c>
      <c r="D673" t="s">
        <v>308</v>
      </c>
    </row>
    <row r="674" spans="1:4" x14ac:dyDescent="0.2">
      <c r="A674" t="s">
        <v>100</v>
      </c>
      <c r="B674" t="s">
        <v>212</v>
      </c>
      <c r="C674">
        <v>1</v>
      </c>
      <c r="D674" t="s">
        <v>307</v>
      </c>
    </row>
    <row r="675" spans="1:4" x14ac:dyDescent="0.2">
      <c r="A675" t="s">
        <v>83</v>
      </c>
      <c r="B675" t="s">
        <v>38</v>
      </c>
      <c r="C675">
        <v>1</v>
      </c>
      <c r="D675" t="s">
        <v>308</v>
      </c>
    </row>
    <row r="676" spans="1:4" x14ac:dyDescent="0.2">
      <c r="A676" t="s">
        <v>83</v>
      </c>
      <c r="B676" t="s">
        <v>36</v>
      </c>
      <c r="C676">
        <v>1</v>
      </c>
      <c r="D676" t="s">
        <v>308</v>
      </c>
    </row>
    <row r="677" spans="1:4" x14ac:dyDescent="0.2">
      <c r="A677" t="s">
        <v>83</v>
      </c>
      <c r="B677" t="s">
        <v>41</v>
      </c>
      <c r="C677">
        <v>1</v>
      </c>
      <c r="D677" t="s">
        <v>307</v>
      </c>
    </row>
    <row r="678" spans="1:4" x14ac:dyDescent="0.2">
      <c r="A678" t="s">
        <v>83</v>
      </c>
      <c r="B678" t="s">
        <v>94</v>
      </c>
      <c r="C678">
        <v>1</v>
      </c>
      <c r="D678" t="s">
        <v>308</v>
      </c>
    </row>
    <row r="679" spans="1:4" x14ac:dyDescent="0.2">
      <c r="A679" t="s">
        <v>83</v>
      </c>
      <c r="B679" t="s">
        <v>110</v>
      </c>
      <c r="C679">
        <v>1</v>
      </c>
      <c r="D679" t="s">
        <v>308</v>
      </c>
    </row>
    <row r="680" spans="1:4" x14ac:dyDescent="0.2">
      <c r="A680" t="s">
        <v>83</v>
      </c>
      <c r="B680" t="s">
        <v>35</v>
      </c>
      <c r="C680">
        <v>1</v>
      </c>
      <c r="D680" t="s">
        <v>308</v>
      </c>
    </row>
    <row r="681" spans="1:4" x14ac:dyDescent="0.2">
      <c r="A681" t="s">
        <v>83</v>
      </c>
      <c r="B681" t="s">
        <v>55</v>
      </c>
      <c r="C681">
        <v>1</v>
      </c>
      <c r="D681" t="s">
        <v>308</v>
      </c>
    </row>
    <row r="682" spans="1:4" x14ac:dyDescent="0.2">
      <c r="A682" t="s">
        <v>83</v>
      </c>
      <c r="B682" t="s">
        <v>48</v>
      </c>
      <c r="C682">
        <v>1</v>
      </c>
      <c r="D682" t="s">
        <v>308</v>
      </c>
    </row>
    <row r="683" spans="1:4" x14ac:dyDescent="0.2">
      <c r="A683" t="s">
        <v>89</v>
      </c>
      <c r="B683" t="s">
        <v>126</v>
      </c>
      <c r="C683">
        <v>1</v>
      </c>
      <c r="D683" t="s">
        <v>309</v>
      </c>
    </row>
    <row r="684" spans="1:4" x14ac:dyDescent="0.2">
      <c r="A684" t="s">
        <v>89</v>
      </c>
      <c r="B684" t="s">
        <v>93</v>
      </c>
      <c r="C684">
        <v>1</v>
      </c>
      <c r="D684" t="s">
        <v>309</v>
      </c>
    </row>
    <row r="685" spans="1:4" x14ac:dyDescent="0.2">
      <c r="A685" t="s">
        <v>89</v>
      </c>
      <c r="B685" t="s">
        <v>111</v>
      </c>
      <c r="C685">
        <v>1</v>
      </c>
      <c r="D685" t="s">
        <v>309</v>
      </c>
    </row>
    <row r="686" spans="1:4" x14ac:dyDescent="0.2">
      <c r="A686" t="s">
        <v>89</v>
      </c>
      <c r="B686" t="s">
        <v>90</v>
      </c>
      <c r="C686">
        <v>1</v>
      </c>
      <c r="D686" t="s">
        <v>309</v>
      </c>
    </row>
    <row r="687" spans="1:4" x14ac:dyDescent="0.2">
      <c r="A687" t="s">
        <v>89</v>
      </c>
      <c r="B687" t="s">
        <v>83</v>
      </c>
      <c r="C687">
        <v>1</v>
      </c>
      <c r="D687" t="s">
        <v>307</v>
      </c>
    </row>
    <row r="688" spans="1:4" x14ac:dyDescent="0.2">
      <c r="A688" t="s">
        <v>89</v>
      </c>
      <c r="B688" t="s">
        <v>89</v>
      </c>
      <c r="C688">
        <v>1</v>
      </c>
      <c r="D688" t="s">
        <v>307</v>
      </c>
    </row>
    <row r="689" spans="1:4" x14ac:dyDescent="0.2">
      <c r="A689" t="s">
        <v>89</v>
      </c>
      <c r="B689" t="s">
        <v>128</v>
      </c>
      <c r="C689">
        <v>1</v>
      </c>
      <c r="D689" t="s">
        <v>309</v>
      </c>
    </row>
    <row r="690" spans="1:4" x14ac:dyDescent="0.2">
      <c r="A690" t="s">
        <v>89</v>
      </c>
      <c r="B690" t="s">
        <v>66</v>
      </c>
      <c r="C690">
        <v>1</v>
      </c>
      <c r="D690" t="s">
        <v>309</v>
      </c>
    </row>
    <row r="691" spans="1:4" x14ac:dyDescent="0.2">
      <c r="A691" t="s">
        <v>89</v>
      </c>
      <c r="B691" t="s">
        <v>75</v>
      </c>
      <c r="C691">
        <v>1</v>
      </c>
      <c r="D691" t="s">
        <v>309</v>
      </c>
    </row>
    <row r="692" spans="1:4" x14ac:dyDescent="0.2">
      <c r="A692" t="s">
        <v>89</v>
      </c>
      <c r="B692" t="s">
        <v>18</v>
      </c>
      <c r="C692">
        <v>1</v>
      </c>
      <c r="D692" t="s">
        <v>309</v>
      </c>
    </row>
    <row r="693" spans="1:4" x14ac:dyDescent="0.2">
      <c r="A693" t="s">
        <v>89</v>
      </c>
      <c r="B693" t="s">
        <v>116</v>
      </c>
      <c r="C693">
        <v>1</v>
      </c>
      <c r="D693" t="s">
        <v>309</v>
      </c>
    </row>
    <row r="694" spans="1:4" x14ac:dyDescent="0.2">
      <c r="A694" t="s">
        <v>89</v>
      </c>
      <c r="B694" t="s">
        <v>55</v>
      </c>
      <c r="C694">
        <v>1</v>
      </c>
      <c r="D694" t="s">
        <v>309</v>
      </c>
    </row>
    <row r="695" spans="1:4" x14ac:dyDescent="0.2">
      <c r="A695" t="s">
        <v>88</v>
      </c>
      <c r="B695" t="s">
        <v>212</v>
      </c>
      <c r="C695">
        <v>1</v>
      </c>
      <c r="D695" t="s">
        <v>307</v>
      </c>
    </row>
    <row r="696" spans="1:4" x14ac:dyDescent="0.2">
      <c r="A696" t="s">
        <v>88</v>
      </c>
      <c r="B696" t="s">
        <v>32</v>
      </c>
      <c r="C696">
        <v>1</v>
      </c>
      <c r="D696" t="s">
        <v>307</v>
      </c>
    </row>
    <row r="697" spans="1:4" x14ac:dyDescent="0.2">
      <c r="A697" t="s">
        <v>128</v>
      </c>
      <c r="B697" t="s">
        <v>126</v>
      </c>
      <c r="C697">
        <v>1</v>
      </c>
      <c r="D697" t="s">
        <v>309</v>
      </c>
    </row>
    <row r="698" spans="1:4" x14ac:dyDescent="0.2">
      <c r="A698" t="s">
        <v>128</v>
      </c>
      <c r="B698" t="s">
        <v>64</v>
      </c>
      <c r="C698">
        <v>1</v>
      </c>
      <c r="D698" t="s">
        <v>307</v>
      </c>
    </row>
    <row r="699" spans="1:4" x14ac:dyDescent="0.2">
      <c r="A699" t="s">
        <v>128</v>
      </c>
      <c r="B699" t="s">
        <v>93</v>
      </c>
      <c r="C699">
        <v>1</v>
      </c>
      <c r="D699" t="s">
        <v>309</v>
      </c>
    </row>
    <row r="700" spans="1:4" x14ac:dyDescent="0.2">
      <c r="A700" t="s">
        <v>128</v>
      </c>
      <c r="B700" t="s">
        <v>111</v>
      </c>
      <c r="C700">
        <v>1</v>
      </c>
      <c r="D700" t="s">
        <v>309</v>
      </c>
    </row>
    <row r="701" spans="1:4" x14ac:dyDescent="0.2">
      <c r="A701" t="s">
        <v>128</v>
      </c>
      <c r="B701" t="s">
        <v>90</v>
      </c>
      <c r="C701">
        <v>1</v>
      </c>
      <c r="D701" t="s">
        <v>309</v>
      </c>
    </row>
    <row r="702" spans="1:4" x14ac:dyDescent="0.2">
      <c r="A702" t="s">
        <v>128</v>
      </c>
      <c r="B702" t="s">
        <v>75</v>
      </c>
      <c r="C702">
        <v>1</v>
      </c>
      <c r="D702" t="s">
        <v>309</v>
      </c>
    </row>
    <row r="703" spans="1:4" x14ac:dyDescent="0.2">
      <c r="A703" t="s">
        <v>128</v>
      </c>
      <c r="B703" t="s">
        <v>18</v>
      </c>
      <c r="C703">
        <v>1</v>
      </c>
      <c r="D703" t="s">
        <v>309</v>
      </c>
    </row>
    <row r="704" spans="1:4" x14ac:dyDescent="0.2">
      <c r="A704" t="s">
        <v>87</v>
      </c>
      <c r="B704" t="s">
        <v>126</v>
      </c>
      <c r="C704">
        <v>1</v>
      </c>
      <c r="D704" t="s">
        <v>309</v>
      </c>
    </row>
    <row r="705" spans="1:4" x14ac:dyDescent="0.2">
      <c r="A705" t="s">
        <v>87</v>
      </c>
      <c r="B705" t="s">
        <v>93</v>
      </c>
      <c r="C705">
        <v>1</v>
      </c>
      <c r="D705" t="s">
        <v>309</v>
      </c>
    </row>
    <row r="706" spans="1:4" x14ac:dyDescent="0.2">
      <c r="A706" t="s">
        <v>87</v>
      </c>
      <c r="B706" t="s">
        <v>125</v>
      </c>
      <c r="C706">
        <v>1</v>
      </c>
      <c r="D706" t="s">
        <v>309</v>
      </c>
    </row>
    <row r="707" spans="1:4" x14ac:dyDescent="0.2">
      <c r="A707" t="s">
        <v>87</v>
      </c>
      <c r="B707" t="s">
        <v>111</v>
      </c>
      <c r="C707">
        <v>1</v>
      </c>
      <c r="D707" t="s">
        <v>309</v>
      </c>
    </row>
    <row r="708" spans="1:4" x14ac:dyDescent="0.2">
      <c r="A708" t="s">
        <v>87</v>
      </c>
      <c r="B708" t="s">
        <v>124</v>
      </c>
      <c r="C708">
        <v>1</v>
      </c>
      <c r="D708" t="s">
        <v>309</v>
      </c>
    </row>
    <row r="709" spans="1:4" x14ac:dyDescent="0.2">
      <c r="A709" t="s">
        <v>87</v>
      </c>
      <c r="B709" t="s">
        <v>90</v>
      </c>
      <c r="C709">
        <v>1</v>
      </c>
      <c r="D709" t="s">
        <v>309</v>
      </c>
    </row>
    <row r="710" spans="1:4" x14ac:dyDescent="0.2">
      <c r="A710" t="s">
        <v>87</v>
      </c>
      <c r="B710" t="s">
        <v>114</v>
      </c>
      <c r="C710">
        <v>1</v>
      </c>
      <c r="D710" t="s">
        <v>309</v>
      </c>
    </row>
    <row r="711" spans="1:4" x14ac:dyDescent="0.2">
      <c r="A711" t="s">
        <v>87</v>
      </c>
      <c r="B711" t="s">
        <v>28</v>
      </c>
      <c r="C711">
        <v>1</v>
      </c>
      <c r="D711" t="s">
        <v>309</v>
      </c>
    </row>
    <row r="712" spans="1:4" x14ac:dyDescent="0.2">
      <c r="A712" t="s">
        <v>87</v>
      </c>
      <c r="B712" t="s">
        <v>104</v>
      </c>
      <c r="C712">
        <v>1</v>
      </c>
      <c r="D712" t="s">
        <v>309</v>
      </c>
    </row>
    <row r="713" spans="1:4" x14ac:dyDescent="0.2">
      <c r="A713" t="s">
        <v>87</v>
      </c>
      <c r="B713" t="s">
        <v>89</v>
      </c>
      <c r="C713">
        <v>1</v>
      </c>
      <c r="D713" t="s">
        <v>309</v>
      </c>
    </row>
    <row r="714" spans="1:4" x14ac:dyDescent="0.2">
      <c r="A714" t="s">
        <v>87</v>
      </c>
      <c r="B714" t="s">
        <v>128</v>
      </c>
      <c r="C714">
        <v>1</v>
      </c>
      <c r="D714" t="s">
        <v>309</v>
      </c>
    </row>
    <row r="715" spans="1:4" x14ac:dyDescent="0.2">
      <c r="A715" t="s">
        <v>87</v>
      </c>
      <c r="B715" t="s">
        <v>87</v>
      </c>
      <c r="C715">
        <v>1</v>
      </c>
      <c r="D715" t="s">
        <v>307</v>
      </c>
    </row>
    <row r="716" spans="1:4" x14ac:dyDescent="0.2">
      <c r="A716" t="s">
        <v>87</v>
      </c>
      <c r="B716" t="s">
        <v>119</v>
      </c>
      <c r="C716">
        <v>1</v>
      </c>
      <c r="D716" t="s">
        <v>309</v>
      </c>
    </row>
    <row r="717" spans="1:4" x14ac:dyDescent="0.2">
      <c r="A717" t="s">
        <v>87</v>
      </c>
      <c r="B717" t="s">
        <v>127</v>
      </c>
      <c r="C717">
        <v>1</v>
      </c>
      <c r="D717" t="s">
        <v>309</v>
      </c>
    </row>
    <row r="718" spans="1:4" x14ac:dyDescent="0.2">
      <c r="A718" t="s">
        <v>87</v>
      </c>
      <c r="B718" t="s">
        <v>70</v>
      </c>
      <c r="C718">
        <v>1</v>
      </c>
      <c r="D718" t="s">
        <v>307</v>
      </c>
    </row>
    <row r="719" spans="1:4" x14ac:dyDescent="0.2">
      <c r="A719" t="s">
        <v>87</v>
      </c>
      <c r="B719" t="s">
        <v>75</v>
      </c>
      <c r="C719">
        <v>1</v>
      </c>
      <c r="D719" t="s">
        <v>309</v>
      </c>
    </row>
    <row r="720" spans="1:4" x14ac:dyDescent="0.2">
      <c r="A720" t="s">
        <v>87</v>
      </c>
      <c r="B720" t="s">
        <v>18</v>
      </c>
      <c r="C720">
        <v>1</v>
      </c>
      <c r="D720" t="s">
        <v>309</v>
      </c>
    </row>
    <row r="721" spans="1:4" x14ac:dyDescent="0.2">
      <c r="A721" t="s">
        <v>87</v>
      </c>
      <c r="B721" t="s">
        <v>116</v>
      </c>
      <c r="C721">
        <v>1</v>
      </c>
      <c r="D721" t="s">
        <v>309</v>
      </c>
    </row>
    <row r="722" spans="1:4" x14ac:dyDescent="0.2">
      <c r="A722" t="s">
        <v>87</v>
      </c>
      <c r="B722" t="s">
        <v>55</v>
      </c>
      <c r="C722">
        <v>1</v>
      </c>
      <c r="D722" t="s">
        <v>309</v>
      </c>
    </row>
    <row r="723" spans="1:4" x14ac:dyDescent="0.2">
      <c r="A723" t="s">
        <v>87</v>
      </c>
      <c r="B723" t="s">
        <v>34</v>
      </c>
      <c r="C723">
        <v>1</v>
      </c>
      <c r="D723" t="s">
        <v>309</v>
      </c>
    </row>
    <row r="724" spans="1:4" x14ac:dyDescent="0.2">
      <c r="A724" t="s">
        <v>87</v>
      </c>
      <c r="B724" t="s">
        <v>177</v>
      </c>
      <c r="C724">
        <v>1</v>
      </c>
      <c r="D724" t="s">
        <v>309</v>
      </c>
    </row>
    <row r="725" spans="1:4" x14ac:dyDescent="0.2">
      <c r="A725" t="s">
        <v>84</v>
      </c>
      <c r="B725" t="s">
        <v>83</v>
      </c>
      <c r="C725">
        <v>1</v>
      </c>
      <c r="D725" t="s">
        <v>307</v>
      </c>
    </row>
    <row r="726" spans="1:4" x14ac:dyDescent="0.2">
      <c r="A726" t="s">
        <v>84</v>
      </c>
      <c r="B726" t="s">
        <v>25</v>
      </c>
      <c r="C726">
        <v>1</v>
      </c>
      <c r="D726" t="s">
        <v>307</v>
      </c>
    </row>
    <row r="727" spans="1:4" x14ac:dyDescent="0.2">
      <c r="A727" t="s">
        <v>84</v>
      </c>
      <c r="B727" t="s">
        <v>129</v>
      </c>
      <c r="C727">
        <v>1</v>
      </c>
      <c r="D727" t="s">
        <v>307</v>
      </c>
    </row>
    <row r="728" spans="1:4" x14ac:dyDescent="0.2">
      <c r="A728" t="s">
        <v>121</v>
      </c>
      <c r="B728" t="s">
        <v>89</v>
      </c>
      <c r="C728">
        <v>1</v>
      </c>
      <c r="D728" t="s">
        <v>308</v>
      </c>
    </row>
    <row r="729" spans="1:4" x14ac:dyDescent="0.2">
      <c r="A729" t="s">
        <v>99</v>
      </c>
      <c r="B729" t="s">
        <v>89</v>
      </c>
      <c r="C729">
        <v>1</v>
      </c>
      <c r="D729" t="s">
        <v>308</v>
      </c>
    </row>
    <row r="730" spans="1:4" x14ac:dyDescent="0.2">
      <c r="A730" t="s">
        <v>99</v>
      </c>
      <c r="B730" t="s">
        <v>87</v>
      </c>
      <c r="C730">
        <v>1</v>
      </c>
      <c r="D730" t="s">
        <v>307</v>
      </c>
    </row>
    <row r="731" spans="1:4" x14ac:dyDescent="0.2">
      <c r="A731" t="s">
        <v>99</v>
      </c>
      <c r="B731" t="s">
        <v>129</v>
      </c>
      <c r="C731">
        <v>1</v>
      </c>
      <c r="D731" t="s">
        <v>307</v>
      </c>
    </row>
    <row r="732" spans="1:4" x14ac:dyDescent="0.2">
      <c r="A732" t="s">
        <v>57</v>
      </c>
      <c r="B732" t="s">
        <v>83</v>
      </c>
      <c r="C732">
        <v>1</v>
      </c>
      <c r="D732" t="s">
        <v>308</v>
      </c>
    </row>
    <row r="733" spans="1:4" x14ac:dyDescent="0.2">
      <c r="A733" t="s">
        <v>57</v>
      </c>
      <c r="B733" t="s">
        <v>99</v>
      </c>
      <c r="C733">
        <v>1</v>
      </c>
      <c r="D733" t="s">
        <v>308</v>
      </c>
    </row>
    <row r="734" spans="1:4" x14ac:dyDescent="0.2">
      <c r="A734" t="s">
        <v>57</v>
      </c>
      <c r="B734" t="s">
        <v>57</v>
      </c>
      <c r="C734">
        <v>1</v>
      </c>
      <c r="D734" t="s">
        <v>307</v>
      </c>
    </row>
    <row r="735" spans="1:4" x14ac:dyDescent="0.2">
      <c r="A735" t="s">
        <v>57</v>
      </c>
      <c r="B735" t="s">
        <v>118</v>
      </c>
      <c r="C735">
        <v>1</v>
      </c>
      <c r="D735" t="s">
        <v>308</v>
      </c>
    </row>
    <row r="736" spans="1:4" x14ac:dyDescent="0.2">
      <c r="A736" t="s">
        <v>57</v>
      </c>
      <c r="B736" t="s">
        <v>120</v>
      </c>
      <c r="C736">
        <v>1</v>
      </c>
      <c r="D736" t="s">
        <v>308</v>
      </c>
    </row>
    <row r="737" spans="1:4" x14ac:dyDescent="0.2">
      <c r="A737" t="s">
        <v>57</v>
      </c>
      <c r="B737" t="s">
        <v>65</v>
      </c>
      <c r="C737">
        <v>1</v>
      </c>
      <c r="D737" t="s">
        <v>308</v>
      </c>
    </row>
    <row r="738" spans="1:4" x14ac:dyDescent="0.2">
      <c r="A738" t="s">
        <v>57</v>
      </c>
      <c r="B738" t="s">
        <v>63</v>
      </c>
      <c r="C738">
        <v>1</v>
      </c>
      <c r="D738" t="s">
        <v>307</v>
      </c>
    </row>
    <row r="739" spans="1:4" x14ac:dyDescent="0.2">
      <c r="A739" t="s">
        <v>57</v>
      </c>
      <c r="B739" t="s">
        <v>69</v>
      </c>
      <c r="C739">
        <v>1</v>
      </c>
      <c r="D739" t="s">
        <v>307</v>
      </c>
    </row>
    <row r="740" spans="1:4" x14ac:dyDescent="0.2">
      <c r="A740" t="s">
        <v>57</v>
      </c>
      <c r="B740" t="s">
        <v>122</v>
      </c>
      <c r="C740">
        <v>1</v>
      </c>
      <c r="D740" t="s">
        <v>307</v>
      </c>
    </row>
    <row r="741" spans="1:4" x14ac:dyDescent="0.2">
      <c r="A741" t="s">
        <v>119</v>
      </c>
      <c r="B741" t="s">
        <v>126</v>
      </c>
      <c r="C741">
        <v>1</v>
      </c>
      <c r="D741" t="s">
        <v>309</v>
      </c>
    </row>
    <row r="742" spans="1:4" x14ac:dyDescent="0.2">
      <c r="A742" t="s">
        <v>119</v>
      </c>
      <c r="B742" t="s">
        <v>41</v>
      </c>
      <c r="C742">
        <v>1</v>
      </c>
      <c r="D742" t="s">
        <v>307</v>
      </c>
    </row>
    <row r="743" spans="1:4" x14ac:dyDescent="0.2">
      <c r="A743" t="s">
        <v>119</v>
      </c>
      <c r="B743" t="s">
        <v>93</v>
      </c>
      <c r="C743">
        <v>1</v>
      </c>
      <c r="D743" t="s">
        <v>309</v>
      </c>
    </row>
    <row r="744" spans="1:4" x14ac:dyDescent="0.2">
      <c r="A744" t="s">
        <v>119</v>
      </c>
      <c r="B744" t="s">
        <v>111</v>
      </c>
      <c r="C744">
        <v>1</v>
      </c>
      <c r="D744" t="s">
        <v>309</v>
      </c>
    </row>
    <row r="745" spans="1:4" x14ac:dyDescent="0.2">
      <c r="A745" t="s">
        <v>119</v>
      </c>
      <c r="B745" t="s">
        <v>90</v>
      </c>
      <c r="C745">
        <v>1</v>
      </c>
      <c r="D745" t="s">
        <v>309</v>
      </c>
    </row>
    <row r="746" spans="1:4" x14ac:dyDescent="0.2">
      <c r="A746" t="s">
        <v>119</v>
      </c>
      <c r="B746" t="s">
        <v>128</v>
      </c>
      <c r="C746">
        <v>1</v>
      </c>
      <c r="D746" t="s">
        <v>309</v>
      </c>
    </row>
    <row r="747" spans="1:4" x14ac:dyDescent="0.2">
      <c r="A747" t="s">
        <v>119</v>
      </c>
      <c r="B747" t="s">
        <v>119</v>
      </c>
      <c r="C747">
        <v>1</v>
      </c>
      <c r="D747" t="s">
        <v>307</v>
      </c>
    </row>
    <row r="748" spans="1:4" x14ac:dyDescent="0.2">
      <c r="A748" t="s">
        <v>119</v>
      </c>
      <c r="B748" t="s">
        <v>76</v>
      </c>
      <c r="C748">
        <v>1</v>
      </c>
      <c r="D748" t="s">
        <v>307</v>
      </c>
    </row>
    <row r="749" spans="1:4" x14ac:dyDescent="0.2">
      <c r="A749" t="s">
        <v>119</v>
      </c>
      <c r="B749" t="s">
        <v>68</v>
      </c>
      <c r="C749">
        <v>1</v>
      </c>
      <c r="D749" t="s">
        <v>308</v>
      </c>
    </row>
    <row r="750" spans="1:4" x14ac:dyDescent="0.2">
      <c r="A750" t="s">
        <v>119</v>
      </c>
      <c r="B750" t="s">
        <v>18</v>
      </c>
      <c r="C750">
        <v>1</v>
      </c>
      <c r="D750" t="s">
        <v>309</v>
      </c>
    </row>
    <row r="751" spans="1:4" x14ac:dyDescent="0.2">
      <c r="A751" t="s">
        <v>119</v>
      </c>
      <c r="B751" t="s">
        <v>110</v>
      </c>
      <c r="C751">
        <v>1</v>
      </c>
      <c r="D751" t="s">
        <v>308</v>
      </c>
    </row>
    <row r="752" spans="1:4" x14ac:dyDescent="0.2">
      <c r="A752" t="s">
        <v>119</v>
      </c>
      <c r="B752" t="s">
        <v>44</v>
      </c>
      <c r="C752">
        <v>1</v>
      </c>
      <c r="D752" t="s">
        <v>307</v>
      </c>
    </row>
    <row r="753" spans="1:4" x14ac:dyDescent="0.2">
      <c r="A753" t="s">
        <v>119</v>
      </c>
      <c r="B753" t="s">
        <v>175</v>
      </c>
      <c r="C753">
        <v>1</v>
      </c>
      <c r="D753" t="s">
        <v>308</v>
      </c>
    </row>
    <row r="754" spans="1:4" x14ac:dyDescent="0.2">
      <c r="A754" t="s">
        <v>118</v>
      </c>
      <c r="B754" t="s">
        <v>126</v>
      </c>
      <c r="C754">
        <v>1</v>
      </c>
      <c r="D754" t="s">
        <v>309</v>
      </c>
    </row>
    <row r="755" spans="1:4" x14ac:dyDescent="0.2">
      <c r="A755" t="s">
        <v>118</v>
      </c>
      <c r="B755" t="s">
        <v>187</v>
      </c>
      <c r="C755">
        <v>1</v>
      </c>
      <c r="D755" t="s">
        <v>308</v>
      </c>
    </row>
    <row r="756" spans="1:4" x14ac:dyDescent="0.2">
      <c r="A756" t="s">
        <v>118</v>
      </c>
      <c r="B756" t="s">
        <v>91</v>
      </c>
      <c r="C756">
        <v>1</v>
      </c>
      <c r="D756" t="s">
        <v>307</v>
      </c>
    </row>
    <row r="757" spans="1:4" x14ac:dyDescent="0.2">
      <c r="A757" t="s">
        <v>118</v>
      </c>
      <c r="B757" t="s">
        <v>125</v>
      </c>
      <c r="C757">
        <v>1</v>
      </c>
      <c r="D757" t="s">
        <v>309</v>
      </c>
    </row>
    <row r="758" spans="1:4" x14ac:dyDescent="0.2">
      <c r="A758" t="s">
        <v>118</v>
      </c>
      <c r="B758" t="s">
        <v>111</v>
      </c>
      <c r="C758">
        <v>1</v>
      </c>
      <c r="D758" t="s">
        <v>309</v>
      </c>
    </row>
    <row r="759" spans="1:4" x14ac:dyDescent="0.2">
      <c r="A759" t="s">
        <v>118</v>
      </c>
      <c r="B759" t="s">
        <v>124</v>
      </c>
      <c r="C759">
        <v>1</v>
      </c>
      <c r="D759" t="s">
        <v>309</v>
      </c>
    </row>
    <row r="760" spans="1:4" x14ac:dyDescent="0.2">
      <c r="A760" t="s">
        <v>118</v>
      </c>
      <c r="B760" t="s">
        <v>90</v>
      </c>
      <c r="C760">
        <v>1</v>
      </c>
      <c r="D760" t="s">
        <v>309</v>
      </c>
    </row>
    <row r="761" spans="1:4" x14ac:dyDescent="0.2">
      <c r="A761" t="s">
        <v>118</v>
      </c>
      <c r="B761" t="s">
        <v>114</v>
      </c>
      <c r="C761">
        <v>1</v>
      </c>
      <c r="D761" t="s">
        <v>309</v>
      </c>
    </row>
    <row r="762" spans="1:4" x14ac:dyDescent="0.2">
      <c r="A762" t="s">
        <v>118</v>
      </c>
      <c r="B762" t="s">
        <v>28</v>
      </c>
      <c r="C762">
        <v>1</v>
      </c>
      <c r="D762" t="s">
        <v>309</v>
      </c>
    </row>
    <row r="763" spans="1:4" x14ac:dyDescent="0.2">
      <c r="A763" t="s">
        <v>118</v>
      </c>
      <c r="B763" t="s">
        <v>104</v>
      </c>
      <c r="C763">
        <v>1</v>
      </c>
      <c r="D763" t="s">
        <v>309</v>
      </c>
    </row>
    <row r="764" spans="1:4" x14ac:dyDescent="0.2">
      <c r="A764" t="s">
        <v>118</v>
      </c>
      <c r="B764" t="s">
        <v>85</v>
      </c>
      <c r="C764">
        <v>1</v>
      </c>
      <c r="D764" t="s">
        <v>307</v>
      </c>
    </row>
    <row r="765" spans="1:4" x14ac:dyDescent="0.2">
      <c r="A765" t="s">
        <v>118</v>
      </c>
      <c r="B765" t="s">
        <v>89</v>
      </c>
      <c r="C765">
        <v>1</v>
      </c>
      <c r="D765" t="s">
        <v>309</v>
      </c>
    </row>
    <row r="766" spans="1:4" x14ac:dyDescent="0.2">
      <c r="A766" t="s">
        <v>118</v>
      </c>
      <c r="B766" t="s">
        <v>128</v>
      </c>
      <c r="C766">
        <v>1</v>
      </c>
      <c r="D766" t="s">
        <v>309</v>
      </c>
    </row>
    <row r="767" spans="1:4" x14ac:dyDescent="0.2">
      <c r="A767" t="s">
        <v>118</v>
      </c>
      <c r="B767" t="s">
        <v>87</v>
      </c>
      <c r="C767">
        <v>1</v>
      </c>
      <c r="D767" t="s">
        <v>309</v>
      </c>
    </row>
    <row r="768" spans="1:4" x14ac:dyDescent="0.2">
      <c r="A768" t="s">
        <v>118</v>
      </c>
      <c r="B768" t="s">
        <v>99</v>
      </c>
      <c r="C768">
        <v>1</v>
      </c>
      <c r="D768" t="s">
        <v>308</v>
      </c>
    </row>
    <row r="769" spans="1:4" x14ac:dyDescent="0.2">
      <c r="A769" t="s">
        <v>118</v>
      </c>
      <c r="B769" t="s">
        <v>119</v>
      </c>
      <c r="C769">
        <v>1</v>
      </c>
      <c r="D769" t="s">
        <v>309</v>
      </c>
    </row>
    <row r="770" spans="1:4" x14ac:dyDescent="0.2">
      <c r="A770" t="s">
        <v>118</v>
      </c>
      <c r="B770" t="s">
        <v>118</v>
      </c>
      <c r="C770">
        <v>1</v>
      </c>
      <c r="D770" t="s">
        <v>307</v>
      </c>
    </row>
    <row r="771" spans="1:4" x14ac:dyDescent="0.2">
      <c r="A771" t="s">
        <v>118</v>
      </c>
      <c r="B771" t="s">
        <v>33</v>
      </c>
      <c r="C771">
        <v>1</v>
      </c>
      <c r="D771" t="s">
        <v>307</v>
      </c>
    </row>
    <row r="772" spans="1:4" x14ac:dyDescent="0.2">
      <c r="A772" t="s">
        <v>118</v>
      </c>
      <c r="B772" t="s">
        <v>32</v>
      </c>
      <c r="C772">
        <v>1</v>
      </c>
      <c r="D772" t="s">
        <v>307</v>
      </c>
    </row>
    <row r="773" spans="1:4" x14ac:dyDescent="0.2">
      <c r="A773" t="s">
        <v>118</v>
      </c>
      <c r="B773" t="s">
        <v>98</v>
      </c>
      <c r="C773">
        <v>1</v>
      </c>
      <c r="D773" t="s">
        <v>308</v>
      </c>
    </row>
    <row r="774" spans="1:4" x14ac:dyDescent="0.2">
      <c r="A774" t="s">
        <v>118</v>
      </c>
      <c r="B774" t="s">
        <v>66</v>
      </c>
      <c r="C774">
        <v>1</v>
      </c>
      <c r="D774" t="s">
        <v>308</v>
      </c>
    </row>
    <row r="775" spans="1:4" x14ac:dyDescent="0.2">
      <c r="A775" t="s">
        <v>118</v>
      </c>
      <c r="B775" t="s">
        <v>75</v>
      </c>
      <c r="C775">
        <v>1</v>
      </c>
      <c r="D775" t="s">
        <v>309</v>
      </c>
    </row>
    <row r="776" spans="1:4" x14ac:dyDescent="0.2">
      <c r="A776" t="s">
        <v>118</v>
      </c>
      <c r="B776" t="s">
        <v>65</v>
      </c>
      <c r="C776">
        <v>1</v>
      </c>
      <c r="D776" t="s">
        <v>308</v>
      </c>
    </row>
    <row r="777" spans="1:4" x14ac:dyDescent="0.2">
      <c r="A777" t="s">
        <v>118</v>
      </c>
      <c r="B777" t="s">
        <v>55</v>
      </c>
      <c r="C777">
        <v>1</v>
      </c>
      <c r="D777" t="s">
        <v>309</v>
      </c>
    </row>
    <row r="778" spans="1:4" x14ac:dyDescent="0.2">
      <c r="A778" t="s">
        <v>118</v>
      </c>
      <c r="B778" t="s">
        <v>177</v>
      </c>
      <c r="C778">
        <v>1</v>
      </c>
      <c r="D778" t="s">
        <v>309</v>
      </c>
    </row>
    <row r="779" spans="1:4" x14ac:dyDescent="0.2">
      <c r="A779" t="s">
        <v>86</v>
      </c>
      <c r="B779" t="s">
        <v>41</v>
      </c>
      <c r="C779">
        <v>1</v>
      </c>
      <c r="D779" t="s">
        <v>307</v>
      </c>
    </row>
    <row r="780" spans="1:4" x14ac:dyDescent="0.2">
      <c r="A780" t="s">
        <v>86</v>
      </c>
      <c r="B780" t="s">
        <v>85</v>
      </c>
      <c r="C780">
        <v>1</v>
      </c>
      <c r="D780" t="s">
        <v>307</v>
      </c>
    </row>
    <row r="781" spans="1:4" x14ac:dyDescent="0.2">
      <c r="A781" t="s">
        <v>86</v>
      </c>
      <c r="B781" t="s">
        <v>86</v>
      </c>
      <c r="C781">
        <v>1</v>
      </c>
      <c r="D781" t="s">
        <v>307</v>
      </c>
    </row>
    <row r="782" spans="1:4" x14ac:dyDescent="0.2">
      <c r="A782" t="s">
        <v>86</v>
      </c>
      <c r="B782" t="s">
        <v>74</v>
      </c>
      <c r="C782">
        <v>1</v>
      </c>
      <c r="D782" t="s">
        <v>307</v>
      </c>
    </row>
    <row r="783" spans="1:4" x14ac:dyDescent="0.2">
      <c r="A783" t="s">
        <v>86</v>
      </c>
      <c r="B783" t="s">
        <v>69</v>
      </c>
      <c r="C783">
        <v>1</v>
      </c>
      <c r="D783" t="s">
        <v>307</v>
      </c>
    </row>
    <row r="784" spans="1:4" x14ac:dyDescent="0.2">
      <c r="A784" t="s">
        <v>86</v>
      </c>
      <c r="B784" t="s">
        <v>44</v>
      </c>
      <c r="C784">
        <v>1</v>
      </c>
      <c r="D784" t="s">
        <v>307</v>
      </c>
    </row>
    <row r="785" spans="1:4" x14ac:dyDescent="0.2">
      <c r="A785" t="s">
        <v>86</v>
      </c>
      <c r="B785" t="s">
        <v>115</v>
      </c>
      <c r="C785">
        <v>1</v>
      </c>
      <c r="D785" t="s">
        <v>307</v>
      </c>
    </row>
    <row r="786" spans="1:4" x14ac:dyDescent="0.2">
      <c r="A786" t="s">
        <v>54</v>
      </c>
      <c r="B786" t="s">
        <v>97</v>
      </c>
      <c r="C786">
        <v>1</v>
      </c>
      <c r="D786" t="s">
        <v>307</v>
      </c>
    </row>
    <row r="787" spans="1:4" x14ac:dyDescent="0.2">
      <c r="A787" t="s">
        <v>54</v>
      </c>
      <c r="B787" t="s">
        <v>54</v>
      </c>
      <c r="C787">
        <v>1</v>
      </c>
      <c r="D787" t="s">
        <v>307</v>
      </c>
    </row>
    <row r="788" spans="1:4" x14ac:dyDescent="0.2">
      <c r="A788" t="s">
        <v>120</v>
      </c>
      <c r="B788" t="s">
        <v>99</v>
      </c>
      <c r="C788">
        <v>1</v>
      </c>
      <c r="D788" t="s">
        <v>308</v>
      </c>
    </row>
    <row r="789" spans="1:4" x14ac:dyDescent="0.2">
      <c r="A789" t="s">
        <v>120</v>
      </c>
      <c r="B789" t="s">
        <v>118</v>
      </c>
      <c r="C789">
        <v>1</v>
      </c>
      <c r="D789" t="s">
        <v>308</v>
      </c>
    </row>
    <row r="790" spans="1:4" x14ac:dyDescent="0.2">
      <c r="A790" t="s">
        <v>120</v>
      </c>
      <c r="B790" t="s">
        <v>120</v>
      </c>
      <c r="C790">
        <v>1</v>
      </c>
      <c r="D790" t="s">
        <v>307</v>
      </c>
    </row>
    <row r="791" spans="1:4" x14ac:dyDescent="0.2">
      <c r="A791" t="s">
        <v>120</v>
      </c>
      <c r="B791" t="s">
        <v>67</v>
      </c>
      <c r="C791">
        <v>1</v>
      </c>
      <c r="D791" t="s">
        <v>308</v>
      </c>
    </row>
    <row r="792" spans="1:4" x14ac:dyDescent="0.2">
      <c r="A792" t="s">
        <v>120</v>
      </c>
      <c r="B792" t="s">
        <v>45</v>
      </c>
      <c r="C792">
        <v>1</v>
      </c>
      <c r="D792" t="s">
        <v>308</v>
      </c>
    </row>
    <row r="793" spans="1:4" x14ac:dyDescent="0.2">
      <c r="A793" t="s">
        <v>212</v>
      </c>
      <c r="B793" t="s">
        <v>85</v>
      </c>
      <c r="C793">
        <v>1</v>
      </c>
      <c r="D793" t="s">
        <v>307</v>
      </c>
    </row>
    <row r="794" spans="1:4" x14ac:dyDescent="0.2">
      <c r="A794" t="s">
        <v>212</v>
      </c>
      <c r="B794" t="s">
        <v>83</v>
      </c>
      <c r="C794">
        <v>1</v>
      </c>
      <c r="D794" t="s">
        <v>307</v>
      </c>
    </row>
    <row r="795" spans="1:4" x14ac:dyDescent="0.2">
      <c r="A795" t="s">
        <v>212</v>
      </c>
      <c r="B795" t="s">
        <v>84</v>
      </c>
      <c r="C795">
        <v>1</v>
      </c>
      <c r="D795" t="s">
        <v>307</v>
      </c>
    </row>
    <row r="796" spans="1:4" x14ac:dyDescent="0.2">
      <c r="A796" t="s">
        <v>212</v>
      </c>
      <c r="B796" t="s">
        <v>212</v>
      </c>
      <c r="C796">
        <v>1</v>
      </c>
      <c r="D796" t="s">
        <v>307</v>
      </c>
    </row>
    <row r="797" spans="1:4" x14ac:dyDescent="0.2">
      <c r="A797" t="s">
        <v>212</v>
      </c>
      <c r="B797" t="s">
        <v>59</v>
      </c>
      <c r="C797">
        <v>1</v>
      </c>
      <c r="D797" t="s">
        <v>308</v>
      </c>
    </row>
    <row r="798" spans="1:4" x14ac:dyDescent="0.2">
      <c r="A798" t="s">
        <v>212</v>
      </c>
      <c r="B798" t="s">
        <v>50</v>
      </c>
      <c r="C798">
        <v>1</v>
      </c>
      <c r="D798" t="s">
        <v>307</v>
      </c>
    </row>
    <row r="799" spans="1:4" x14ac:dyDescent="0.2">
      <c r="A799" t="s">
        <v>127</v>
      </c>
      <c r="B799" t="s">
        <v>126</v>
      </c>
      <c r="C799">
        <v>1</v>
      </c>
      <c r="D799" t="s">
        <v>309</v>
      </c>
    </row>
    <row r="800" spans="1:4" x14ac:dyDescent="0.2">
      <c r="A800" t="s">
        <v>127</v>
      </c>
      <c r="B800" t="s">
        <v>95</v>
      </c>
      <c r="C800">
        <v>1</v>
      </c>
      <c r="D800" t="s">
        <v>309</v>
      </c>
    </row>
    <row r="801" spans="1:4" x14ac:dyDescent="0.2">
      <c r="A801" t="s">
        <v>127</v>
      </c>
      <c r="B801" t="s">
        <v>111</v>
      </c>
      <c r="C801">
        <v>1</v>
      </c>
      <c r="D801" t="s">
        <v>309</v>
      </c>
    </row>
    <row r="802" spans="1:4" x14ac:dyDescent="0.2">
      <c r="A802" t="s">
        <v>127</v>
      </c>
      <c r="B802" t="s">
        <v>124</v>
      </c>
      <c r="C802">
        <v>1</v>
      </c>
      <c r="D802" t="s">
        <v>309</v>
      </c>
    </row>
    <row r="803" spans="1:4" x14ac:dyDescent="0.2">
      <c r="A803" t="s">
        <v>127</v>
      </c>
      <c r="B803" t="s">
        <v>90</v>
      </c>
      <c r="C803">
        <v>1</v>
      </c>
      <c r="D803" t="s">
        <v>309</v>
      </c>
    </row>
    <row r="804" spans="1:4" x14ac:dyDescent="0.2">
      <c r="A804" t="s">
        <v>127</v>
      </c>
      <c r="B804" t="s">
        <v>28</v>
      </c>
      <c r="C804">
        <v>1</v>
      </c>
      <c r="D804" t="s">
        <v>309</v>
      </c>
    </row>
    <row r="805" spans="1:4" x14ac:dyDescent="0.2">
      <c r="A805" t="s">
        <v>127</v>
      </c>
      <c r="B805" t="s">
        <v>104</v>
      </c>
      <c r="C805">
        <v>1</v>
      </c>
      <c r="D805" t="s">
        <v>309</v>
      </c>
    </row>
    <row r="806" spans="1:4" x14ac:dyDescent="0.2">
      <c r="A806" t="s">
        <v>127</v>
      </c>
      <c r="B806" t="s">
        <v>89</v>
      </c>
      <c r="C806">
        <v>1</v>
      </c>
      <c r="D806" t="s">
        <v>309</v>
      </c>
    </row>
    <row r="807" spans="1:4" x14ac:dyDescent="0.2">
      <c r="A807" t="s">
        <v>127</v>
      </c>
      <c r="B807" t="s">
        <v>128</v>
      </c>
      <c r="C807">
        <v>1</v>
      </c>
      <c r="D807" t="s">
        <v>309</v>
      </c>
    </row>
    <row r="808" spans="1:4" x14ac:dyDescent="0.2">
      <c r="A808" t="s">
        <v>127</v>
      </c>
      <c r="B808" t="s">
        <v>119</v>
      </c>
      <c r="C808">
        <v>1</v>
      </c>
      <c r="D808" t="s">
        <v>309</v>
      </c>
    </row>
    <row r="809" spans="1:4" x14ac:dyDescent="0.2">
      <c r="A809" t="s">
        <v>127</v>
      </c>
      <c r="B809" t="s">
        <v>118</v>
      </c>
      <c r="C809">
        <v>1</v>
      </c>
      <c r="D809" t="s">
        <v>308</v>
      </c>
    </row>
    <row r="810" spans="1:4" x14ac:dyDescent="0.2">
      <c r="A810" t="s">
        <v>127</v>
      </c>
      <c r="B810" t="s">
        <v>75</v>
      </c>
      <c r="C810">
        <v>1</v>
      </c>
      <c r="D810" t="s">
        <v>309</v>
      </c>
    </row>
    <row r="811" spans="1:4" x14ac:dyDescent="0.2">
      <c r="A811" t="s">
        <v>127</v>
      </c>
      <c r="B811" t="s">
        <v>18</v>
      </c>
      <c r="C811">
        <v>1</v>
      </c>
      <c r="D811" t="s">
        <v>309</v>
      </c>
    </row>
    <row r="812" spans="1:4" x14ac:dyDescent="0.2">
      <c r="A812" t="s">
        <v>127</v>
      </c>
      <c r="B812" t="s">
        <v>116</v>
      </c>
      <c r="C812">
        <v>1</v>
      </c>
      <c r="D812" t="s">
        <v>309</v>
      </c>
    </row>
    <row r="813" spans="1:4" x14ac:dyDescent="0.2">
      <c r="A813" t="s">
        <v>127</v>
      </c>
      <c r="B813" t="s">
        <v>55</v>
      </c>
      <c r="C813">
        <v>1</v>
      </c>
      <c r="D813" t="s">
        <v>309</v>
      </c>
    </row>
    <row r="814" spans="1:4" x14ac:dyDescent="0.2">
      <c r="A814" t="s">
        <v>127</v>
      </c>
      <c r="B814" t="s">
        <v>34</v>
      </c>
      <c r="C814">
        <v>1</v>
      </c>
      <c r="D814" t="s">
        <v>309</v>
      </c>
    </row>
    <row r="815" spans="1:4" x14ac:dyDescent="0.2">
      <c r="A815" t="s">
        <v>127</v>
      </c>
      <c r="B815" t="s">
        <v>177</v>
      </c>
      <c r="C815">
        <v>1</v>
      </c>
      <c r="D815" t="s">
        <v>309</v>
      </c>
    </row>
    <row r="816" spans="1:4" x14ac:dyDescent="0.2">
      <c r="A816" t="s">
        <v>33</v>
      </c>
      <c r="B816" t="s">
        <v>85</v>
      </c>
      <c r="C816">
        <v>1</v>
      </c>
      <c r="D816" t="s">
        <v>307</v>
      </c>
    </row>
    <row r="817" spans="1:4" x14ac:dyDescent="0.2">
      <c r="A817" t="s">
        <v>33</v>
      </c>
      <c r="B817" t="s">
        <v>62</v>
      </c>
      <c r="C817">
        <v>1</v>
      </c>
      <c r="D817" t="s">
        <v>307</v>
      </c>
    </row>
    <row r="818" spans="1:4" x14ac:dyDescent="0.2">
      <c r="A818" t="s">
        <v>33</v>
      </c>
      <c r="B818" t="s">
        <v>33</v>
      </c>
      <c r="C818">
        <v>1</v>
      </c>
      <c r="D818" t="s">
        <v>307</v>
      </c>
    </row>
    <row r="819" spans="1:4" x14ac:dyDescent="0.2">
      <c r="A819" t="s">
        <v>33</v>
      </c>
      <c r="B819" t="s">
        <v>74</v>
      </c>
      <c r="C819">
        <v>1</v>
      </c>
      <c r="D819" t="s">
        <v>307</v>
      </c>
    </row>
    <row r="820" spans="1:4" x14ac:dyDescent="0.2">
      <c r="A820" t="s">
        <v>33</v>
      </c>
      <c r="B820" t="s">
        <v>75</v>
      </c>
      <c r="C820">
        <v>1</v>
      </c>
      <c r="D820" t="s">
        <v>307</v>
      </c>
    </row>
    <row r="821" spans="1:4" x14ac:dyDescent="0.2">
      <c r="A821" t="s">
        <v>32</v>
      </c>
      <c r="B821" t="s">
        <v>42</v>
      </c>
      <c r="C821">
        <v>1</v>
      </c>
      <c r="D821" t="s">
        <v>307</v>
      </c>
    </row>
    <row r="822" spans="1:4" x14ac:dyDescent="0.2">
      <c r="A822" t="s">
        <v>32</v>
      </c>
      <c r="B822" t="s">
        <v>178</v>
      </c>
      <c r="C822">
        <v>1</v>
      </c>
      <c r="D822" t="s">
        <v>307</v>
      </c>
    </row>
    <row r="823" spans="1:4" x14ac:dyDescent="0.2">
      <c r="A823" t="s">
        <v>32</v>
      </c>
      <c r="B823" t="s">
        <v>47</v>
      </c>
      <c r="C823">
        <v>1</v>
      </c>
      <c r="D823" t="s">
        <v>307</v>
      </c>
    </row>
    <row r="824" spans="1:4" x14ac:dyDescent="0.2">
      <c r="A824" t="s">
        <v>32</v>
      </c>
      <c r="B824" t="s">
        <v>64</v>
      </c>
      <c r="C824">
        <v>1</v>
      </c>
      <c r="D824" t="s">
        <v>307</v>
      </c>
    </row>
    <row r="825" spans="1:4" x14ac:dyDescent="0.2">
      <c r="A825" t="s">
        <v>32</v>
      </c>
      <c r="B825" t="s">
        <v>187</v>
      </c>
      <c r="C825">
        <v>1</v>
      </c>
      <c r="D825" t="s">
        <v>307</v>
      </c>
    </row>
    <row r="826" spans="1:4" x14ac:dyDescent="0.2">
      <c r="A826" t="s">
        <v>32</v>
      </c>
      <c r="B826" t="s">
        <v>30</v>
      </c>
      <c r="C826">
        <v>1</v>
      </c>
      <c r="D826" t="s">
        <v>307</v>
      </c>
    </row>
    <row r="827" spans="1:4" x14ac:dyDescent="0.2">
      <c r="A827" t="s">
        <v>32</v>
      </c>
      <c r="B827" t="s">
        <v>97</v>
      </c>
      <c r="C827">
        <v>1</v>
      </c>
      <c r="D827" t="s">
        <v>307</v>
      </c>
    </row>
    <row r="828" spans="1:4" x14ac:dyDescent="0.2">
      <c r="A828" t="s">
        <v>32</v>
      </c>
      <c r="B828" t="s">
        <v>108</v>
      </c>
      <c r="C828">
        <v>1</v>
      </c>
      <c r="D828" t="s">
        <v>308</v>
      </c>
    </row>
    <row r="829" spans="1:4" x14ac:dyDescent="0.2">
      <c r="A829" t="s">
        <v>32</v>
      </c>
      <c r="B829" t="s">
        <v>107</v>
      </c>
      <c r="C829">
        <v>1</v>
      </c>
      <c r="D829" t="s">
        <v>308</v>
      </c>
    </row>
    <row r="830" spans="1:4" x14ac:dyDescent="0.2">
      <c r="A830" t="s">
        <v>32</v>
      </c>
      <c r="B830" t="s">
        <v>130</v>
      </c>
      <c r="C830">
        <v>1</v>
      </c>
      <c r="D830" t="s">
        <v>307</v>
      </c>
    </row>
    <row r="831" spans="1:4" x14ac:dyDescent="0.2">
      <c r="A831" t="s">
        <v>32</v>
      </c>
      <c r="B831" t="s">
        <v>127</v>
      </c>
      <c r="C831">
        <v>1</v>
      </c>
      <c r="D831" t="s">
        <v>307</v>
      </c>
    </row>
    <row r="832" spans="1:4" x14ac:dyDescent="0.2">
      <c r="A832" t="s">
        <v>32</v>
      </c>
      <c r="B832" t="s">
        <v>32</v>
      </c>
      <c r="C832">
        <v>1</v>
      </c>
      <c r="D832" t="s">
        <v>307</v>
      </c>
    </row>
    <row r="833" spans="1:4" x14ac:dyDescent="0.2">
      <c r="A833" t="s">
        <v>32</v>
      </c>
      <c r="B833" t="s">
        <v>76</v>
      </c>
      <c r="C833">
        <v>1</v>
      </c>
      <c r="D833" t="s">
        <v>307</v>
      </c>
    </row>
    <row r="834" spans="1:4" x14ac:dyDescent="0.2">
      <c r="A834" t="s">
        <v>32</v>
      </c>
      <c r="B834" t="s">
        <v>74</v>
      </c>
      <c r="C834">
        <v>1</v>
      </c>
      <c r="D834" t="s">
        <v>307</v>
      </c>
    </row>
    <row r="835" spans="1:4" x14ac:dyDescent="0.2">
      <c r="A835" t="s">
        <v>32</v>
      </c>
      <c r="B835" t="s">
        <v>73</v>
      </c>
      <c r="C835">
        <v>1</v>
      </c>
      <c r="D835" t="s">
        <v>308</v>
      </c>
    </row>
    <row r="836" spans="1:4" x14ac:dyDescent="0.2">
      <c r="A836" t="s">
        <v>32</v>
      </c>
      <c r="B836" t="s">
        <v>75</v>
      </c>
      <c r="C836">
        <v>1</v>
      </c>
      <c r="D836" t="s">
        <v>307</v>
      </c>
    </row>
    <row r="837" spans="1:4" x14ac:dyDescent="0.2">
      <c r="A837" t="s">
        <v>32</v>
      </c>
      <c r="B837" t="s">
        <v>18</v>
      </c>
      <c r="C837">
        <v>1</v>
      </c>
      <c r="D837" t="s">
        <v>307</v>
      </c>
    </row>
    <row r="838" spans="1:4" x14ac:dyDescent="0.2">
      <c r="A838" t="s">
        <v>32</v>
      </c>
      <c r="B838" t="s">
        <v>115</v>
      </c>
      <c r="C838">
        <v>1</v>
      </c>
      <c r="D838" t="s">
        <v>307</v>
      </c>
    </row>
    <row r="839" spans="1:4" x14ac:dyDescent="0.2">
      <c r="A839" t="s">
        <v>27</v>
      </c>
      <c r="B839" t="s">
        <v>126</v>
      </c>
      <c r="C839">
        <v>1</v>
      </c>
      <c r="D839" t="s">
        <v>309</v>
      </c>
    </row>
    <row r="840" spans="1:4" x14ac:dyDescent="0.2">
      <c r="A840" t="s">
        <v>27</v>
      </c>
      <c r="B840" t="s">
        <v>38</v>
      </c>
      <c r="C840">
        <v>1</v>
      </c>
      <c r="D840" t="s">
        <v>309</v>
      </c>
    </row>
    <row r="841" spans="1:4" x14ac:dyDescent="0.2">
      <c r="A841" t="s">
        <v>27</v>
      </c>
      <c r="B841" t="s">
        <v>95</v>
      </c>
      <c r="C841">
        <v>1</v>
      </c>
      <c r="D841" t="s">
        <v>309</v>
      </c>
    </row>
    <row r="842" spans="1:4" x14ac:dyDescent="0.2">
      <c r="A842" t="s">
        <v>27</v>
      </c>
      <c r="B842" t="s">
        <v>79</v>
      </c>
      <c r="C842">
        <v>1</v>
      </c>
      <c r="D842" t="s">
        <v>309</v>
      </c>
    </row>
    <row r="843" spans="1:4" x14ac:dyDescent="0.2">
      <c r="A843" t="s">
        <v>27</v>
      </c>
      <c r="B843" t="s">
        <v>125</v>
      </c>
      <c r="C843">
        <v>1</v>
      </c>
      <c r="D843" t="s">
        <v>309</v>
      </c>
    </row>
    <row r="844" spans="1:4" x14ac:dyDescent="0.2">
      <c r="A844" t="s">
        <v>27</v>
      </c>
      <c r="B844" t="s">
        <v>124</v>
      </c>
      <c r="C844">
        <v>1</v>
      </c>
      <c r="D844" t="s">
        <v>309</v>
      </c>
    </row>
    <row r="845" spans="1:4" x14ac:dyDescent="0.2">
      <c r="A845" t="s">
        <v>27</v>
      </c>
      <c r="B845" t="s">
        <v>90</v>
      </c>
      <c r="C845">
        <v>1</v>
      </c>
      <c r="D845" t="s">
        <v>309</v>
      </c>
    </row>
    <row r="846" spans="1:4" x14ac:dyDescent="0.2">
      <c r="A846" t="s">
        <v>27</v>
      </c>
      <c r="B846" t="s">
        <v>28</v>
      </c>
      <c r="C846">
        <v>1</v>
      </c>
      <c r="D846" t="s">
        <v>309</v>
      </c>
    </row>
    <row r="847" spans="1:4" x14ac:dyDescent="0.2">
      <c r="A847" t="s">
        <v>27</v>
      </c>
      <c r="B847" t="s">
        <v>104</v>
      </c>
      <c r="C847">
        <v>1</v>
      </c>
      <c r="D847" t="s">
        <v>309</v>
      </c>
    </row>
    <row r="848" spans="1:4" x14ac:dyDescent="0.2">
      <c r="A848" t="s">
        <v>27</v>
      </c>
      <c r="B848" t="s">
        <v>107</v>
      </c>
      <c r="C848">
        <v>1</v>
      </c>
      <c r="D848" t="s">
        <v>309</v>
      </c>
    </row>
    <row r="849" spans="1:4" x14ac:dyDescent="0.2">
      <c r="A849" t="s">
        <v>27</v>
      </c>
      <c r="B849" t="s">
        <v>193</v>
      </c>
      <c r="C849">
        <v>1</v>
      </c>
      <c r="D849" t="s">
        <v>309</v>
      </c>
    </row>
    <row r="850" spans="1:4" x14ac:dyDescent="0.2">
      <c r="A850" t="s">
        <v>27</v>
      </c>
      <c r="B850" t="s">
        <v>89</v>
      </c>
      <c r="C850">
        <v>1</v>
      </c>
      <c r="D850" t="s">
        <v>309</v>
      </c>
    </row>
    <row r="851" spans="1:4" x14ac:dyDescent="0.2">
      <c r="A851" t="s">
        <v>27</v>
      </c>
      <c r="B851" t="s">
        <v>128</v>
      </c>
      <c r="C851">
        <v>1</v>
      </c>
      <c r="D851" t="s">
        <v>309</v>
      </c>
    </row>
    <row r="852" spans="1:4" x14ac:dyDescent="0.2">
      <c r="A852" t="s">
        <v>27</v>
      </c>
      <c r="B852" t="s">
        <v>87</v>
      </c>
      <c r="C852">
        <v>1</v>
      </c>
      <c r="D852" t="s">
        <v>309</v>
      </c>
    </row>
    <row r="853" spans="1:4" x14ac:dyDescent="0.2">
      <c r="A853" t="s">
        <v>27</v>
      </c>
      <c r="B853" t="s">
        <v>119</v>
      </c>
      <c r="C853">
        <v>1</v>
      </c>
      <c r="D853" t="s">
        <v>309</v>
      </c>
    </row>
    <row r="854" spans="1:4" x14ac:dyDescent="0.2">
      <c r="A854" t="s">
        <v>27</v>
      </c>
      <c r="B854" t="s">
        <v>27</v>
      </c>
      <c r="C854">
        <v>1</v>
      </c>
      <c r="D854" t="s">
        <v>307</v>
      </c>
    </row>
    <row r="855" spans="1:4" x14ac:dyDescent="0.2">
      <c r="A855" t="s">
        <v>27</v>
      </c>
      <c r="B855" t="s">
        <v>73</v>
      </c>
      <c r="C855">
        <v>1</v>
      </c>
      <c r="D855" t="s">
        <v>309</v>
      </c>
    </row>
    <row r="856" spans="1:4" x14ac:dyDescent="0.2">
      <c r="A856" t="s">
        <v>27</v>
      </c>
      <c r="B856" t="s">
        <v>52</v>
      </c>
      <c r="C856">
        <v>1</v>
      </c>
      <c r="D856" t="s">
        <v>307</v>
      </c>
    </row>
    <row r="857" spans="1:4" x14ac:dyDescent="0.2">
      <c r="A857" t="s">
        <v>27</v>
      </c>
      <c r="B857" t="s">
        <v>75</v>
      </c>
      <c r="C857">
        <v>1</v>
      </c>
      <c r="D857" t="s">
        <v>309</v>
      </c>
    </row>
    <row r="858" spans="1:4" x14ac:dyDescent="0.2">
      <c r="A858" t="s">
        <v>27</v>
      </c>
      <c r="B858" t="s">
        <v>94</v>
      </c>
      <c r="C858">
        <v>1</v>
      </c>
      <c r="D858" t="s">
        <v>308</v>
      </c>
    </row>
    <row r="859" spans="1:4" x14ac:dyDescent="0.2">
      <c r="A859" t="s">
        <v>27</v>
      </c>
      <c r="B859" t="s">
        <v>116</v>
      </c>
      <c r="C859">
        <v>1</v>
      </c>
      <c r="D859" t="s">
        <v>309</v>
      </c>
    </row>
    <row r="860" spans="1:4" x14ac:dyDescent="0.2">
      <c r="A860" t="s">
        <v>27</v>
      </c>
      <c r="B860" t="s">
        <v>55</v>
      </c>
      <c r="C860">
        <v>1</v>
      </c>
      <c r="D860" t="s">
        <v>309</v>
      </c>
    </row>
    <row r="861" spans="1:4" x14ac:dyDescent="0.2">
      <c r="A861" t="s">
        <v>27</v>
      </c>
      <c r="B861" t="s">
        <v>34</v>
      </c>
      <c r="C861">
        <v>1</v>
      </c>
      <c r="D861" t="s">
        <v>309</v>
      </c>
    </row>
    <row r="862" spans="1:4" x14ac:dyDescent="0.2">
      <c r="A862" t="s">
        <v>27</v>
      </c>
      <c r="B862" t="s">
        <v>177</v>
      </c>
      <c r="C862">
        <v>1</v>
      </c>
      <c r="D862" t="s">
        <v>309</v>
      </c>
    </row>
    <row r="863" spans="1:4" x14ac:dyDescent="0.2">
      <c r="A863" t="s">
        <v>76</v>
      </c>
      <c r="B863" t="s">
        <v>100</v>
      </c>
      <c r="C863">
        <v>1</v>
      </c>
      <c r="D863" t="s">
        <v>308</v>
      </c>
    </row>
    <row r="864" spans="1:4" x14ac:dyDescent="0.2">
      <c r="A864" t="s">
        <v>76</v>
      </c>
      <c r="B864" t="s">
        <v>121</v>
      </c>
      <c r="C864">
        <v>1</v>
      </c>
      <c r="D864" t="s">
        <v>308</v>
      </c>
    </row>
    <row r="865" spans="1:4" x14ac:dyDescent="0.2">
      <c r="A865" t="s">
        <v>76</v>
      </c>
      <c r="B865" t="s">
        <v>99</v>
      </c>
      <c r="C865">
        <v>1</v>
      </c>
      <c r="D865" t="s">
        <v>308</v>
      </c>
    </row>
    <row r="866" spans="1:4" x14ac:dyDescent="0.2">
      <c r="A866" t="s">
        <v>76</v>
      </c>
      <c r="B866" t="s">
        <v>57</v>
      </c>
      <c r="C866">
        <v>1</v>
      </c>
      <c r="D866" t="s">
        <v>308</v>
      </c>
    </row>
    <row r="867" spans="1:4" x14ac:dyDescent="0.2">
      <c r="A867" t="s">
        <v>76</v>
      </c>
      <c r="B867" t="s">
        <v>118</v>
      </c>
      <c r="C867">
        <v>1</v>
      </c>
      <c r="D867" t="s">
        <v>308</v>
      </c>
    </row>
    <row r="868" spans="1:4" x14ac:dyDescent="0.2">
      <c r="A868" t="s">
        <v>76</v>
      </c>
      <c r="B868" t="s">
        <v>120</v>
      </c>
      <c r="C868">
        <v>1</v>
      </c>
      <c r="D868" t="s">
        <v>308</v>
      </c>
    </row>
    <row r="869" spans="1:4" x14ac:dyDescent="0.2">
      <c r="A869" t="s">
        <v>76</v>
      </c>
      <c r="B869" t="s">
        <v>76</v>
      </c>
      <c r="C869">
        <v>1</v>
      </c>
      <c r="D869" t="s">
        <v>307</v>
      </c>
    </row>
    <row r="870" spans="1:4" x14ac:dyDescent="0.2">
      <c r="A870" t="s">
        <v>76</v>
      </c>
      <c r="B870" t="s">
        <v>25</v>
      </c>
      <c r="C870">
        <v>1</v>
      </c>
      <c r="D870" t="s">
        <v>308</v>
      </c>
    </row>
    <row r="871" spans="1:4" x14ac:dyDescent="0.2">
      <c r="A871" t="s">
        <v>76</v>
      </c>
      <c r="B871" t="s">
        <v>98</v>
      </c>
      <c r="C871">
        <v>1</v>
      </c>
      <c r="D871" t="s">
        <v>308</v>
      </c>
    </row>
    <row r="872" spans="1:4" x14ac:dyDescent="0.2">
      <c r="A872" t="s">
        <v>76</v>
      </c>
      <c r="B872" t="s">
        <v>74</v>
      </c>
      <c r="C872">
        <v>1</v>
      </c>
      <c r="D872" t="s">
        <v>308</v>
      </c>
    </row>
    <row r="873" spans="1:4" x14ac:dyDescent="0.2">
      <c r="A873" t="s">
        <v>76</v>
      </c>
      <c r="B873" t="s">
        <v>75</v>
      </c>
      <c r="C873">
        <v>1</v>
      </c>
      <c r="D873" t="s">
        <v>308</v>
      </c>
    </row>
    <row r="874" spans="1:4" x14ac:dyDescent="0.2">
      <c r="A874" t="s">
        <v>76</v>
      </c>
      <c r="B874" t="s">
        <v>65</v>
      </c>
      <c r="C874">
        <v>1</v>
      </c>
      <c r="D874" t="s">
        <v>308</v>
      </c>
    </row>
    <row r="875" spans="1:4" x14ac:dyDescent="0.2">
      <c r="A875" t="s">
        <v>76</v>
      </c>
      <c r="B875" t="s">
        <v>116</v>
      </c>
      <c r="C875">
        <v>1</v>
      </c>
      <c r="D875" t="s">
        <v>308</v>
      </c>
    </row>
    <row r="876" spans="1:4" x14ac:dyDescent="0.2">
      <c r="A876" t="s">
        <v>25</v>
      </c>
      <c r="B876" t="s">
        <v>126</v>
      </c>
      <c r="C876">
        <v>1</v>
      </c>
      <c r="D876" t="s">
        <v>309</v>
      </c>
    </row>
    <row r="877" spans="1:4" x14ac:dyDescent="0.2">
      <c r="A877" t="s">
        <v>25</v>
      </c>
      <c r="B877" t="s">
        <v>79</v>
      </c>
      <c r="C877">
        <v>1</v>
      </c>
      <c r="D877" t="s">
        <v>309</v>
      </c>
    </row>
    <row r="878" spans="1:4" x14ac:dyDescent="0.2">
      <c r="A878" t="s">
        <v>25</v>
      </c>
      <c r="B878" t="s">
        <v>125</v>
      </c>
      <c r="C878">
        <v>1</v>
      </c>
      <c r="D878" t="s">
        <v>309</v>
      </c>
    </row>
    <row r="879" spans="1:4" x14ac:dyDescent="0.2">
      <c r="A879" t="s">
        <v>25</v>
      </c>
      <c r="B879" t="s">
        <v>111</v>
      </c>
      <c r="C879">
        <v>1</v>
      </c>
      <c r="D879" t="s">
        <v>309</v>
      </c>
    </row>
    <row r="880" spans="1:4" x14ac:dyDescent="0.2">
      <c r="A880" t="s">
        <v>25</v>
      </c>
      <c r="B880" t="s">
        <v>124</v>
      </c>
      <c r="C880">
        <v>1</v>
      </c>
      <c r="D880" t="s">
        <v>309</v>
      </c>
    </row>
    <row r="881" spans="1:4" x14ac:dyDescent="0.2">
      <c r="A881" t="s">
        <v>25</v>
      </c>
      <c r="B881" t="s">
        <v>58</v>
      </c>
      <c r="C881">
        <v>1</v>
      </c>
      <c r="D881" t="s">
        <v>309</v>
      </c>
    </row>
    <row r="882" spans="1:4" x14ac:dyDescent="0.2">
      <c r="A882" t="s">
        <v>25</v>
      </c>
      <c r="B882" t="s">
        <v>90</v>
      </c>
      <c r="C882">
        <v>1</v>
      </c>
      <c r="D882" t="s">
        <v>309</v>
      </c>
    </row>
    <row r="883" spans="1:4" x14ac:dyDescent="0.2">
      <c r="A883" t="s">
        <v>25</v>
      </c>
      <c r="B883" t="s">
        <v>114</v>
      </c>
      <c r="C883">
        <v>1</v>
      </c>
      <c r="D883" t="s">
        <v>309</v>
      </c>
    </row>
    <row r="884" spans="1:4" x14ac:dyDescent="0.2">
      <c r="A884" t="s">
        <v>25</v>
      </c>
      <c r="B884" t="s">
        <v>28</v>
      </c>
      <c r="C884">
        <v>1</v>
      </c>
      <c r="D884" t="s">
        <v>309</v>
      </c>
    </row>
    <row r="885" spans="1:4" x14ac:dyDescent="0.2">
      <c r="A885" t="s">
        <v>25</v>
      </c>
      <c r="B885" t="s">
        <v>104</v>
      </c>
      <c r="C885">
        <v>1</v>
      </c>
      <c r="D885" t="s">
        <v>309</v>
      </c>
    </row>
    <row r="886" spans="1:4" x14ac:dyDescent="0.2">
      <c r="A886" t="s">
        <v>25</v>
      </c>
      <c r="B886" t="s">
        <v>107</v>
      </c>
      <c r="C886">
        <v>1</v>
      </c>
      <c r="D886" t="s">
        <v>309</v>
      </c>
    </row>
    <row r="887" spans="1:4" x14ac:dyDescent="0.2">
      <c r="A887" t="s">
        <v>25</v>
      </c>
      <c r="B887" t="s">
        <v>193</v>
      </c>
      <c r="C887">
        <v>1</v>
      </c>
      <c r="D887" t="s">
        <v>309</v>
      </c>
    </row>
    <row r="888" spans="1:4" x14ac:dyDescent="0.2">
      <c r="A888" t="s">
        <v>25</v>
      </c>
      <c r="B888" t="s">
        <v>89</v>
      </c>
      <c r="C888">
        <v>1</v>
      </c>
      <c r="D888" t="s">
        <v>309</v>
      </c>
    </row>
    <row r="889" spans="1:4" x14ac:dyDescent="0.2">
      <c r="A889" t="s">
        <v>25</v>
      </c>
      <c r="B889" t="s">
        <v>128</v>
      </c>
      <c r="C889">
        <v>1</v>
      </c>
      <c r="D889" t="s">
        <v>309</v>
      </c>
    </row>
    <row r="890" spans="1:4" x14ac:dyDescent="0.2">
      <c r="A890" t="s">
        <v>25</v>
      </c>
      <c r="B890" t="s">
        <v>87</v>
      </c>
      <c r="C890">
        <v>1</v>
      </c>
      <c r="D890" t="s">
        <v>309</v>
      </c>
    </row>
    <row r="891" spans="1:4" x14ac:dyDescent="0.2">
      <c r="A891" t="s">
        <v>25</v>
      </c>
      <c r="B891" t="s">
        <v>118</v>
      </c>
      <c r="C891">
        <v>1</v>
      </c>
      <c r="D891" t="s">
        <v>309</v>
      </c>
    </row>
    <row r="892" spans="1:4" x14ac:dyDescent="0.2">
      <c r="A892" t="s">
        <v>25</v>
      </c>
      <c r="B892" t="s">
        <v>98</v>
      </c>
      <c r="C892">
        <v>1</v>
      </c>
      <c r="D892" t="s">
        <v>308</v>
      </c>
    </row>
    <row r="893" spans="1:4" x14ac:dyDescent="0.2">
      <c r="A893" t="s">
        <v>25</v>
      </c>
      <c r="B893" t="s">
        <v>74</v>
      </c>
      <c r="C893">
        <v>1</v>
      </c>
      <c r="D893" t="s">
        <v>308</v>
      </c>
    </row>
    <row r="894" spans="1:4" x14ac:dyDescent="0.2">
      <c r="A894" t="s">
        <v>25</v>
      </c>
      <c r="B894" t="s">
        <v>66</v>
      </c>
      <c r="C894">
        <v>1</v>
      </c>
      <c r="D894" t="s">
        <v>309</v>
      </c>
    </row>
    <row r="895" spans="1:4" x14ac:dyDescent="0.2">
      <c r="A895" t="s">
        <v>25</v>
      </c>
      <c r="B895" t="s">
        <v>75</v>
      </c>
      <c r="C895">
        <v>1</v>
      </c>
      <c r="D895" t="s">
        <v>308</v>
      </c>
    </row>
    <row r="896" spans="1:4" x14ac:dyDescent="0.2">
      <c r="A896" t="s">
        <v>25</v>
      </c>
      <c r="B896" t="s">
        <v>18</v>
      </c>
      <c r="C896">
        <v>1</v>
      </c>
      <c r="D896" t="s">
        <v>309</v>
      </c>
    </row>
    <row r="897" spans="1:4" x14ac:dyDescent="0.2">
      <c r="A897" t="s">
        <v>25</v>
      </c>
      <c r="B897" t="s">
        <v>65</v>
      </c>
      <c r="C897">
        <v>1</v>
      </c>
      <c r="D897" t="s">
        <v>308</v>
      </c>
    </row>
    <row r="898" spans="1:4" x14ac:dyDescent="0.2">
      <c r="A898" t="s">
        <v>25</v>
      </c>
      <c r="B898" t="s">
        <v>116</v>
      </c>
      <c r="C898">
        <v>1</v>
      </c>
      <c r="D898" t="s">
        <v>308</v>
      </c>
    </row>
    <row r="899" spans="1:4" x14ac:dyDescent="0.2">
      <c r="A899" t="s">
        <v>98</v>
      </c>
      <c r="B899" t="s">
        <v>187</v>
      </c>
      <c r="C899">
        <v>1</v>
      </c>
      <c r="D899" t="s">
        <v>308</v>
      </c>
    </row>
    <row r="900" spans="1:4" x14ac:dyDescent="0.2">
      <c r="A900" t="s">
        <v>98</v>
      </c>
      <c r="B900" t="s">
        <v>41</v>
      </c>
      <c r="C900">
        <v>1</v>
      </c>
      <c r="D900" t="s">
        <v>307</v>
      </c>
    </row>
    <row r="901" spans="1:4" x14ac:dyDescent="0.2">
      <c r="A901" t="s">
        <v>98</v>
      </c>
      <c r="B901" t="s">
        <v>32</v>
      </c>
      <c r="C901">
        <v>1</v>
      </c>
      <c r="D901" t="s">
        <v>307</v>
      </c>
    </row>
    <row r="902" spans="1:4" x14ac:dyDescent="0.2">
      <c r="A902" t="s">
        <v>98</v>
      </c>
      <c r="B902" t="s">
        <v>98</v>
      </c>
      <c r="C902">
        <v>1</v>
      </c>
      <c r="D902" t="s">
        <v>307</v>
      </c>
    </row>
    <row r="903" spans="1:4" x14ac:dyDescent="0.2">
      <c r="A903" t="s">
        <v>98</v>
      </c>
      <c r="B903" t="s">
        <v>45</v>
      </c>
      <c r="C903">
        <v>1</v>
      </c>
      <c r="D903" t="s">
        <v>307</v>
      </c>
    </row>
    <row r="904" spans="1:4" x14ac:dyDescent="0.2">
      <c r="A904" t="s">
        <v>98</v>
      </c>
      <c r="B904" t="s">
        <v>75</v>
      </c>
      <c r="C904">
        <v>1</v>
      </c>
      <c r="D904" t="s">
        <v>308</v>
      </c>
    </row>
    <row r="905" spans="1:4" x14ac:dyDescent="0.2">
      <c r="A905" t="s">
        <v>98</v>
      </c>
      <c r="B905" t="s">
        <v>65</v>
      </c>
      <c r="C905">
        <v>1</v>
      </c>
      <c r="D905" t="s">
        <v>308</v>
      </c>
    </row>
    <row r="906" spans="1:4" x14ac:dyDescent="0.2">
      <c r="A906" t="s">
        <v>74</v>
      </c>
      <c r="B906" t="s">
        <v>42</v>
      </c>
      <c r="C906">
        <v>1</v>
      </c>
      <c r="D906" t="s">
        <v>307</v>
      </c>
    </row>
    <row r="907" spans="1:4" x14ac:dyDescent="0.2">
      <c r="A907" t="s">
        <v>74</v>
      </c>
      <c r="B907" t="s">
        <v>119</v>
      </c>
      <c r="C907">
        <v>1</v>
      </c>
      <c r="D907" t="s">
        <v>308</v>
      </c>
    </row>
    <row r="908" spans="1:4" x14ac:dyDescent="0.2">
      <c r="A908" t="s">
        <v>74</v>
      </c>
      <c r="B908" t="s">
        <v>212</v>
      </c>
      <c r="C908">
        <v>1</v>
      </c>
      <c r="D908" t="s">
        <v>307</v>
      </c>
    </row>
    <row r="909" spans="1:4" x14ac:dyDescent="0.2">
      <c r="A909" t="s">
        <v>74</v>
      </c>
      <c r="B909" t="s">
        <v>74</v>
      </c>
      <c r="C909">
        <v>1</v>
      </c>
      <c r="D909" t="s">
        <v>307</v>
      </c>
    </row>
    <row r="910" spans="1:4" x14ac:dyDescent="0.2">
      <c r="A910" t="s">
        <v>74</v>
      </c>
      <c r="B910" t="s">
        <v>65</v>
      </c>
      <c r="C910">
        <v>1</v>
      </c>
      <c r="D910" t="s">
        <v>308</v>
      </c>
    </row>
    <row r="911" spans="1:4" x14ac:dyDescent="0.2">
      <c r="A911" t="s">
        <v>73</v>
      </c>
      <c r="B911" t="s">
        <v>126</v>
      </c>
      <c r="C911">
        <v>1</v>
      </c>
      <c r="D911" t="s">
        <v>309</v>
      </c>
    </row>
    <row r="912" spans="1:4" x14ac:dyDescent="0.2">
      <c r="A912" t="s">
        <v>73</v>
      </c>
      <c r="B912" t="s">
        <v>95</v>
      </c>
      <c r="C912">
        <v>1</v>
      </c>
      <c r="D912" t="s">
        <v>309</v>
      </c>
    </row>
    <row r="913" spans="1:4" x14ac:dyDescent="0.2">
      <c r="A913" t="s">
        <v>73</v>
      </c>
      <c r="B913" t="s">
        <v>93</v>
      </c>
      <c r="C913">
        <v>1</v>
      </c>
      <c r="D913" t="s">
        <v>309</v>
      </c>
    </row>
    <row r="914" spans="1:4" x14ac:dyDescent="0.2">
      <c r="A914" t="s">
        <v>73</v>
      </c>
      <c r="B914" t="s">
        <v>111</v>
      </c>
      <c r="C914">
        <v>1</v>
      </c>
      <c r="D914" t="s">
        <v>309</v>
      </c>
    </row>
    <row r="915" spans="1:4" x14ac:dyDescent="0.2">
      <c r="A915" t="s">
        <v>73</v>
      </c>
      <c r="B915" t="s">
        <v>124</v>
      </c>
      <c r="C915">
        <v>1</v>
      </c>
      <c r="D915" t="s">
        <v>309</v>
      </c>
    </row>
    <row r="916" spans="1:4" x14ac:dyDescent="0.2">
      <c r="A916" t="s">
        <v>73</v>
      </c>
      <c r="B916" t="s">
        <v>90</v>
      </c>
      <c r="C916">
        <v>1</v>
      </c>
      <c r="D916" t="s">
        <v>309</v>
      </c>
    </row>
    <row r="917" spans="1:4" x14ac:dyDescent="0.2">
      <c r="A917" t="s">
        <v>73</v>
      </c>
      <c r="B917" t="s">
        <v>114</v>
      </c>
      <c r="C917">
        <v>1</v>
      </c>
      <c r="D917" t="s">
        <v>309</v>
      </c>
    </row>
    <row r="918" spans="1:4" x14ac:dyDescent="0.2">
      <c r="A918" t="s">
        <v>73</v>
      </c>
      <c r="B918" t="s">
        <v>28</v>
      </c>
      <c r="C918">
        <v>1</v>
      </c>
      <c r="D918" t="s">
        <v>309</v>
      </c>
    </row>
    <row r="919" spans="1:4" x14ac:dyDescent="0.2">
      <c r="A919" t="s">
        <v>73</v>
      </c>
      <c r="B919" t="s">
        <v>104</v>
      </c>
      <c r="C919">
        <v>1</v>
      </c>
      <c r="D919" t="s">
        <v>309</v>
      </c>
    </row>
    <row r="920" spans="1:4" x14ac:dyDescent="0.2">
      <c r="A920" t="s">
        <v>73</v>
      </c>
      <c r="B920" t="s">
        <v>108</v>
      </c>
      <c r="C920">
        <v>1</v>
      </c>
      <c r="D920" t="s">
        <v>308</v>
      </c>
    </row>
    <row r="921" spans="1:4" x14ac:dyDescent="0.2">
      <c r="A921" t="s">
        <v>73</v>
      </c>
      <c r="B921" t="s">
        <v>89</v>
      </c>
      <c r="C921">
        <v>1</v>
      </c>
      <c r="D921" t="s">
        <v>309</v>
      </c>
    </row>
    <row r="922" spans="1:4" x14ac:dyDescent="0.2">
      <c r="A922" t="s">
        <v>73</v>
      </c>
      <c r="B922" t="s">
        <v>128</v>
      </c>
      <c r="C922">
        <v>1</v>
      </c>
      <c r="D922" t="s">
        <v>309</v>
      </c>
    </row>
    <row r="923" spans="1:4" x14ac:dyDescent="0.2">
      <c r="A923" t="s">
        <v>73</v>
      </c>
      <c r="B923" t="s">
        <v>87</v>
      </c>
      <c r="C923">
        <v>1</v>
      </c>
      <c r="D923" t="s">
        <v>309</v>
      </c>
    </row>
    <row r="924" spans="1:4" x14ac:dyDescent="0.2">
      <c r="A924" t="s">
        <v>73</v>
      </c>
      <c r="B924" t="s">
        <v>119</v>
      </c>
      <c r="C924">
        <v>1</v>
      </c>
      <c r="D924" t="s">
        <v>309</v>
      </c>
    </row>
    <row r="925" spans="1:4" x14ac:dyDescent="0.2">
      <c r="A925" t="s">
        <v>73</v>
      </c>
      <c r="B925" t="s">
        <v>127</v>
      </c>
      <c r="C925">
        <v>1</v>
      </c>
      <c r="D925" t="s">
        <v>309</v>
      </c>
    </row>
    <row r="926" spans="1:4" x14ac:dyDescent="0.2">
      <c r="A926" t="s">
        <v>73</v>
      </c>
      <c r="B926" t="s">
        <v>74</v>
      </c>
      <c r="C926">
        <v>1</v>
      </c>
      <c r="D926" t="s">
        <v>307</v>
      </c>
    </row>
    <row r="927" spans="1:4" x14ac:dyDescent="0.2">
      <c r="A927" t="s">
        <v>73</v>
      </c>
      <c r="B927" t="s">
        <v>73</v>
      </c>
      <c r="C927">
        <v>1</v>
      </c>
      <c r="D927" t="s">
        <v>307</v>
      </c>
    </row>
    <row r="928" spans="1:4" x14ac:dyDescent="0.2">
      <c r="A928" t="s">
        <v>73</v>
      </c>
      <c r="B928" t="s">
        <v>66</v>
      </c>
      <c r="C928">
        <v>1</v>
      </c>
      <c r="D928" t="s">
        <v>309</v>
      </c>
    </row>
    <row r="929" spans="1:4" x14ac:dyDescent="0.2">
      <c r="A929" t="s">
        <v>73</v>
      </c>
      <c r="B929" t="s">
        <v>75</v>
      </c>
      <c r="C929">
        <v>1</v>
      </c>
      <c r="D929" t="s">
        <v>309</v>
      </c>
    </row>
    <row r="930" spans="1:4" x14ac:dyDescent="0.2">
      <c r="A930" t="s">
        <v>73</v>
      </c>
      <c r="B930" t="s">
        <v>18</v>
      </c>
      <c r="C930">
        <v>1</v>
      </c>
      <c r="D930" t="s">
        <v>309</v>
      </c>
    </row>
    <row r="931" spans="1:4" x14ac:dyDescent="0.2">
      <c r="A931" t="s">
        <v>73</v>
      </c>
      <c r="B931" t="s">
        <v>94</v>
      </c>
      <c r="C931">
        <v>1</v>
      </c>
      <c r="D931" t="s">
        <v>309</v>
      </c>
    </row>
    <row r="932" spans="1:4" x14ac:dyDescent="0.2">
      <c r="A932" t="s">
        <v>73</v>
      </c>
      <c r="B932" t="s">
        <v>34</v>
      </c>
      <c r="C932">
        <v>1</v>
      </c>
      <c r="D932" t="s">
        <v>309</v>
      </c>
    </row>
    <row r="933" spans="1:4" x14ac:dyDescent="0.2">
      <c r="A933" t="s">
        <v>73</v>
      </c>
      <c r="B933" t="s">
        <v>177</v>
      </c>
      <c r="C933">
        <v>1</v>
      </c>
      <c r="D933" t="s">
        <v>309</v>
      </c>
    </row>
    <row r="934" spans="1:4" x14ac:dyDescent="0.2">
      <c r="A934" t="s">
        <v>59</v>
      </c>
      <c r="B934" t="s">
        <v>38</v>
      </c>
      <c r="C934">
        <v>1</v>
      </c>
      <c r="D934" t="s">
        <v>308</v>
      </c>
    </row>
    <row r="935" spans="1:4" x14ac:dyDescent="0.2">
      <c r="A935" t="s">
        <v>59</v>
      </c>
      <c r="B935" t="s">
        <v>59</v>
      </c>
      <c r="C935">
        <v>1</v>
      </c>
      <c r="D935" t="s">
        <v>307</v>
      </c>
    </row>
    <row r="936" spans="1:4" x14ac:dyDescent="0.2">
      <c r="A936" t="s">
        <v>52</v>
      </c>
      <c r="B936" t="s">
        <v>62</v>
      </c>
      <c r="C936">
        <v>1</v>
      </c>
      <c r="D936" t="s">
        <v>307</v>
      </c>
    </row>
    <row r="937" spans="1:4" x14ac:dyDescent="0.2">
      <c r="A937" t="s">
        <v>52</v>
      </c>
      <c r="B937" t="s">
        <v>52</v>
      </c>
      <c r="C937">
        <v>1</v>
      </c>
      <c r="D937" t="s">
        <v>307</v>
      </c>
    </row>
    <row r="938" spans="1:4" x14ac:dyDescent="0.2">
      <c r="A938" t="s">
        <v>72</v>
      </c>
      <c r="B938" t="s">
        <v>85</v>
      </c>
      <c r="C938">
        <v>1</v>
      </c>
      <c r="D938" t="s">
        <v>307</v>
      </c>
    </row>
    <row r="939" spans="1:4" x14ac:dyDescent="0.2">
      <c r="A939" t="s">
        <v>72</v>
      </c>
      <c r="B939" t="s">
        <v>33</v>
      </c>
      <c r="C939">
        <v>1</v>
      </c>
      <c r="D939" t="s">
        <v>307</v>
      </c>
    </row>
    <row r="940" spans="1:4" x14ac:dyDescent="0.2">
      <c r="A940" t="s">
        <v>72</v>
      </c>
      <c r="B940" t="s">
        <v>72</v>
      </c>
      <c r="C940">
        <v>1</v>
      </c>
      <c r="D940" t="s">
        <v>307</v>
      </c>
    </row>
    <row r="941" spans="1:4" x14ac:dyDescent="0.2">
      <c r="A941" t="s">
        <v>72</v>
      </c>
      <c r="B941" t="s">
        <v>189</v>
      </c>
      <c r="C941">
        <v>1</v>
      </c>
      <c r="D941" t="s">
        <v>307</v>
      </c>
    </row>
    <row r="942" spans="1:4" x14ac:dyDescent="0.2">
      <c r="A942" t="s">
        <v>67</v>
      </c>
      <c r="B942" t="s">
        <v>67</v>
      </c>
      <c r="C942">
        <v>1</v>
      </c>
      <c r="D942" t="s">
        <v>307</v>
      </c>
    </row>
    <row r="943" spans="1:4" x14ac:dyDescent="0.2">
      <c r="A943" t="s">
        <v>45</v>
      </c>
      <c r="B943" t="s">
        <v>125</v>
      </c>
      <c r="C943">
        <v>1</v>
      </c>
      <c r="D943" t="s">
        <v>308</v>
      </c>
    </row>
    <row r="944" spans="1:4" x14ac:dyDescent="0.2">
      <c r="A944" t="s">
        <v>45</v>
      </c>
      <c r="B944" t="s">
        <v>67</v>
      </c>
      <c r="C944">
        <v>1</v>
      </c>
      <c r="D944" t="s">
        <v>308</v>
      </c>
    </row>
    <row r="945" spans="1:4" x14ac:dyDescent="0.2">
      <c r="A945" t="s">
        <v>45</v>
      </c>
      <c r="B945" t="s">
        <v>45</v>
      </c>
      <c r="C945">
        <v>1</v>
      </c>
      <c r="D945" t="s">
        <v>307</v>
      </c>
    </row>
    <row r="946" spans="1:4" x14ac:dyDescent="0.2">
      <c r="A946" t="s">
        <v>45</v>
      </c>
      <c r="B946" t="s">
        <v>94</v>
      </c>
      <c r="C946">
        <v>1</v>
      </c>
      <c r="D946" t="s">
        <v>308</v>
      </c>
    </row>
    <row r="947" spans="1:4" x14ac:dyDescent="0.2">
      <c r="A947" t="s">
        <v>45</v>
      </c>
      <c r="B947" t="s">
        <v>55</v>
      </c>
      <c r="C947">
        <v>1</v>
      </c>
      <c r="D947" t="s">
        <v>308</v>
      </c>
    </row>
    <row r="948" spans="1:4" x14ac:dyDescent="0.2">
      <c r="A948" t="s">
        <v>70</v>
      </c>
      <c r="B948" t="s">
        <v>60</v>
      </c>
      <c r="C948">
        <v>1</v>
      </c>
      <c r="D948" t="s">
        <v>308</v>
      </c>
    </row>
    <row r="949" spans="1:4" x14ac:dyDescent="0.2">
      <c r="A949" t="s">
        <v>70</v>
      </c>
      <c r="B949" t="s">
        <v>187</v>
      </c>
      <c r="C949">
        <v>1</v>
      </c>
      <c r="D949" t="s">
        <v>308</v>
      </c>
    </row>
    <row r="950" spans="1:4" x14ac:dyDescent="0.2">
      <c r="A950" t="s">
        <v>70</v>
      </c>
      <c r="B950" t="s">
        <v>119</v>
      </c>
      <c r="C950">
        <v>1</v>
      </c>
      <c r="D950" t="s">
        <v>308</v>
      </c>
    </row>
    <row r="951" spans="1:4" x14ac:dyDescent="0.2">
      <c r="A951" t="s">
        <v>70</v>
      </c>
      <c r="B951" t="s">
        <v>129</v>
      </c>
      <c r="C951">
        <v>1</v>
      </c>
      <c r="D951" t="s">
        <v>308</v>
      </c>
    </row>
    <row r="952" spans="1:4" x14ac:dyDescent="0.2">
      <c r="A952" t="s">
        <v>70</v>
      </c>
      <c r="B952" t="s">
        <v>75</v>
      </c>
      <c r="C952">
        <v>1</v>
      </c>
      <c r="D952" t="s">
        <v>308</v>
      </c>
    </row>
    <row r="953" spans="1:4" x14ac:dyDescent="0.2">
      <c r="A953" t="s">
        <v>70</v>
      </c>
      <c r="B953" t="s">
        <v>65</v>
      </c>
      <c r="C953">
        <v>1</v>
      </c>
      <c r="D953" t="s">
        <v>308</v>
      </c>
    </row>
    <row r="954" spans="1:4" x14ac:dyDescent="0.2">
      <c r="A954" t="s">
        <v>70</v>
      </c>
      <c r="B954" t="s">
        <v>116</v>
      </c>
      <c r="C954">
        <v>1</v>
      </c>
      <c r="D954" t="s">
        <v>308</v>
      </c>
    </row>
    <row r="955" spans="1:4" x14ac:dyDescent="0.2">
      <c r="A955" t="s">
        <v>70</v>
      </c>
      <c r="B955" t="s">
        <v>110</v>
      </c>
      <c r="C955">
        <v>1</v>
      </c>
      <c r="D955" t="s">
        <v>308</v>
      </c>
    </row>
    <row r="956" spans="1:4" x14ac:dyDescent="0.2">
      <c r="A956" t="s">
        <v>70</v>
      </c>
      <c r="B956" t="s">
        <v>35</v>
      </c>
      <c r="C956">
        <v>1</v>
      </c>
      <c r="D956" t="s">
        <v>308</v>
      </c>
    </row>
    <row r="957" spans="1:4" x14ac:dyDescent="0.2">
      <c r="A957" t="s">
        <v>70</v>
      </c>
      <c r="B957" t="s">
        <v>55</v>
      </c>
      <c r="C957">
        <v>1</v>
      </c>
      <c r="D957" t="s">
        <v>308</v>
      </c>
    </row>
    <row r="958" spans="1:4" x14ac:dyDescent="0.2">
      <c r="A958" t="s">
        <v>70</v>
      </c>
      <c r="B958" t="s">
        <v>53</v>
      </c>
      <c r="C958">
        <v>1</v>
      </c>
      <c r="D958" t="s">
        <v>308</v>
      </c>
    </row>
    <row r="959" spans="1:4" x14ac:dyDescent="0.2">
      <c r="A959" t="s">
        <v>70</v>
      </c>
      <c r="B959" t="s">
        <v>69</v>
      </c>
      <c r="C959">
        <v>1</v>
      </c>
      <c r="D959" t="s">
        <v>307</v>
      </c>
    </row>
    <row r="960" spans="1:4" x14ac:dyDescent="0.2">
      <c r="A960" t="s">
        <v>70</v>
      </c>
      <c r="B960" t="s">
        <v>189</v>
      </c>
      <c r="C960">
        <v>1</v>
      </c>
      <c r="D960" t="s">
        <v>308</v>
      </c>
    </row>
    <row r="961" spans="1:4" x14ac:dyDescent="0.2">
      <c r="A961" t="s">
        <v>70</v>
      </c>
      <c r="B961" t="s">
        <v>17</v>
      </c>
      <c r="C961">
        <v>1</v>
      </c>
      <c r="D961" t="s">
        <v>308</v>
      </c>
    </row>
    <row r="962" spans="1:4" x14ac:dyDescent="0.2">
      <c r="A962" t="s">
        <v>68</v>
      </c>
      <c r="B962" t="s">
        <v>212</v>
      </c>
      <c r="C962">
        <v>1</v>
      </c>
      <c r="D962" t="s">
        <v>307</v>
      </c>
    </row>
    <row r="963" spans="1:4" x14ac:dyDescent="0.2">
      <c r="A963" t="s">
        <v>68</v>
      </c>
      <c r="B963" t="s">
        <v>32</v>
      </c>
      <c r="C963">
        <v>1</v>
      </c>
      <c r="D963" t="s">
        <v>307</v>
      </c>
    </row>
    <row r="964" spans="1:4" x14ac:dyDescent="0.2">
      <c r="A964" t="s">
        <v>68</v>
      </c>
      <c r="B964" t="s">
        <v>69</v>
      </c>
      <c r="C964">
        <v>1</v>
      </c>
      <c r="D964" t="s">
        <v>307</v>
      </c>
    </row>
    <row r="965" spans="1:4" x14ac:dyDescent="0.2">
      <c r="A965" t="s">
        <v>129</v>
      </c>
      <c r="B965" t="s">
        <v>97</v>
      </c>
      <c r="C965">
        <v>1</v>
      </c>
      <c r="D965" t="s">
        <v>308</v>
      </c>
    </row>
    <row r="966" spans="1:4" x14ac:dyDescent="0.2">
      <c r="A966" t="s">
        <v>129</v>
      </c>
      <c r="B966" t="s">
        <v>36</v>
      </c>
      <c r="C966">
        <v>1</v>
      </c>
      <c r="D966" t="s">
        <v>308</v>
      </c>
    </row>
    <row r="967" spans="1:4" x14ac:dyDescent="0.2">
      <c r="A967" t="s">
        <v>129</v>
      </c>
      <c r="B967" t="s">
        <v>83</v>
      </c>
      <c r="C967">
        <v>1</v>
      </c>
      <c r="D967" t="s">
        <v>308</v>
      </c>
    </row>
    <row r="968" spans="1:4" x14ac:dyDescent="0.2">
      <c r="A968" t="s">
        <v>129</v>
      </c>
      <c r="B968" t="s">
        <v>57</v>
      </c>
      <c r="C968">
        <v>1</v>
      </c>
      <c r="D968" t="s">
        <v>308</v>
      </c>
    </row>
    <row r="969" spans="1:4" x14ac:dyDescent="0.2">
      <c r="A969" t="s">
        <v>129</v>
      </c>
      <c r="B969" t="s">
        <v>118</v>
      </c>
      <c r="C969">
        <v>1</v>
      </c>
      <c r="D969" t="s">
        <v>308</v>
      </c>
    </row>
    <row r="970" spans="1:4" x14ac:dyDescent="0.2">
      <c r="A970" t="s">
        <v>129</v>
      </c>
      <c r="B970" t="s">
        <v>68</v>
      </c>
      <c r="C970">
        <v>1</v>
      </c>
      <c r="D970" t="s">
        <v>308</v>
      </c>
    </row>
    <row r="971" spans="1:4" x14ac:dyDescent="0.2">
      <c r="A971" t="s">
        <v>129</v>
      </c>
      <c r="B971" t="s">
        <v>129</v>
      </c>
      <c r="C971">
        <v>1</v>
      </c>
      <c r="D971" t="s">
        <v>307</v>
      </c>
    </row>
    <row r="972" spans="1:4" x14ac:dyDescent="0.2">
      <c r="A972" t="s">
        <v>129</v>
      </c>
      <c r="B972" t="s">
        <v>66</v>
      </c>
      <c r="C972">
        <v>1</v>
      </c>
      <c r="D972" t="s">
        <v>308</v>
      </c>
    </row>
    <row r="973" spans="1:4" x14ac:dyDescent="0.2">
      <c r="A973" t="s">
        <v>129</v>
      </c>
      <c r="B973" t="s">
        <v>65</v>
      </c>
      <c r="C973">
        <v>1</v>
      </c>
      <c r="D973" t="s">
        <v>308</v>
      </c>
    </row>
    <row r="974" spans="1:4" x14ac:dyDescent="0.2">
      <c r="A974" t="s">
        <v>129</v>
      </c>
      <c r="B974" t="s">
        <v>53</v>
      </c>
      <c r="C974">
        <v>1</v>
      </c>
      <c r="D974" t="s">
        <v>308</v>
      </c>
    </row>
    <row r="975" spans="1:4" x14ac:dyDescent="0.2">
      <c r="A975" t="s">
        <v>129</v>
      </c>
      <c r="B975" t="s">
        <v>186</v>
      </c>
      <c r="C975">
        <v>1</v>
      </c>
      <c r="D975" t="s">
        <v>308</v>
      </c>
    </row>
    <row r="976" spans="1:4" x14ac:dyDescent="0.2">
      <c r="A976" t="s">
        <v>66</v>
      </c>
      <c r="B976" t="s">
        <v>128</v>
      </c>
      <c r="C976">
        <v>1</v>
      </c>
      <c r="D976" t="s">
        <v>309</v>
      </c>
    </row>
    <row r="977" spans="1:4" x14ac:dyDescent="0.2">
      <c r="A977" t="s">
        <v>66</v>
      </c>
      <c r="B977" t="s">
        <v>52</v>
      </c>
      <c r="C977">
        <v>1</v>
      </c>
      <c r="D977" t="s">
        <v>307</v>
      </c>
    </row>
    <row r="978" spans="1:4" x14ac:dyDescent="0.2">
      <c r="A978" t="s">
        <v>66</v>
      </c>
      <c r="B978" t="s">
        <v>67</v>
      </c>
      <c r="C978">
        <v>1</v>
      </c>
      <c r="D978" t="s">
        <v>307</v>
      </c>
    </row>
    <row r="979" spans="1:4" x14ac:dyDescent="0.2">
      <c r="A979" t="s">
        <v>66</v>
      </c>
      <c r="B979" t="s">
        <v>66</v>
      </c>
      <c r="C979">
        <v>1</v>
      </c>
      <c r="D979" t="s">
        <v>307</v>
      </c>
    </row>
    <row r="980" spans="1:4" x14ac:dyDescent="0.2">
      <c r="A980" t="s">
        <v>66</v>
      </c>
      <c r="B980" t="s">
        <v>65</v>
      </c>
      <c r="C980">
        <v>1</v>
      </c>
      <c r="D980" t="s">
        <v>308</v>
      </c>
    </row>
    <row r="981" spans="1:4" x14ac:dyDescent="0.2">
      <c r="A981" t="s">
        <v>75</v>
      </c>
      <c r="B981" t="s">
        <v>93</v>
      </c>
      <c r="C981">
        <v>1</v>
      </c>
      <c r="D981" t="s">
        <v>309</v>
      </c>
    </row>
    <row r="982" spans="1:4" x14ac:dyDescent="0.2">
      <c r="A982" t="s">
        <v>75</v>
      </c>
      <c r="B982" t="s">
        <v>111</v>
      </c>
      <c r="C982">
        <v>1</v>
      </c>
      <c r="D982" t="s">
        <v>309</v>
      </c>
    </row>
    <row r="983" spans="1:4" x14ac:dyDescent="0.2">
      <c r="A983" t="s">
        <v>75</v>
      </c>
      <c r="B983" t="s">
        <v>90</v>
      </c>
      <c r="C983">
        <v>1</v>
      </c>
      <c r="D983" t="s">
        <v>309</v>
      </c>
    </row>
    <row r="984" spans="1:4" x14ac:dyDescent="0.2">
      <c r="A984" t="s">
        <v>75</v>
      </c>
      <c r="B984" t="s">
        <v>68</v>
      </c>
      <c r="C984">
        <v>1</v>
      </c>
      <c r="D984" t="s">
        <v>308</v>
      </c>
    </row>
    <row r="985" spans="1:4" x14ac:dyDescent="0.2">
      <c r="A985" t="s">
        <v>75</v>
      </c>
      <c r="B985" t="s">
        <v>18</v>
      </c>
      <c r="C985">
        <v>1</v>
      </c>
      <c r="D985" t="s">
        <v>309</v>
      </c>
    </row>
    <row r="986" spans="1:4" x14ac:dyDescent="0.2">
      <c r="A986" t="s">
        <v>75</v>
      </c>
      <c r="B986" t="s">
        <v>65</v>
      </c>
      <c r="C986">
        <v>1</v>
      </c>
      <c r="D986" t="s">
        <v>308</v>
      </c>
    </row>
    <row r="987" spans="1:4" x14ac:dyDescent="0.2">
      <c r="A987" t="s">
        <v>75</v>
      </c>
      <c r="B987" t="s">
        <v>110</v>
      </c>
      <c r="C987">
        <v>1</v>
      </c>
      <c r="D987" t="s">
        <v>308</v>
      </c>
    </row>
    <row r="988" spans="1:4" x14ac:dyDescent="0.2">
      <c r="A988" t="s">
        <v>18</v>
      </c>
      <c r="B988" t="s">
        <v>30</v>
      </c>
      <c r="C988">
        <v>1</v>
      </c>
      <c r="D988" t="s">
        <v>307</v>
      </c>
    </row>
    <row r="989" spans="1:4" x14ac:dyDescent="0.2">
      <c r="A989" t="s">
        <v>18</v>
      </c>
      <c r="B989" t="s">
        <v>61</v>
      </c>
      <c r="C989">
        <v>1</v>
      </c>
      <c r="D989" t="s">
        <v>307</v>
      </c>
    </row>
    <row r="990" spans="1:4" x14ac:dyDescent="0.2">
      <c r="A990" t="s">
        <v>18</v>
      </c>
      <c r="B990" t="s">
        <v>18</v>
      </c>
      <c r="C990">
        <v>1</v>
      </c>
      <c r="D990" t="s">
        <v>307</v>
      </c>
    </row>
    <row r="991" spans="1:4" x14ac:dyDescent="0.2">
      <c r="A991" t="s">
        <v>18</v>
      </c>
      <c r="B991" t="s">
        <v>122</v>
      </c>
      <c r="C991">
        <v>1</v>
      </c>
      <c r="D991" t="s">
        <v>307</v>
      </c>
    </row>
    <row r="992" spans="1:4" x14ac:dyDescent="0.2">
      <c r="A992" t="s">
        <v>50</v>
      </c>
      <c r="B992" t="s">
        <v>187</v>
      </c>
      <c r="C992">
        <v>1</v>
      </c>
      <c r="D992" t="s">
        <v>309</v>
      </c>
    </row>
    <row r="993" spans="1:4" x14ac:dyDescent="0.2">
      <c r="A993" t="s">
        <v>50</v>
      </c>
      <c r="B993" t="s">
        <v>95</v>
      </c>
      <c r="C993">
        <v>1</v>
      </c>
      <c r="D993" t="s">
        <v>309</v>
      </c>
    </row>
    <row r="994" spans="1:4" x14ac:dyDescent="0.2">
      <c r="A994" t="s">
        <v>50</v>
      </c>
      <c r="B994" t="s">
        <v>93</v>
      </c>
      <c r="C994">
        <v>1</v>
      </c>
      <c r="D994" t="s">
        <v>309</v>
      </c>
    </row>
    <row r="995" spans="1:4" x14ac:dyDescent="0.2">
      <c r="A995" t="s">
        <v>50</v>
      </c>
      <c r="B995" t="s">
        <v>79</v>
      </c>
      <c r="C995">
        <v>1</v>
      </c>
      <c r="D995" t="s">
        <v>309</v>
      </c>
    </row>
    <row r="996" spans="1:4" x14ac:dyDescent="0.2">
      <c r="A996" t="s">
        <v>50</v>
      </c>
      <c r="B996" t="s">
        <v>125</v>
      </c>
      <c r="C996">
        <v>1</v>
      </c>
      <c r="D996" t="s">
        <v>309</v>
      </c>
    </row>
    <row r="997" spans="1:4" x14ac:dyDescent="0.2">
      <c r="A997" t="s">
        <v>50</v>
      </c>
      <c r="B997" t="s">
        <v>111</v>
      </c>
      <c r="C997">
        <v>1</v>
      </c>
      <c r="D997" t="s">
        <v>309</v>
      </c>
    </row>
    <row r="998" spans="1:4" x14ac:dyDescent="0.2">
      <c r="A998" t="s">
        <v>50</v>
      </c>
      <c r="B998" t="s">
        <v>124</v>
      </c>
      <c r="C998">
        <v>1</v>
      </c>
      <c r="D998" t="s">
        <v>309</v>
      </c>
    </row>
    <row r="999" spans="1:4" x14ac:dyDescent="0.2">
      <c r="A999" t="s">
        <v>50</v>
      </c>
      <c r="B999" t="s">
        <v>90</v>
      </c>
      <c r="C999">
        <v>1</v>
      </c>
      <c r="D999" t="s">
        <v>309</v>
      </c>
    </row>
    <row r="1000" spans="1:4" x14ac:dyDescent="0.2">
      <c r="A1000" t="s">
        <v>50</v>
      </c>
      <c r="B1000" t="s">
        <v>114</v>
      </c>
      <c r="C1000">
        <v>1</v>
      </c>
      <c r="D1000" t="s">
        <v>309</v>
      </c>
    </row>
    <row r="1001" spans="1:4" x14ac:dyDescent="0.2">
      <c r="A1001" t="s">
        <v>50</v>
      </c>
      <c r="B1001" t="s">
        <v>28</v>
      </c>
      <c r="C1001">
        <v>1</v>
      </c>
      <c r="D1001" t="s">
        <v>309</v>
      </c>
    </row>
    <row r="1002" spans="1:4" x14ac:dyDescent="0.2">
      <c r="A1002" t="s">
        <v>50</v>
      </c>
      <c r="B1002" t="s">
        <v>104</v>
      </c>
      <c r="C1002">
        <v>1</v>
      </c>
      <c r="D1002" t="s">
        <v>309</v>
      </c>
    </row>
    <row r="1003" spans="1:4" x14ac:dyDescent="0.2">
      <c r="A1003" t="s">
        <v>50</v>
      </c>
      <c r="B1003" t="s">
        <v>107</v>
      </c>
      <c r="C1003">
        <v>1</v>
      </c>
      <c r="D1003" t="s">
        <v>309</v>
      </c>
    </row>
    <row r="1004" spans="1:4" x14ac:dyDescent="0.2">
      <c r="A1004" t="s">
        <v>50</v>
      </c>
      <c r="B1004" t="s">
        <v>193</v>
      </c>
      <c r="C1004">
        <v>1</v>
      </c>
      <c r="D1004" t="s">
        <v>309</v>
      </c>
    </row>
    <row r="1005" spans="1:4" x14ac:dyDescent="0.2">
      <c r="A1005" t="s">
        <v>50</v>
      </c>
      <c r="B1005" t="s">
        <v>102</v>
      </c>
      <c r="C1005">
        <v>1</v>
      </c>
      <c r="D1005" t="s">
        <v>309</v>
      </c>
    </row>
    <row r="1006" spans="1:4" x14ac:dyDescent="0.2">
      <c r="A1006" t="s">
        <v>50</v>
      </c>
      <c r="B1006" t="s">
        <v>89</v>
      </c>
      <c r="C1006">
        <v>1</v>
      </c>
      <c r="D1006" t="s">
        <v>309</v>
      </c>
    </row>
    <row r="1007" spans="1:4" x14ac:dyDescent="0.2">
      <c r="A1007" t="s">
        <v>50</v>
      </c>
      <c r="B1007" t="s">
        <v>87</v>
      </c>
      <c r="C1007">
        <v>1</v>
      </c>
      <c r="D1007" t="s">
        <v>309</v>
      </c>
    </row>
    <row r="1008" spans="1:4" x14ac:dyDescent="0.2">
      <c r="A1008" t="s">
        <v>50</v>
      </c>
      <c r="B1008" t="s">
        <v>119</v>
      </c>
      <c r="C1008">
        <v>1</v>
      </c>
      <c r="D1008" t="s">
        <v>309</v>
      </c>
    </row>
    <row r="1009" spans="1:4" x14ac:dyDescent="0.2">
      <c r="A1009" t="s">
        <v>50</v>
      </c>
      <c r="B1009" t="s">
        <v>118</v>
      </c>
      <c r="C1009">
        <v>1</v>
      </c>
      <c r="D1009" t="s">
        <v>309</v>
      </c>
    </row>
    <row r="1010" spans="1:4" x14ac:dyDescent="0.2">
      <c r="A1010" t="s">
        <v>50</v>
      </c>
      <c r="B1010" t="s">
        <v>25</v>
      </c>
      <c r="C1010">
        <v>1</v>
      </c>
      <c r="D1010" t="s">
        <v>309</v>
      </c>
    </row>
    <row r="1011" spans="1:4" x14ac:dyDescent="0.2">
      <c r="A1011" t="s">
        <v>50</v>
      </c>
      <c r="B1011" t="s">
        <v>73</v>
      </c>
      <c r="C1011">
        <v>1</v>
      </c>
      <c r="D1011" t="s">
        <v>309</v>
      </c>
    </row>
    <row r="1012" spans="1:4" x14ac:dyDescent="0.2">
      <c r="A1012" t="s">
        <v>50</v>
      </c>
      <c r="B1012" t="s">
        <v>45</v>
      </c>
      <c r="C1012">
        <v>1</v>
      </c>
      <c r="D1012" t="s">
        <v>308</v>
      </c>
    </row>
    <row r="1013" spans="1:4" x14ac:dyDescent="0.2">
      <c r="A1013" t="s">
        <v>50</v>
      </c>
      <c r="B1013" t="s">
        <v>75</v>
      </c>
      <c r="C1013">
        <v>1</v>
      </c>
      <c r="D1013" t="s">
        <v>309</v>
      </c>
    </row>
    <row r="1014" spans="1:4" x14ac:dyDescent="0.2">
      <c r="A1014" t="s">
        <v>50</v>
      </c>
      <c r="B1014" t="s">
        <v>18</v>
      </c>
      <c r="C1014">
        <v>1</v>
      </c>
      <c r="D1014" t="s">
        <v>309</v>
      </c>
    </row>
    <row r="1015" spans="1:4" x14ac:dyDescent="0.2">
      <c r="A1015" t="s">
        <v>50</v>
      </c>
      <c r="B1015" t="s">
        <v>50</v>
      </c>
      <c r="C1015">
        <v>1</v>
      </c>
      <c r="D1015" t="s">
        <v>307</v>
      </c>
    </row>
    <row r="1016" spans="1:4" x14ac:dyDescent="0.2">
      <c r="A1016" t="s">
        <v>50</v>
      </c>
      <c r="B1016" t="s">
        <v>55</v>
      </c>
      <c r="C1016">
        <v>1</v>
      </c>
      <c r="D1016" t="s">
        <v>309</v>
      </c>
    </row>
    <row r="1017" spans="1:4" x14ac:dyDescent="0.2">
      <c r="A1017" t="s">
        <v>94</v>
      </c>
      <c r="B1017" t="s">
        <v>111</v>
      </c>
      <c r="C1017">
        <v>1</v>
      </c>
      <c r="D1017" t="s">
        <v>309</v>
      </c>
    </row>
    <row r="1018" spans="1:4" x14ac:dyDescent="0.2">
      <c r="A1018" t="s">
        <v>94</v>
      </c>
      <c r="B1018" t="s">
        <v>124</v>
      </c>
      <c r="C1018">
        <v>1</v>
      </c>
      <c r="D1018" t="s">
        <v>309</v>
      </c>
    </row>
    <row r="1019" spans="1:4" x14ac:dyDescent="0.2">
      <c r="A1019" t="s">
        <v>94</v>
      </c>
      <c r="B1019" t="s">
        <v>90</v>
      </c>
      <c r="C1019">
        <v>1</v>
      </c>
      <c r="D1019" t="s">
        <v>309</v>
      </c>
    </row>
    <row r="1020" spans="1:4" x14ac:dyDescent="0.2">
      <c r="A1020" t="s">
        <v>94</v>
      </c>
      <c r="B1020" t="s">
        <v>28</v>
      </c>
      <c r="C1020">
        <v>1</v>
      </c>
      <c r="D1020" t="s">
        <v>309</v>
      </c>
    </row>
    <row r="1021" spans="1:4" x14ac:dyDescent="0.2">
      <c r="A1021" t="s">
        <v>94</v>
      </c>
      <c r="B1021" t="s">
        <v>104</v>
      </c>
      <c r="C1021">
        <v>1</v>
      </c>
      <c r="D1021" t="s">
        <v>309</v>
      </c>
    </row>
    <row r="1022" spans="1:4" x14ac:dyDescent="0.2">
      <c r="A1022" t="s">
        <v>94</v>
      </c>
      <c r="B1022" t="s">
        <v>89</v>
      </c>
      <c r="C1022">
        <v>1</v>
      </c>
      <c r="D1022" t="s">
        <v>309</v>
      </c>
    </row>
    <row r="1023" spans="1:4" x14ac:dyDescent="0.2">
      <c r="A1023" t="s">
        <v>94</v>
      </c>
      <c r="B1023" t="s">
        <v>128</v>
      </c>
      <c r="C1023">
        <v>1</v>
      </c>
      <c r="D1023" t="s">
        <v>309</v>
      </c>
    </row>
    <row r="1024" spans="1:4" x14ac:dyDescent="0.2">
      <c r="A1024" t="s">
        <v>94</v>
      </c>
      <c r="B1024" t="s">
        <v>119</v>
      </c>
      <c r="C1024">
        <v>1</v>
      </c>
      <c r="D1024" t="s">
        <v>309</v>
      </c>
    </row>
    <row r="1025" spans="1:4" x14ac:dyDescent="0.2">
      <c r="A1025" t="s">
        <v>94</v>
      </c>
      <c r="B1025" t="s">
        <v>66</v>
      </c>
      <c r="C1025">
        <v>1</v>
      </c>
      <c r="D1025" t="s">
        <v>309</v>
      </c>
    </row>
    <row r="1026" spans="1:4" x14ac:dyDescent="0.2">
      <c r="A1026" t="s">
        <v>94</v>
      </c>
      <c r="B1026" t="s">
        <v>75</v>
      </c>
      <c r="C1026">
        <v>1</v>
      </c>
      <c r="D1026" t="s">
        <v>309</v>
      </c>
    </row>
    <row r="1027" spans="1:4" x14ac:dyDescent="0.2">
      <c r="A1027" t="s">
        <v>94</v>
      </c>
      <c r="B1027" t="s">
        <v>110</v>
      </c>
      <c r="C1027">
        <v>1</v>
      </c>
      <c r="D1027" t="s">
        <v>308</v>
      </c>
    </row>
    <row r="1028" spans="1:4" x14ac:dyDescent="0.2">
      <c r="A1028" t="s">
        <v>94</v>
      </c>
      <c r="B1028" t="s">
        <v>35</v>
      </c>
      <c r="C1028">
        <v>1</v>
      </c>
      <c r="D1028" t="s">
        <v>308</v>
      </c>
    </row>
    <row r="1029" spans="1:4" x14ac:dyDescent="0.2">
      <c r="A1029" t="s">
        <v>94</v>
      </c>
      <c r="B1029" t="s">
        <v>55</v>
      </c>
      <c r="C1029">
        <v>1</v>
      </c>
      <c r="D1029" t="s">
        <v>308</v>
      </c>
    </row>
    <row r="1030" spans="1:4" x14ac:dyDescent="0.2">
      <c r="A1030" t="s">
        <v>94</v>
      </c>
      <c r="B1030" t="s">
        <v>48</v>
      </c>
      <c r="C1030">
        <v>1</v>
      </c>
      <c r="D1030" t="s">
        <v>308</v>
      </c>
    </row>
    <row r="1031" spans="1:4" x14ac:dyDescent="0.2">
      <c r="A1031" t="s">
        <v>94</v>
      </c>
      <c r="B1031" t="s">
        <v>177</v>
      </c>
      <c r="C1031">
        <v>1</v>
      </c>
      <c r="D1031" t="s">
        <v>309</v>
      </c>
    </row>
    <row r="1032" spans="1:4" x14ac:dyDescent="0.2">
      <c r="A1032" t="s">
        <v>65</v>
      </c>
      <c r="B1032" t="s">
        <v>42</v>
      </c>
      <c r="C1032">
        <v>1</v>
      </c>
      <c r="D1032" t="s">
        <v>307</v>
      </c>
    </row>
    <row r="1033" spans="1:4" x14ac:dyDescent="0.2">
      <c r="A1033" t="s">
        <v>117</v>
      </c>
      <c r="B1033" t="s">
        <v>37</v>
      </c>
      <c r="C1033">
        <v>1</v>
      </c>
      <c r="D1033" t="s">
        <v>307</v>
      </c>
    </row>
    <row r="1034" spans="1:4" x14ac:dyDescent="0.2">
      <c r="A1034" t="s">
        <v>117</v>
      </c>
      <c r="B1034" t="s">
        <v>95</v>
      </c>
      <c r="C1034">
        <v>1</v>
      </c>
      <c r="D1034" t="s">
        <v>307</v>
      </c>
    </row>
    <row r="1035" spans="1:4" x14ac:dyDescent="0.2">
      <c r="A1035" t="s">
        <v>117</v>
      </c>
      <c r="B1035" t="s">
        <v>186</v>
      </c>
      <c r="C1035">
        <v>1</v>
      </c>
      <c r="D1035" t="s">
        <v>308</v>
      </c>
    </row>
    <row r="1036" spans="1:4" x14ac:dyDescent="0.2">
      <c r="A1036" t="s">
        <v>116</v>
      </c>
      <c r="B1036" t="s">
        <v>93</v>
      </c>
      <c r="C1036">
        <v>1</v>
      </c>
      <c r="D1036" t="s">
        <v>309</v>
      </c>
    </row>
    <row r="1037" spans="1:4" x14ac:dyDescent="0.2">
      <c r="A1037" t="s">
        <v>116</v>
      </c>
      <c r="B1037" t="s">
        <v>111</v>
      </c>
      <c r="C1037">
        <v>1</v>
      </c>
      <c r="D1037" t="s">
        <v>309</v>
      </c>
    </row>
    <row r="1038" spans="1:4" x14ac:dyDescent="0.2">
      <c r="A1038" t="s">
        <v>116</v>
      </c>
      <c r="B1038" t="s">
        <v>90</v>
      </c>
      <c r="C1038">
        <v>1</v>
      </c>
      <c r="D1038" t="s">
        <v>309</v>
      </c>
    </row>
    <row r="1039" spans="1:4" x14ac:dyDescent="0.2">
      <c r="A1039" t="s">
        <v>116</v>
      </c>
      <c r="B1039" t="s">
        <v>119</v>
      </c>
      <c r="C1039">
        <v>1</v>
      </c>
      <c r="D1039" t="s">
        <v>309</v>
      </c>
    </row>
    <row r="1040" spans="1:4" x14ac:dyDescent="0.2">
      <c r="A1040" t="s">
        <v>116</v>
      </c>
      <c r="B1040" t="s">
        <v>32</v>
      </c>
      <c r="C1040">
        <v>1</v>
      </c>
      <c r="D1040" t="s">
        <v>307</v>
      </c>
    </row>
    <row r="1041" spans="1:4" x14ac:dyDescent="0.2">
      <c r="A1041" t="s">
        <v>116</v>
      </c>
      <c r="B1041" t="s">
        <v>98</v>
      </c>
      <c r="C1041">
        <v>1</v>
      </c>
      <c r="D1041" t="s">
        <v>308</v>
      </c>
    </row>
    <row r="1042" spans="1:4" x14ac:dyDescent="0.2">
      <c r="A1042" t="s">
        <v>116</v>
      </c>
      <c r="B1042" t="s">
        <v>74</v>
      </c>
      <c r="C1042">
        <v>1</v>
      </c>
      <c r="D1042" t="s">
        <v>308</v>
      </c>
    </row>
    <row r="1043" spans="1:4" x14ac:dyDescent="0.2">
      <c r="A1043" t="s">
        <v>116</v>
      </c>
      <c r="B1043" t="s">
        <v>75</v>
      </c>
      <c r="C1043">
        <v>1</v>
      </c>
      <c r="D1043" t="s">
        <v>308</v>
      </c>
    </row>
    <row r="1044" spans="1:4" x14ac:dyDescent="0.2">
      <c r="A1044" t="s">
        <v>116</v>
      </c>
      <c r="B1044" t="s">
        <v>18</v>
      </c>
      <c r="C1044">
        <v>1</v>
      </c>
      <c r="D1044" t="s">
        <v>309</v>
      </c>
    </row>
    <row r="1045" spans="1:4" x14ac:dyDescent="0.2">
      <c r="A1045" t="s">
        <v>116</v>
      </c>
      <c r="B1045" t="s">
        <v>94</v>
      </c>
      <c r="C1045">
        <v>1</v>
      </c>
      <c r="D1045" t="s">
        <v>308</v>
      </c>
    </row>
    <row r="1046" spans="1:4" x14ac:dyDescent="0.2">
      <c r="A1046" t="s">
        <v>63</v>
      </c>
      <c r="B1046" t="s">
        <v>42</v>
      </c>
      <c r="C1046">
        <v>1</v>
      </c>
      <c r="D1046" t="s">
        <v>307</v>
      </c>
    </row>
    <row r="1047" spans="1:4" x14ac:dyDescent="0.2">
      <c r="A1047" t="s">
        <v>63</v>
      </c>
      <c r="B1047" t="s">
        <v>64</v>
      </c>
      <c r="C1047">
        <v>1</v>
      </c>
      <c r="D1047" t="s">
        <v>307</v>
      </c>
    </row>
    <row r="1048" spans="1:4" x14ac:dyDescent="0.2">
      <c r="A1048" t="s">
        <v>63</v>
      </c>
      <c r="B1048" t="s">
        <v>41</v>
      </c>
      <c r="C1048">
        <v>1</v>
      </c>
      <c r="D1048" t="s">
        <v>307</v>
      </c>
    </row>
    <row r="1049" spans="1:4" x14ac:dyDescent="0.2">
      <c r="A1049" t="s">
        <v>63</v>
      </c>
      <c r="B1049" t="s">
        <v>79</v>
      </c>
      <c r="C1049">
        <v>1</v>
      </c>
      <c r="D1049" t="s">
        <v>309</v>
      </c>
    </row>
    <row r="1050" spans="1:4" x14ac:dyDescent="0.2">
      <c r="A1050" t="s">
        <v>63</v>
      </c>
      <c r="B1050" t="s">
        <v>163</v>
      </c>
      <c r="C1050">
        <v>1</v>
      </c>
      <c r="D1050" t="s">
        <v>309</v>
      </c>
    </row>
    <row r="1051" spans="1:4" x14ac:dyDescent="0.2">
      <c r="A1051" t="s">
        <v>63</v>
      </c>
      <c r="B1051" t="s">
        <v>111</v>
      </c>
      <c r="C1051">
        <v>1</v>
      </c>
      <c r="D1051" t="s">
        <v>309</v>
      </c>
    </row>
    <row r="1052" spans="1:4" x14ac:dyDescent="0.2">
      <c r="A1052" t="s">
        <v>63</v>
      </c>
      <c r="B1052" t="s">
        <v>124</v>
      </c>
      <c r="C1052">
        <v>1</v>
      </c>
      <c r="D1052" t="s">
        <v>309</v>
      </c>
    </row>
    <row r="1053" spans="1:4" x14ac:dyDescent="0.2">
      <c r="A1053" t="s">
        <v>63</v>
      </c>
      <c r="B1053" t="s">
        <v>58</v>
      </c>
      <c r="C1053">
        <v>1</v>
      </c>
      <c r="D1053" t="s">
        <v>309</v>
      </c>
    </row>
    <row r="1054" spans="1:4" x14ac:dyDescent="0.2">
      <c r="A1054" t="s">
        <v>63</v>
      </c>
      <c r="B1054" t="s">
        <v>90</v>
      </c>
      <c r="C1054">
        <v>1</v>
      </c>
      <c r="D1054" t="s">
        <v>309</v>
      </c>
    </row>
    <row r="1055" spans="1:4" x14ac:dyDescent="0.2">
      <c r="A1055" t="s">
        <v>63</v>
      </c>
      <c r="B1055" t="s">
        <v>28</v>
      </c>
      <c r="C1055">
        <v>1</v>
      </c>
      <c r="D1055" t="s">
        <v>309</v>
      </c>
    </row>
    <row r="1056" spans="1:4" x14ac:dyDescent="0.2">
      <c r="A1056" t="s">
        <v>63</v>
      </c>
      <c r="B1056" t="s">
        <v>104</v>
      </c>
      <c r="C1056">
        <v>1</v>
      </c>
      <c r="D1056" t="s">
        <v>309</v>
      </c>
    </row>
    <row r="1057" spans="1:4" x14ac:dyDescent="0.2">
      <c r="A1057" t="s">
        <v>63</v>
      </c>
      <c r="B1057" t="s">
        <v>193</v>
      </c>
      <c r="C1057">
        <v>1</v>
      </c>
      <c r="D1057" t="s">
        <v>309</v>
      </c>
    </row>
    <row r="1058" spans="1:4" x14ac:dyDescent="0.2">
      <c r="A1058" t="s">
        <v>63</v>
      </c>
      <c r="B1058" t="s">
        <v>102</v>
      </c>
      <c r="C1058">
        <v>1</v>
      </c>
      <c r="D1058" t="s">
        <v>309</v>
      </c>
    </row>
    <row r="1059" spans="1:4" x14ac:dyDescent="0.2">
      <c r="A1059" t="s">
        <v>63</v>
      </c>
      <c r="B1059" t="s">
        <v>89</v>
      </c>
      <c r="C1059">
        <v>1</v>
      </c>
      <c r="D1059" t="s">
        <v>309</v>
      </c>
    </row>
    <row r="1060" spans="1:4" x14ac:dyDescent="0.2">
      <c r="A1060" t="s">
        <v>63</v>
      </c>
      <c r="B1060" t="s">
        <v>128</v>
      </c>
      <c r="C1060">
        <v>1</v>
      </c>
      <c r="D1060" t="s">
        <v>309</v>
      </c>
    </row>
    <row r="1061" spans="1:4" x14ac:dyDescent="0.2">
      <c r="A1061" t="s">
        <v>63</v>
      </c>
      <c r="B1061" t="s">
        <v>119</v>
      </c>
      <c r="C1061">
        <v>1</v>
      </c>
      <c r="D1061" t="s">
        <v>309</v>
      </c>
    </row>
    <row r="1062" spans="1:4" x14ac:dyDescent="0.2">
      <c r="A1062" t="s">
        <v>63</v>
      </c>
      <c r="B1062" t="s">
        <v>127</v>
      </c>
      <c r="C1062">
        <v>1</v>
      </c>
      <c r="D1062" t="s">
        <v>309</v>
      </c>
    </row>
    <row r="1063" spans="1:4" x14ac:dyDescent="0.2">
      <c r="A1063" t="s">
        <v>63</v>
      </c>
      <c r="B1063" t="s">
        <v>27</v>
      </c>
      <c r="C1063">
        <v>1</v>
      </c>
      <c r="D1063" t="s">
        <v>309</v>
      </c>
    </row>
    <row r="1064" spans="1:4" x14ac:dyDescent="0.2">
      <c r="A1064" t="s">
        <v>63</v>
      </c>
      <c r="B1064" t="s">
        <v>73</v>
      </c>
      <c r="C1064">
        <v>1</v>
      </c>
      <c r="D1064" t="s">
        <v>309</v>
      </c>
    </row>
    <row r="1065" spans="1:4" x14ac:dyDescent="0.2">
      <c r="A1065" t="s">
        <v>63</v>
      </c>
      <c r="B1065" t="s">
        <v>66</v>
      </c>
      <c r="C1065">
        <v>1</v>
      </c>
      <c r="D1065" t="s">
        <v>309</v>
      </c>
    </row>
    <row r="1066" spans="1:4" x14ac:dyDescent="0.2">
      <c r="A1066" t="s">
        <v>63</v>
      </c>
      <c r="B1066" t="s">
        <v>75</v>
      </c>
      <c r="C1066">
        <v>1</v>
      </c>
      <c r="D1066" t="s">
        <v>309</v>
      </c>
    </row>
    <row r="1067" spans="1:4" x14ac:dyDescent="0.2">
      <c r="A1067" t="s">
        <v>63</v>
      </c>
      <c r="B1067" t="s">
        <v>94</v>
      </c>
      <c r="C1067">
        <v>1</v>
      </c>
      <c r="D1067" t="s">
        <v>309</v>
      </c>
    </row>
    <row r="1068" spans="1:4" x14ac:dyDescent="0.2">
      <c r="A1068" t="s">
        <v>63</v>
      </c>
      <c r="B1068" t="s">
        <v>34</v>
      </c>
      <c r="C1068">
        <v>1</v>
      </c>
      <c r="D1068" t="s">
        <v>309</v>
      </c>
    </row>
    <row r="1069" spans="1:4" x14ac:dyDescent="0.2">
      <c r="A1069" t="s">
        <v>63</v>
      </c>
      <c r="B1069" t="s">
        <v>177</v>
      </c>
      <c r="C1069">
        <v>1</v>
      </c>
      <c r="D1069" t="s">
        <v>309</v>
      </c>
    </row>
    <row r="1070" spans="1:4" x14ac:dyDescent="0.2">
      <c r="A1070" t="s">
        <v>110</v>
      </c>
      <c r="B1070" t="s">
        <v>68</v>
      </c>
      <c r="C1070">
        <v>1</v>
      </c>
      <c r="D1070" t="s">
        <v>308</v>
      </c>
    </row>
    <row r="1071" spans="1:4" x14ac:dyDescent="0.2">
      <c r="A1071" t="s">
        <v>110</v>
      </c>
      <c r="B1071" t="s">
        <v>17</v>
      </c>
      <c r="C1071">
        <v>1</v>
      </c>
      <c r="D1071" t="s">
        <v>308</v>
      </c>
    </row>
    <row r="1072" spans="1:4" x14ac:dyDescent="0.2">
      <c r="A1072" t="s">
        <v>35</v>
      </c>
      <c r="B1072" t="s">
        <v>187</v>
      </c>
      <c r="C1072">
        <v>1</v>
      </c>
      <c r="D1072" t="s">
        <v>308</v>
      </c>
    </row>
    <row r="1073" spans="1:4" x14ac:dyDescent="0.2">
      <c r="A1073" t="s">
        <v>35</v>
      </c>
      <c r="B1073" t="s">
        <v>41</v>
      </c>
      <c r="C1073">
        <v>1</v>
      </c>
      <c r="D1073" t="s">
        <v>307</v>
      </c>
    </row>
    <row r="1074" spans="1:4" x14ac:dyDescent="0.2">
      <c r="A1074" t="s">
        <v>35</v>
      </c>
      <c r="B1074" t="s">
        <v>119</v>
      </c>
      <c r="C1074">
        <v>1</v>
      </c>
      <c r="D1074" t="s">
        <v>308</v>
      </c>
    </row>
    <row r="1075" spans="1:4" x14ac:dyDescent="0.2">
      <c r="A1075" t="s">
        <v>35</v>
      </c>
      <c r="B1075" t="s">
        <v>68</v>
      </c>
      <c r="C1075">
        <v>1</v>
      </c>
      <c r="D1075" t="s">
        <v>308</v>
      </c>
    </row>
    <row r="1076" spans="1:4" x14ac:dyDescent="0.2">
      <c r="A1076" t="s">
        <v>35</v>
      </c>
      <c r="B1076" t="s">
        <v>66</v>
      </c>
      <c r="C1076">
        <v>1</v>
      </c>
      <c r="D1076" t="s">
        <v>308</v>
      </c>
    </row>
    <row r="1077" spans="1:4" x14ac:dyDescent="0.2">
      <c r="A1077" t="s">
        <v>35</v>
      </c>
      <c r="B1077" t="s">
        <v>75</v>
      </c>
      <c r="C1077">
        <v>1</v>
      </c>
      <c r="D1077" t="s">
        <v>308</v>
      </c>
    </row>
    <row r="1078" spans="1:4" x14ac:dyDescent="0.2">
      <c r="A1078" t="s">
        <v>35</v>
      </c>
      <c r="B1078" t="s">
        <v>53</v>
      </c>
      <c r="C1078">
        <v>1</v>
      </c>
      <c r="D1078" t="s">
        <v>308</v>
      </c>
    </row>
    <row r="1079" spans="1:4" x14ac:dyDescent="0.2">
      <c r="A1079" t="s">
        <v>35</v>
      </c>
      <c r="B1079" t="s">
        <v>189</v>
      </c>
      <c r="C1079">
        <v>1</v>
      </c>
      <c r="D1079" t="s">
        <v>308</v>
      </c>
    </row>
    <row r="1080" spans="1:4" x14ac:dyDescent="0.2">
      <c r="A1080" t="s">
        <v>35</v>
      </c>
      <c r="B1080" t="s">
        <v>17</v>
      </c>
      <c r="C1080">
        <v>1</v>
      </c>
      <c r="D1080" t="s">
        <v>308</v>
      </c>
    </row>
    <row r="1081" spans="1:4" x14ac:dyDescent="0.2">
      <c r="A1081" t="s">
        <v>55</v>
      </c>
      <c r="B1081" t="s">
        <v>126</v>
      </c>
      <c r="C1081">
        <v>1</v>
      </c>
      <c r="D1081" t="s">
        <v>309</v>
      </c>
    </row>
    <row r="1082" spans="1:4" x14ac:dyDescent="0.2">
      <c r="A1082" t="s">
        <v>55</v>
      </c>
      <c r="B1082" t="s">
        <v>187</v>
      </c>
      <c r="C1082">
        <v>1</v>
      </c>
      <c r="D1082" t="s">
        <v>308</v>
      </c>
    </row>
    <row r="1083" spans="1:4" x14ac:dyDescent="0.2">
      <c r="A1083" t="s">
        <v>55</v>
      </c>
      <c r="B1083" t="s">
        <v>93</v>
      </c>
      <c r="C1083">
        <v>1</v>
      </c>
      <c r="D1083" t="s">
        <v>309</v>
      </c>
    </row>
    <row r="1084" spans="1:4" x14ac:dyDescent="0.2">
      <c r="A1084" t="s">
        <v>55</v>
      </c>
      <c r="B1084" t="s">
        <v>111</v>
      </c>
      <c r="C1084">
        <v>1</v>
      </c>
      <c r="D1084" t="s">
        <v>309</v>
      </c>
    </row>
    <row r="1085" spans="1:4" x14ac:dyDescent="0.2">
      <c r="A1085" t="s">
        <v>55</v>
      </c>
      <c r="B1085" t="s">
        <v>90</v>
      </c>
      <c r="C1085">
        <v>1</v>
      </c>
      <c r="D1085" t="s">
        <v>309</v>
      </c>
    </row>
    <row r="1086" spans="1:4" x14ac:dyDescent="0.2">
      <c r="A1086" t="s">
        <v>55</v>
      </c>
      <c r="B1086" t="s">
        <v>108</v>
      </c>
      <c r="C1086">
        <v>1</v>
      </c>
      <c r="D1086" t="s">
        <v>308</v>
      </c>
    </row>
    <row r="1087" spans="1:4" x14ac:dyDescent="0.2">
      <c r="A1087" t="s">
        <v>55</v>
      </c>
      <c r="B1087" t="s">
        <v>128</v>
      </c>
      <c r="C1087">
        <v>1</v>
      </c>
      <c r="D1087" t="s">
        <v>309</v>
      </c>
    </row>
    <row r="1088" spans="1:4" x14ac:dyDescent="0.2">
      <c r="A1088" t="s">
        <v>55</v>
      </c>
      <c r="B1088" t="s">
        <v>57</v>
      </c>
      <c r="C1088">
        <v>1</v>
      </c>
      <c r="D1088" t="s">
        <v>307</v>
      </c>
    </row>
    <row r="1089" spans="1:4" x14ac:dyDescent="0.2">
      <c r="A1089" t="s">
        <v>55</v>
      </c>
      <c r="B1089" t="s">
        <v>212</v>
      </c>
      <c r="C1089">
        <v>1</v>
      </c>
      <c r="D1089" t="s">
        <v>307</v>
      </c>
    </row>
    <row r="1090" spans="1:4" x14ac:dyDescent="0.2">
      <c r="A1090" t="s">
        <v>55</v>
      </c>
      <c r="B1090" t="s">
        <v>32</v>
      </c>
      <c r="C1090">
        <v>1</v>
      </c>
      <c r="D1090" t="s">
        <v>308</v>
      </c>
    </row>
    <row r="1091" spans="1:4" x14ac:dyDescent="0.2">
      <c r="A1091" t="s">
        <v>55</v>
      </c>
      <c r="B1091" t="s">
        <v>68</v>
      </c>
      <c r="C1091">
        <v>1</v>
      </c>
      <c r="D1091" t="s">
        <v>308</v>
      </c>
    </row>
    <row r="1092" spans="1:4" x14ac:dyDescent="0.2">
      <c r="A1092" t="s">
        <v>55</v>
      </c>
      <c r="B1092" t="s">
        <v>18</v>
      </c>
      <c r="C1092">
        <v>1</v>
      </c>
      <c r="D1092" t="s">
        <v>309</v>
      </c>
    </row>
    <row r="1093" spans="1:4" x14ac:dyDescent="0.2">
      <c r="A1093" t="s">
        <v>55</v>
      </c>
      <c r="B1093" t="s">
        <v>116</v>
      </c>
      <c r="C1093">
        <v>1</v>
      </c>
      <c r="D1093" t="s">
        <v>309</v>
      </c>
    </row>
    <row r="1094" spans="1:4" x14ac:dyDescent="0.2">
      <c r="A1094" t="s">
        <v>55</v>
      </c>
      <c r="B1094" t="s">
        <v>55</v>
      </c>
      <c r="C1094">
        <v>1</v>
      </c>
      <c r="D1094" t="s">
        <v>307</v>
      </c>
    </row>
    <row r="1095" spans="1:4" x14ac:dyDescent="0.2">
      <c r="A1095" t="s">
        <v>55</v>
      </c>
      <c r="B1095" t="s">
        <v>53</v>
      </c>
      <c r="C1095">
        <v>1</v>
      </c>
      <c r="D1095" t="s">
        <v>308</v>
      </c>
    </row>
    <row r="1096" spans="1:4" x14ac:dyDescent="0.2">
      <c r="A1096" t="s">
        <v>55</v>
      </c>
      <c r="B1096" t="s">
        <v>186</v>
      </c>
      <c r="C1096">
        <v>1</v>
      </c>
      <c r="D1096" t="s">
        <v>308</v>
      </c>
    </row>
    <row r="1097" spans="1:4" x14ac:dyDescent="0.2">
      <c r="A1097" t="s">
        <v>55</v>
      </c>
      <c r="B1097" t="s">
        <v>48</v>
      </c>
      <c r="C1097">
        <v>1</v>
      </c>
      <c r="D1097" t="s">
        <v>308</v>
      </c>
    </row>
    <row r="1098" spans="1:4" x14ac:dyDescent="0.2">
      <c r="A1098" t="s">
        <v>55</v>
      </c>
      <c r="B1098" t="s">
        <v>175</v>
      </c>
      <c r="C1098">
        <v>1</v>
      </c>
      <c r="D1098" t="s">
        <v>308</v>
      </c>
    </row>
    <row r="1099" spans="1:4" x14ac:dyDescent="0.2">
      <c r="A1099" t="s">
        <v>53</v>
      </c>
      <c r="B1099" t="s">
        <v>42</v>
      </c>
      <c r="C1099">
        <v>1</v>
      </c>
      <c r="D1099" t="s">
        <v>307</v>
      </c>
    </row>
    <row r="1100" spans="1:4" x14ac:dyDescent="0.2">
      <c r="A1100" t="s">
        <v>53</v>
      </c>
      <c r="B1100" t="s">
        <v>108</v>
      </c>
      <c r="C1100">
        <v>1</v>
      </c>
      <c r="D1100" t="s">
        <v>308</v>
      </c>
    </row>
    <row r="1101" spans="1:4" x14ac:dyDescent="0.2">
      <c r="A1101" t="s">
        <v>53</v>
      </c>
      <c r="B1101" t="s">
        <v>107</v>
      </c>
      <c r="C1101">
        <v>1</v>
      </c>
      <c r="D1101" t="s">
        <v>308</v>
      </c>
    </row>
    <row r="1102" spans="1:4" x14ac:dyDescent="0.2">
      <c r="A1102" t="s">
        <v>53</v>
      </c>
      <c r="B1102" t="s">
        <v>119</v>
      </c>
      <c r="C1102">
        <v>1</v>
      </c>
      <c r="D1102" t="s">
        <v>308</v>
      </c>
    </row>
    <row r="1103" spans="1:4" x14ac:dyDescent="0.2">
      <c r="A1103" t="s">
        <v>53</v>
      </c>
      <c r="B1103" t="s">
        <v>118</v>
      </c>
      <c r="C1103">
        <v>1</v>
      </c>
      <c r="D1103" t="s">
        <v>308</v>
      </c>
    </row>
    <row r="1104" spans="1:4" x14ac:dyDescent="0.2">
      <c r="A1104" t="s">
        <v>53</v>
      </c>
      <c r="B1104" t="s">
        <v>54</v>
      </c>
      <c r="C1104">
        <v>1</v>
      </c>
      <c r="D1104" t="s">
        <v>307</v>
      </c>
    </row>
    <row r="1105" spans="1:4" x14ac:dyDescent="0.2">
      <c r="A1105" t="s">
        <v>53</v>
      </c>
      <c r="B1105" t="s">
        <v>127</v>
      </c>
      <c r="C1105">
        <v>1</v>
      </c>
      <c r="D1105" t="s">
        <v>308</v>
      </c>
    </row>
    <row r="1106" spans="1:4" x14ac:dyDescent="0.2">
      <c r="A1106" t="s">
        <v>53</v>
      </c>
      <c r="B1106" t="s">
        <v>32</v>
      </c>
      <c r="C1106">
        <v>1</v>
      </c>
      <c r="D1106" t="s">
        <v>308</v>
      </c>
    </row>
    <row r="1107" spans="1:4" x14ac:dyDescent="0.2">
      <c r="A1107" t="s">
        <v>53</v>
      </c>
      <c r="B1107" t="s">
        <v>73</v>
      </c>
      <c r="C1107">
        <v>1</v>
      </c>
      <c r="D1107" t="s">
        <v>308</v>
      </c>
    </row>
    <row r="1108" spans="1:4" x14ac:dyDescent="0.2">
      <c r="A1108" t="s">
        <v>53</v>
      </c>
      <c r="B1108" t="s">
        <v>52</v>
      </c>
      <c r="C1108">
        <v>1</v>
      </c>
      <c r="D1108" t="s">
        <v>307</v>
      </c>
    </row>
    <row r="1109" spans="1:4" x14ac:dyDescent="0.2">
      <c r="A1109" t="s">
        <v>53</v>
      </c>
      <c r="B1109" t="s">
        <v>68</v>
      </c>
      <c r="C1109">
        <v>1</v>
      </c>
      <c r="D1109" t="s">
        <v>308</v>
      </c>
    </row>
    <row r="1110" spans="1:4" x14ac:dyDescent="0.2">
      <c r="A1110" t="s">
        <v>53</v>
      </c>
      <c r="B1110" t="s">
        <v>75</v>
      </c>
      <c r="C1110">
        <v>1</v>
      </c>
      <c r="D1110" t="s">
        <v>308</v>
      </c>
    </row>
    <row r="1111" spans="1:4" x14ac:dyDescent="0.2">
      <c r="A1111" t="s">
        <v>53</v>
      </c>
      <c r="B1111" t="s">
        <v>65</v>
      </c>
      <c r="C1111">
        <v>1</v>
      </c>
      <c r="D1111" t="s">
        <v>308</v>
      </c>
    </row>
    <row r="1112" spans="1:4" x14ac:dyDescent="0.2">
      <c r="A1112" t="s">
        <v>53</v>
      </c>
      <c r="B1112" t="s">
        <v>110</v>
      </c>
      <c r="C1112">
        <v>1</v>
      </c>
      <c r="D1112" t="s">
        <v>308</v>
      </c>
    </row>
    <row r="1113" spans="1:4" x14ac:dyDescent="0.2">
      <c r="A1113" t="s">
        <v>53</v>
      </c>
      <c r="B1113" t="s">
        <v>53</v>
      </c>
      <c r="C1113">
        <v>1</v>
      </c>
      <c r="D1113" t="s">
        <v>307</v>
      </c>
    </row>
    <row r="1114" spans="1:4" x14ac:dyDescent="0.2">
      <c r="A1114" t="s">
        <v>53</v>
      </c>
      <c r="B1114" t="s">
        <v>44</v>
      </c>
      <c r="C1114">
        <v>1</v>
      </c>
      <c r="D1114" t="s">
        <v>307</v>
      </c>
    </row>
    <row r="1115" spans="1:4" x14ac:dyDescent="0.2">
      <c r="A1115" t="s">
        <v>53</v>
      </c>
      <c r="B1115" t="s">
        <v>189</v>
      </c>
      <c r="C1115">
        <v>1</v>
      </c>
      <c r="D1115" t="s">
        <v>308</v>
      </c>
    </row>
    <row r="1116" spans="1:4" x14ac:dyDescent="0.2">
      <c r="A1116" t="s">
        <v>53</v>
      </c>
      <c r="B1116" t="s">
        <v>17</v>
      </c>
      <c r="C1116">
        <v>1</v>
      </c>
      <c r="D1116" t="s">
        <v>308</v>
      </c>
    </row>
    <row r="1117" spans="1:4" x14ac:dyDescent="0.2">
      <c r="A1117" t="s">
        <v>69</v>
      </c>
      <c r="B1117" t="s">
        <v>69</v>
      </c>
      <c r="C1117">
        <v>1</v>
      </c>
      <c r="D1117" t="s">
        <v>307</v>
      </c>
    </row>
    <row r="1118" spans="1:4" x14ac:dyDescent="0.2">
      <c r="A1118" t="s">
        <v>186</v>
      </c>
      <c r="B1118" t="s">
        <v>119</v>
      </c>
      <c r="C1118">
        <v>1</v>
      </c>
      <c r="D1118" t="s">
        <v>308</v>
      </c>
    </row>
    <row r="1119" spans="1:4" x14ac:dyDescent="0.2">
      <c r="A1119" t="s">
        <v>186</v>
      </c>
      <c r="B1119" t="s">
        <v>118</v>
      </c>
      <c r="C1119">
        <v>1</v>
      </c>
      <c r="D1119" t="s">
        <v>308</v>
      </c>
    </row>
    <row r="1120" spans="1:4" x14ac:dyDescent="0.2">
      <c r="A1120" t="s">
        <v>186</v>
      </c>
      <c r="B1120" t="s">
        <v>127</v>
      </c>
      <c r="C1120">
        <v>1</v>
      </c>
      <c r="D1120" t="s">
        <v>308</v>
      </c>
    </row>
    <row r="1121" spans="1:4" x14ac:dyDescent="0.2">
      <c r="A1121" t="s">
        <v>186</v>
      </c>
      <c r="B1121" t="s">
        <v>98</v>
      </c>
      <c r="C1121">
        <v>1</v>
      </c>
      <c r="D1121" t="s">
        <v>307</v>
      </c>
    </row>
    <row r="1122" spans="1:4" x14ac:dyDescent="0.2">
      <c r="A1122" t="s">
        <v>186</v>
      </c>
      <c r="B1122" t="s">
        <v>52</v>
      </c>
      <c r="C1122">
        <v>1</v>
      </c>
      <c r="D1122" t="s">
        <v>307</v>
      </c>
    </row>
    <row r="1123" spans="1:4" x14ac:dyDescent="0.2">
      <c r="A1123" t="s">
        <v>186</v>
      </c>
      <c r="B1123" t="s">
        <v>50</v>
      </c>
      <c r="C1123">
        <v>1</v>
      </c>
      <c r="D1123" t="s">
        <v>307</v>
      </c>
    </row>
    <row r="1124" spans="1:4" x14ac:dyDescent="0.2">
      <c r="A1124" t="s">
        <v>186</v>
      </c>
      <c r="B1124" t="s">
        <v>65</v>
      </c>
      <c r="C1124">
        <v>1</v>
      </c>
      <c r="D1124" t="s">
        <v>308</v>
      </c>
    </row>
    <row r="1125" spans="1:4" x14ac:dyDescent="0.2">
      <c r="A1125" t="s">
        <v>186</v>
      </c>
      <c r="B1125" t="s">
        <v>116</v>
      </c>
      <c r="C1125">
        <v>1</v>
      </c>
      <c r="D1125" t="s">
        <v>308</v>
      </c>
    </row>
    <row r="1126" spans="1:4" x14ac:dyDescent="0.2">
      <c r="A1126" t="s">
        <v>186</v>
      </c>
      <c r="B1126" t="s">
        <v>175</v>
      </c>
      <c r="C1126">
        <v>1</v>
      </c>
      <c r="D1126" t="s">
        <v>308</v>
      </c>
    </row>
    <row r="1127" spans="1:4" x14ac:dyDescent="0.2">
      <c r="A1127" t="s">
        <v>311</v>
      </c>
      <c r="B1127" t="s">
        <v>107</v>
      </c>
      <c r="C1127">
        <v>1</v>
      </c>
      <c r="D1127" t="s">
        <v>307</v>
      </c>
    </row>
    <row r="1128" spans="1:4" x14ac:dyDescent="0.2">
      <c r="A1128" t="s">
        <v>122</v>
      </c>
      <c r="B1128" t="s">
        <v>61</v>
      </c>
      <c r="C1128">
        <v>1</v>
      </c>
      <c r="D1128" t="s">
        <v>307</v>
      </c>
    </row>
    <row r="1129" spans="1:4" x14ac:dyDescent="0.2">
      <c r="A1129" t="s">
        <v>122</v>
      </c>
      <c r="B1129" t="s">
        <v>122</v>
      </c>
      <c r="C1129">
        <v>1</v>
      </c>
      <c r="D1129" t="s">
        <v>307</v>
      </c>
    </row>
    <row r="1130" spans="1:4" x14ac:dyDescent="0.2">
      <c r="A1130" t="s">
        <v>48</v>
      </c>
      <c r="B1130" t="s">
        <v>42</v>
      </c>
      <c r="C1130">
        <v>1</v>
      </c>
      <c r="D1130" t="s">
        <v>307</v>
      </c>
    </row>
    <row r="1131" spans="1:4" x14ac:dyDescent="0.2">
      <c r="A1131" t="s">
        <v>48</v>
      </c>
      <c r="B1131" t="s">
        <v>110</v>
      </c>
      <c r="C1131">
        <v>1</v>
      </c>
      <c r="D1131" t="s">
        <v>308</v>
      </c>
    </row>
    <row r="1132" spans="1:4" x14ac:dyDescent="0.2">
      <c r="A1132" t="s">
        <v>48</v>
      </c>
      <c r="B1132" t="s">
        <v>35</v>
      </c>
      <c r="C1132">
        <v>1</v>
      </c>
      <c r="D1132" t="s">
        <v>308</v>
      </c>
    </row>
    <row r="1133" spans="1:4" x14ac:dyDescent="0.2">
      <c r="A1133" t="s">
        <v>189</v>
      </c>
      <c r="B1133" t="s">
        <v>81</v>
      </c>
      <c r="C1133">
        <v>1</v>
      </c>
      <c r="D1133" t="s">
        <v>307</v>
      </c>
    </row>
    <row r="1134" spans="1:4" x14ac:dyDescent="0.2">
      <c r="A1134" t="s">
        <v>189</v>
      </c>
      <c r="B1134" t="s">
        <v>42</v>
      </c>
      <c r="C1134">
        <v>1</v>
      </c>
      <c r="D1134" t="s">
        <v>307</v>
      </c>
    </row>
    <row r="1135" spans="1:4" x14ac:dyDescent="0.2">
      <c r="A1135" t="s">
        <v>189</v>
      </c>
      <c r="B1135" t="s">
        <v>47</v>
      </c>
      <c r="C1135">
        <v>1</v>
      </c>
      <c r="D1135" t="s">
        <v>307</v>
      </c>
    </row>
    <row r="1136" spans="1:4" x14ac:dyDescent="0.2">
      <c r="A1136" t="s">
        <v>189</v>
      </c>
      <c r="B1136" t="s">
        <v>64</v>
      </c>
      <c r="C1136">
        <v>1</v>
      </c>
      <c r="D1136" t="s">
        <v>307</v>
      </c>
    </row>
    <row r="1137" spans="1:4" x14ac:dyDescent="0.2">
      <c r="A1137" t="s">
        <v>189</v>
      </c>
      <c r="B1137" t="s">
        <v>30</v>
      </c>
      <c r="C1137">
        <v>1</v>
      </c>
      <c r="D1137" t="s">
        <v>307</v>
      </c>
    </row>
    <row r="1138" spans="1:4" x14ac:dyDescent="0.2">
      <c r="A1138" t="s">
        <v>189</v>
      </c>
      <c r="B1138" t="s">
        <v>41</v>
      </c>
      <c r="C1138">
        <v>1</v>
      </c>
      <c r="D1138" t="s">
        <v>307</v>
      </c>
    </row>
    <row r="1139" spans="1:4" x14ac:dyDescent="0.2">
      <c r="A1139" t="s">
        <v>189</v>
      </c>
      <c r="B1139" t="s">
        <v>83</v>
      </c>
      <c r="C1139">
        <v>1</v>
      </c>
      <c r="D1139" t="s">
        <v>307</v>
      </c>
    </row>
    <row r="1140" spans="1:4" x14ac:dyDescent="0.2">
      <c r="A1140" t="s">
        <v>189</v>
      </c>
      <c r="B1140" t="s">
        <v>119</v>
      </c>
      <c r="C1140">
        <v>1</v>
      </c>
      <c r="D1140" t="s">
        <v>308</v>
      </c>
    </row>
    <row r="1141" spans="1:4" x14ac:dyDescent="0.2">
      <c r="A1141" t="s">
        <v>189</v>
      </c>
      <c r="B1141" t="s">
        <v>212</v>
      </c>
      <c r="C1141">
        <v>1</v>
      </c>
      <c r="D1141" t="s">
        <v>307</v>
      </c>
    </row>
    <row r="1142" spans="1:4" x14ac:dyDescent="0.2">
      <c r="A1142" t="s">
        <v>189</v>
      </c>
      <c r="B1142" t="s">
        <v>32</v>
      </c>
      <c r="C1142">
        <v>1</v>
      </c>
      <c r="D1142" t="s">
        <v>307</v>
      </c>
    </row>
    <row r="1143" spans="1:4" x14ac:dyDescent="0.2">
      <c r="A1143" t="s">
        <v>189</v>
      </c>
      <c r="B1143" t="s">
        <v>45</v>
      </c>
      <c r="C1143">
        <v>1</v>
      </c>
      <c r="D1143" t="s">
        <v>307</v>
      </c>
    </row>
    <row r="1144" spans="1:4" x14ac:dyDescent="0.2">
      <c r="A1144" t="s">
        <v>189</v>
      </c>
      <c r="B1144" t="s">
        <v>68</v>
      </c>
      <c r="C1144">
        <v>1</v>
      </c>
      <c r="D1144" t="s">
        <v>308</v>
      </c>
    </row>
    <row r="1145" spans="1:4" x14ac:dyDescent="0.2">
      <c r="A1145" t="s">
        <v>189</v>
      </c>
      <c r="B1145" t="s">
        <v>75</v>
      </c>
      <c r="C1145">
        <v>1</v>
      </c>
      <c r="D1145" t="s">
        <v>308</v>
      </c>
    </row>
    <row r="1146" spans="1:4" x14ac:dyDescent="0.2">
      <c r="A1146" t="s">
        <v>189</v>
      </c>
      <c r="B1146" t="s">
        <v>117</v>
      </c>
      <c r="C1146">
        <v>1</v>
      </c>
      <c r="D1146" t="s">
        <v>307</v>
      </c>
    </row>
    <row r="1147" spans="1:4" x14ac:dyDescent="0.2">
      <c r="A1147" t="s">
        <v>189</v>
      </c>
      <c r="B1147" t="s">
        <v>110</v>
      </c>
      <c r="C1147">
        <v>1</v>
      </c>
      <c r="D1147" t="s">
        <v>308</v>
      </c>
    </row>
    <row r="1148" spans="1:4" x14ac:dyDescent="0.2">
      <c r="A1148" t="s">
        <v>189</v>
      </c>
      <c r="B1148" t="s">
        <v>69</v>
      </c>
      <c r="C1148">
        <v>1</v>
      </c>
      <c r="D1148" t="s">
        <v>307</v>
      </c>
    </row>
    <row r="1149" spans="1:4" x14ac:dyDescent="0.2">
      <c r="A1149" t="s">
        <v>189</v>
      </c>
      <c r="B1149" t="s">
        <v>186</v>
      </c>
      <c r="C1149">
        <v>1</v>
      </c>
      <c r="D1149" t="s">
        <v>308</v>
      </c>
    </row>
    <row r="1150" spans="1:4" x14ac:dyDescent="0.2">
      <c r="A1150" t="s">
        <v>189</v>
      </c>
      <c r="B1150" t="s">
        <v>44</v>
      </c>
      <c r="C1150">
        <v>1</v>
      </c>
      <c r="D1150" t="s">
        <v>307</v>
      </c>
    </row>
    <row r="1151" spans="1:4" x14ac:dyDescent="0.2">
      <c r="A1151" t="s">
        <v>189</v>
      </c>
      <c r="B1151" t="s">
        <v>189</v>
      </c>
      <c r="C1151">
        <v>1</v>
      </c>
      <c r="D1151" t="s">
        <v>307</v>
      </c>
    </row>
    <row r="1152" spans="1:4" x14ac:dyDescent="0.2">
      <c r="A1152" t="s">
        <v>189</v>
      </c>
      <c r="B1152" t="s">
        <v>175</v>
      </c>
      <c r="C1152">
        <v>1</v>
      </c>
      <c r="D1152" t="s">
        <v>308</v>
      </c>
    </row>
    <row r="1153" spans="1:4" x14ac:dyDescent="0.2">
      <c r="A1153" t="s">
        <v>189</v>
      </c>
      <c r="B1153" t="s">
        <v>17</v>
      </c>
      <c r="C1153">
        <v>1</v>
      </c>
      <c r="D1153" t="s">
        <v>308</v>
      </c>
    </row>
    <row r="1154" spans="1:4" x14ac:dyDescent="0.2">
      <c r="A1154" t="s">
        <v>34</v>
      </c>
      <c r="B1154" t="s">
        <v>126</v>
      </c>
      <c r="C1154">
        <v>1</v>
      </c>
      <c r="D1154" t="s">
        <v>309</v>
      </c>
    </row>
    <row r="1155" spans="1:4" x14ac:dyDescent="0.2">
      <c r="A1155" t="s">
        <v>34</v>
      </c>
      <c r="B1155" t="s">
        <v>38</v>
      </c>
      <c r="C1155">
        <v>1</v>
      </c>
      <c r="D1155" t="s">
        <v>307</v>
      </c>
    </row>
    <row r="1156" spans="1:4" x14ac:dyDescent="0.2">
      <c r="A1156" t="s">
        <v>34</v>
      </c>
      <c r="B1156" t="s">
        <v>30</v>
      </c>
      <c r="C1156">
        <v>1</v>
      </c>
      <c r="D1156" t="s">
        <v>307</v>
      </c>
    </row>
    <row r="1157" spans="1:4" x14ac:dyDescent="0.2">
      <c r="A1157" t="s">
        <v>34</v>
      </c>
      <c r="B1157" t="s">
        <v>36</v>
      </c>
      <c r="C1157">
        <v>1</v>
      </c>
      <c r="D1157" t="s">
        <v>307</v>
      </c>
    </row>
    <row r="1158" spans="1:4" x14ac:dyDescent="0.2">
      <c r="A1158" t="s">
        <v>34</v>
      </c>
      <c r="B1158" t="s">
        <v>93</v>
      </c>
      <c r="C1158">
        <v>1</v>
      </c>
      <c r="D1158" t="s">
        <v>309</v>
      </c>
    </row>
    <row r="1159" spans="1:4" x14ac:dyDescent="0.2">
      <c r="A1159" t="s">
        <v>34</v>
      </c>
      <c r="B1159" t="s">
        <v>111</v>
      </c>
      <c r="C1159">
        <v>1</v>
      </c>
      <c r="D1159" t="s">
        <v>309</v>
      </c>
    </row>
    <row r="1160" spans="1:4" x14ac:dyDescent="0.2">
      <c r="A1160" t="s">
        <v>34</v>
      </c>
      <c r="B1160" t="s">
        <v>90</v>
      </c>
      <c r="C1160">
        <v>1</v>
      </c>
      <c r="D1160" t="s">
        <v>309</v>
      </c>
    </row>
    <row r="1161" spans="1:4" x14ac:dyDescent="0.2">
      <c r="A1161" t="s">
        <v>34</v>
      </c>
      <c r="B1161" t="s">
        <v>28</v>
      </c>
      <c r="C1161">
        <v>1</v>
      </c>
      <c r="D1161" t="s">
        <v>309</v>
      </c>
    </row>
    <row r="1162" spans="1:4" x14ac:dyDescent="0.2">
      <c r="A1162" t="s">
        <v>34</v>
      </c>
      <c r="B1162" t="s">
        <v>89</v>
      </c>
      <c r="C1162">
        <v>1</v>
      </c>
      <c r="D1162" t="s">
        <v>309</v>
      </c>
    </row>
    <row r="1163" spans="1:4" x14ac:dyDescent="0.2">
      <c r="A1163" t="s">
        <v>34</v>
      </c>
      <c r="B1163" t="s">
        <v>128</v>
      </c>
      <c r="C1163">
        <v>1</v>
      </c>
      <c r="D1163" t="s">
        <v>309</v>
      </c>
    </row>
    <row r="1164" spans="1:4" x14ac:dyDescent="0.2">
      <c r="A1164" t="s">
        <v>34</v>
      </c>
      <c r="B1164" t="s">
        <v>62</v>
      </c>
      <c r="C1164">
        <v>1</v>
      </c>
      <c r="D1164" t="s">
        <v>308</v>
      </c>
    </row>
    <row r="1165" spans="1:4" x14ac:dyDescent="0.2">
      <c r="A1165" t="s">
        <v>34</v>
      </c>
      <c r="B1165" t="s">
        <v>119</v>
      </c>
      <c r="C1165">
        <v>1</v>
      </c>
      <c r="D1165" t="s">
        <v>309</v>
      </c>
    </row>
    <row r="1166" spans="1:4" x14ac:dyDescent="0.2">
      <c r="A1166" t="s">
        <v>34</v>
      </c>
      <c r="B1166" t="s">
        <v>18</v>
      </c>
      <c r="C1166">
        <v>1</v>
      </c>
      <c r="D1166" t="s">
        <v>309</v>
      </c>
    </row>
    <row r="1167" spans="1:4" x14ac:dyDescent="0.2">
      <c r="A1167" t="s">
        <v>34</v>
      </c>
      <c r="B1167" t="s">
        <v>35</v>
      </c>
      <c r="C1167">
        <v>1</v>
      </c>
      <c r="D1167" t="s">
        <v>307</v>
      </c>
    </row>
    <row r="1168" spans="1:4" x14ac:dyDescent="0.2">
      <c r="A1168" t="s">
        <v>34</v>
      </c>
      <c r="B1168" t="s">
        <v>55</v>
      </c>
      <c r="C1168">
        <v>1</v>
      </c>
      <c r="D1168" t="s">
        <v>309</v>
      </c>
    </row>
    <row r="1169" spans="1:4" x14ac:dyDescent="0.2">
      <c r="A1169" t="s">
        <v>34</v>
      </c>
      <c r="B1169" t="s">
        <v>34</v>
      </c>
      <c r="C1169">
        <v>1</v>
      </c>
      <c r="D1169" t="s">
        <v>307</v>
      </c>
    </row>
    <row r="1170" spans="1:4" x14ac:dyDescent="0.2">
      <c r="A1170" t="s">
        <v>34</v>
      </c>
      <c r="B1170" t="s">
        <v>175</v>
      </c>
      <c r="C1170">
        <v>1</v>
      </c>
      <c r="D1170" t="s">
        <v>308</v>
      </c>
    </row>
    <row r="1171" spans="1:4" x14ac:dyDescent="0.2">
      <c r="A1171" t="s">
        <v>34</v>
      </c>
      <c r="B1171" t="s">
        <v>17</v>
      </c>
      <c r="C1171">
        <v>1</v>
      </c>
      <c r="D1171" t="s">
        <v>308</v>
      </c>
    </row>
    <row r="1172" spans="1:4" x14ac:dyDescent="0.2">
      <c r="A1172" t="s">
        <v>177</v>
      </c>
      <c r="B1172" t="s">
        <v>126</v>
      </c>
      <c r="C1172">
        <v>1</v>
      </c>
      <c r="D1172" t="s">
        <v>309</v>
      </c>
    </row>
    <row r="1173" spans="1:4" x14ac:dyDescent="0.2">
      <c r="A1173" t="s">
        <v>177</v>
      </c>
      <c r="B1173" t="s">
        <v>96</v>
      </c>
      <c r="C1173">
        <v>1</v>
      </c>
      <c r="D1173" t="s">
        <v>308</v>
      </c>
    </row>
    <row r="1174" spans="1:4" x14ac:dyDescent="0.2">
      <c r="A1174" t="s">
        <v>177</v>
      </c>
      <c r="B1174" t="s">
        <v>187</v>
      </c>
      <c r="C1174">
        <v>1</v>
      </c>
      <c r="D1174" t="s">
        <v>308</v>
      </c>
    </row>
    <row r="1175" spans="1:4" x14ac:dyDescent="0.2">
      <c r="A1175" t="s">
        <v>177</v>
      </c>
      <c r="B1175" t="s">
        <v>111</v>
      </c>
      <c r="C1175">
        <v>1</v>
      </c>
      <c r="D1175" t="s">
        <v>309</v>
      </c>
    </row>
    <row r="1176" spans="1:4" x14ac:dyDescent="0.2">
      <c r="A1176" t="s">
        <v>177</v>
      </c>
      <c r="B1176" t="s">
        <v>28</v>
      </c>
      <c r="C1176">
        <v>1</v>
      </c>
      <c r="D1176" t="s">
        <v>309</v>
      </c>
    </row>
    <row r="1177" spans="1:4" x14ac:dyDescent="0.2">
      <c r="A1177" t="s">
        <v>177</v>
      </c>
      <c r="B1177" t="s">
        <v>106</v>
      </c>
      <c r="C1177">
        <v>1</v>
      </c>
      <c r="D1177" t="s">
        <v>308</v>
      </c>
    </row>
    <row r="1178" spans="1:4" x14ac:dyDescent="0.2">
      <c r="A1178" t="s">
        <v>177</v>
      </c>
      <c r="B1178" t="s">
        <v>89</v>
      </c>
      <c r="C1178">
        <v>1</v>
      </c>
      <c r="D1178" t="s">
        <v>309</v>
      </c>
    </row>
    <row r="1179" spans="1:4" x14ac:dyDescent="0.2">
      <c r="A1179" t="s">
        <v>177</v>
      </c>
      <c r="B1179" t="s">
        <v>128</v>
      </c>
      <c r="C1179">
        <v>1</v>
      </c>
      <c r="D1179" t="s">
        <v>309</v>
      </c>
    </row>
    <row r="1180" spans="1:4" x14ac:dyDescent="0.2">
      <c r="A1180" t="s">
        <v>177</v>
      </c>
      <c r="B1180" t="s">
        <v>62</v>
      </c>
      <c r="C1180">
        <v>1</v>
      </c>
      <c r="D1180" t="s">
        <v>308</v>
      </c>
    </row>
    <row r="1181" spans="1:4" x14ac:dyDescent="0.2">
      <c r="A1181" t="s">
        <v>177</v>
      </c>
      <c r="B1181" t="s">
        <v>119</v>
      </c>
      <c r="C1181">
        <v>1</v>
      </c>
      <c r="D1181" t="s">
        <v>309</v>
      </c>
    </row>
    <row r="1182" spans="1:4" x14ac:dyDescent="0.2">
      <c r="A1182" t="s">
        <v>177</v>
      </c>
      <c r="B1182" t="s">
        <v>33</v>
      </c>
      <c r="C1182">
        <v>1</v>
      </c>
      <c r="D1182" t="s">
        <v>307</v>
      </c>
    </row>
    <row r="1183" spans="1:4" x14ac:dyDescent="0.2">
      <c r="A1183" t="s">
        <v>177</v>
      </c>
      <c r="B1183" t="s">
        <v>32</v>
      </c>
      <c r="C1183">
        <v>1</v>
      </c>
      <c r="D1183" t="s">
        <v>307</v>
      </c>
    </row>
    <row r="1184" spans="1:4" x14ac:dyDescent="0.2">
      <c r="A1184" t="s">
        <v>177</v>
      </c>
      <c r="B1184" t="s">
        <v>66</v>
      </c>
      <c r="C1184">
        <v>1</v>
      </c>
      <c r="D1184" t="s">
        <v>309</v>
      </c>
    </row>
    <row r="1185" spans="1:4" x14ac:dyDescent="0.2">
      <c r="A1185" t="s">
        <v>177</v>
      </c>
      <c r="B1185" t="s">
        <v>75</v>
      </c>
      <c r="C1185">
        <v>1</v>
      </c>
      <c r="D1185" t="s">
        <v>309</v>
      </c>
    </row>
    <row r="1186" spans="1:4" x14ac:dyDescent="0.2">
      <c r="A1186" t="s">
        <v>177</v>
      </c>
      <c r="B1186" t="s">
        <v>18</v>
      </c>
      <c r="C1186">
        <v>1</v>
      </c>
      <c r="D1186" t="s">
        <v>309</v>
      </c>
    </row>
    <row r="1187" spans="1:4" x14ac:dyDescent="0.2">
      <c r="A1187" t="s">
        <v>177</v>
      </c>
      <c r="B1187" t="s">
        <v>116</v>
      </c>
      <c r="C1187">
        <v>1</v>
      </c>
      <c r="D1187" t="s">
        <v>309</v>
      </c>
    </row>
    <row r="1188" spans="1:4" x14ac:dyDescent="0.2">
      <c r="A1188" t="s">
        <v>177</v>
      </c>
      <c r="B1188" t="s">
        <v>55</v>
      </c>
      <c r="C1188">
        <v>1</v>
      </c>
      <c r="D1188" t="s">
        <v>309</v>
      </c>
    </row>
    <row r="1189" spans="1:4" x14ac:dyDescent="0.2">
      <c r="A1189" t="s">
        <v>17</v>
      </c>
      <c r="B1189" t="s">
        <v>30</v>
      </c>
      <c r="C1189">
        <v>1</v>
      </c>
      <c r="D1189" t="s">
        <v>307</v>
      </c>
    </row>
    <row r="1190" spans="1:4" x14ac:dyDescent="0.2">
      <c r="A1190" t="s">
        <v>17</v>
      </c>
      <c r="B1190" t="s">
        <v>61</v>
      </c>
      <c r="C1190">
        <v>1</v>
      </c>
      <c r="D1190" t="s">
        <v>307</v>
      </c>
    </row>
    <row r="1191" spans="1:4" x14ac:dyDescent="0.2">
      <c r="A1191" t="s">
        <v>17</v>
      </c>
      <c r="B1191" t="s">
        <v>111</v>
      </c>
      <c r="C1191">
        <v>1</v>
      </c>
      <c r="D1191" t="s">
        <v>309</v>
      </c>
    </row>
    <row r="1192" spans="1:4" x14ac:dyDescent="0.2">
      <c r="A1192" t="s">
        <v>17</v>
      </c>
      <c r="B1192" t="s">
        <v>85</v>
      </c>
      <c r="C1192">
        <v>1</v>
      </c>
      <c r="D1192" t="s">
        <v>307</v>
      </c>
    </row>
    <row r="1193" spans="1:4" x14ac:dyDescent="0.2">
      <c r="A1193" t="s">
        <v>17</v>
      </c>
      <c r="B1193" t="s">
        <v>89</v>
      </c>
      <c r="C1193">
        <v>1</v>
      </c>
      <c r="D1193" t="s">
        <v>309</v>
      </c>
    </row>
    <row r="1194" spans="1:4" x14ac:dyDescent="0.2">
      <c r="A1194" t="s">
        <v>17</v>
      </c>
      <c r="B1194" t="s">
        <v>128</v>
      </c>
      <c r="C1194">
        <v>1</v>
      </c>
      <c r="D1194" t="s">
        <v>309</v>
      </c>
    </row>
    <row r="1195" spans="1:4" x14ac:dyDescent="0.2">
      <c r="A1195" t="s">
        <v>17</v>
      </c>
      <c r="B1195" t="s">
        <v>87</v>
      </c>
      <c r="C1195">
        <v>1</v>
      </c>
      <c r="D1195" t="s">
        <v>309</v>
      </c>
    </row>
    <row r="1196" spans="1:4" x14ac:dyDescent="0.2">
      <c r="A1196" t="s">
        <v>17</v>
      </c>
      <c r="B1196" t="s">
        <v>62</v>
      </c>
      <c r="C1196">
        <v>1</v>
      </c>
      <c r="D1196" t="s">
        <v>308</v>
      </c>
    </row>
    <row r="1197" spans="1:4" x14ac:dyDescent="0.2">
      <c r="A1197" t="s">
        <v>17</v>
      </c>
      <c r="B1197" t="s">
        <v>25</v>
      </c>
      <c r="C1197">
        <v>1</v>
      </c>
      <c r="D1197" t="s">
        <v>307</v>
      </c>
    </row>
    <row r="1198" spans="1:4" x14ac:dyDescent="0.2">
      <c r="A1198" t="s">
        <v>17</v>
      </c>
      <c r="B1198" t="s">
        <v>68</v>
      </c>
      <c r="C1198">
        <v>1</v>
      </c>
      <c r="D1198" t="s">
        <v>308</v>
      </c>
    </row>
    <row r="1199" spans="1:4" x14ac:dyDescent="0.2">
      <c r="A1199" t="s">
        <v>17</v>
      </c>
      <c r="B1199" t="s">
        <v>69</v>
      </c>
      <c r="C1199">
        <v>1</v>
      </c>
      <c r="D1199" t="s">
        <v>307</v>
      </c>
    </row>
    <row r="1200" spans="1:4" x14ac:dyDescent="0.2">
      <c r="A1200" t="s">
        <v>17</v>
      </c>
      <c r="B1200" t="s">
        <v>186</v>
      </c>
      <c r="C1200">
        <v>1</v>
      </c>
      <c r="D1200" t="s">
        <v>307</v>
      </c>
    </row>
    <row r="1201" spans="1:4" x14ac:dyDescent="0.2">
      <c r="A1201" t="s">
        <v>17</v>
      </c>
      <c r="B1201" t="s">
        <v>17</v>
      </c>
      <c r="C1201">
        <v>1</v>
      </c>
      <c r="D1201" t="s">
        <v>307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All</vt:lpstr>
      <vt:lpstr>R_ana</vt:lpstr>
      <vt:lpstr>Controls-Split</vt:lpstr>
      <vt:lpstr>Blatt1</vt:lpstr>
      <vt:lpstr>GO BP</vt:lpstr>
      <vt:lpstr>GO MF</vt:lpstr>
      <vt:lpstr>summaryNetworkFiltered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Mathias Woidy</dc:creator>
  <cp:keywords/>
  <dc:description/>
  <cp:lastModifiedBy>Mathias Woidy</cp:lastModifiedBy>
  <cp:revision/>
  <dcterms:created xsi:type="dcterms:W3CDTF">2015-10-26T16:38:08Z</dcterms:created>
  <dcterms:modified xsi:type="dcterms:W3CDTF">2026-01-02T13:38:39Z</dcterms:modified>
  <cp:category/>
  <cp:contentStatus/>
</cp:coreProperties>
</file>